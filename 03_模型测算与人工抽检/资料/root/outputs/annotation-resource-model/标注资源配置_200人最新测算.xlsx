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493d743f1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模型" sheetId="1" r:id="R00e12f7ac84d4376"/>
    <x:sheet xmlns:r="http://schemas.openxmlformats.org/officeDocument/2006/relationships" name="可调参数" sheetId="2" r:id="Rf1c5a041dc364881"/>
    <x:sheet xmlns:r="http://schemas.openxmlformats.org/officeDocument/2006/relationships" name="敏感性分析" sheetId="3" r:id="Rfacea51eb602412e"/>
    <x:sheet xmlns:r="http://schemas.openxmlformats.org/officeDocument/2006/relationships" name="测算明细" sheetId="4" r:id="R08b42bd183ef4a1a"/>
    <x:sheet xmlns:r="http://schemas.openxmlformats.org/officeDocument/2006/relationships" name="抽样与口径" sheetId="5" r:id="R747d249a528747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—&quot;"/>
    <x:numFmt numFmtId="201" formatCode="0.0%"/>
    <x:numFmt numFmtId="202" formatCode="0.000"/>
    <x:numFmt numFmtId="203" formatCode="#,##0;(#,##0);&quot;—&quot;"/>
    <x:numFmt numFmtId="204" formatCode="0.00"/>
  </x:numFmts>
  <x:fonts count="15">
    <x:font>
      <x:sz val="11"/>
      <x:name val="Carlito"/>
    </x:font>
    <x:font>
      <x:sz val="11"/>
      <x:color rgb="FF000000"/>
      <x:name val="Arial"/>
    </x:font>
    <x:font>
      <x:sz val="11"/>
      <x:color rgb="FF0000FF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sz val="11"/>
      <x:color rgb="FF008000"/>
      <x:name val="Arial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7"/>
      <x:color rgb="FF17365D"/>
      <x:name val="Arial"/>
    </x:font>
    <x:font>
      <x:b/>
      <x:sz val="11"/>
      <x:color rgb="FF234F78"/>
      <x:name val="Arial"/>
    </x:font>
    <x:font>
      <x:b/>
      <x:sz val="11"/>
      <x:color rgb="FF467681"/>
      <x:name val="Arial"/>
    </x:font>
    <x:font>
      <x:b/>
      <x:sz val="11"/>
      <x:color rgb="FF566B82"/>
      <x:name val="Arial"/>
    </x:font>
    <x:font>
      <x:b/>
      <x:sz val="11"/>
      <x:color rgb="FF000000"/>
      <x:name val="Arial"/>
    </x:font>
    <x:font>
      <x:b/>
      <x:sz val="11"/>
      <x:color rgb="FF008000"/>
      <x:name val="Arial"/>
    </x:font>
    <x:font>
      <x:b/>
      <x:sz val="16"/>
      <x:color rgb="FF17365D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34F78"/>
      </x:patternFill>
    </x:fill>
    <x:fill>
      <x:patternFill patternType="solid">
        <x:fgColor rgb="FFEAF0F7"/>
      </x:patternFill>
    </x:fill>
    <x:fill>
      <x:patternFill patternType="solid">
        <x:fgColor rgb="FF467681"/>
      </x:patternFill>
    </x:fill>
    <x:fill>
      <x:patternFill patternType="solid">
        <x:fgColor rgb="FFEAF3F3"/>
      </x:patternFill>
    </x:fill>
    <x:fill>
      <x:patternFill patternType="solid">
        <x:fgColor rgb="FF566B82"/>
      </x:patternFill>
    </x:fill>
    <x:fill>
      <x:patternFill patternType="solid">
        <x:fgColor rgb="FFEEF1F5"/>
      </x:patternFill>
    </x:fill>
    <x:fill>
      <x:patternFill patternType="solid">
        <x:fgColor rgb="FFE7EDF5"/>
      </x:patternFill>
    </x:fill>
    <x:fill>
      <x:patternFill patternType="solid">
        <x:fgColor rgb="FFF2F5F9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/>
    </x:xf>
    <x:xf numFmtId="200" fontId="12" fillId="1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3" fontId="12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13" fillId="10" borderId="0" xfId="0" applyNumberFormat="1" applyFont="1" applyFill="1" applyBorder="1" applyAlignment="1">
      <x:alignment vertical="center"/>
    </x:xf>
    <x:xf numFmtId="200" fontId="13" fillId="1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204" fontId="5" fillId="11" borderId="0" xfId="0" applyNumberFormat="1" applyFont="1" applyFill="1" applyBorder="1" applyAlignment="1">
      <x:alignment vertical="center"/>
    </x:xf>
    <x:xf numFmtId="204" fontId="5" fillId="12" borderId="0" xfId="0" applyNumberFormat="1" applyFont="1" applyFill="1" applyBorder="1" applyAlignment="1">
      <x:alignment vertical="center"/>
    </x:xf>
    <x:xf numFmtId="203" fontId="5" fillId="11" borderId="0" xfId="0" applyNumberFormat="1" applyFont="1" applyFill="1" applyBorder="1" applyAlignment="1">
      <x:alignment vertical="center"/>
    </x:xf>
    <x:xf numFmtId="203" fontId="5" fillId="1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94c7b09df44c5" /><Relationship Type="http://schemas.openxmlformats.org/officeDocument/2006/relationships/theme" Target="/xl/theme/theme1.xml" Id="Rf0265a5446a041bf" /><Relationship Type="http://schemas.openxmlformats.org/officeDocument/2006/relationships/sharedStrings" Target="/xl/sharedStrings.xml" Id="R7505c6ff1e444e95" /><Relationship Type="http://schemas.openxmlformats.org/officeDocument/2006/relationships/worksheet" Target="/xl/worksheets/sheet1.xml" Id="R00e12f7ac84d4376" /><Relationship Type="http://schemas.openxmlformats.org/officeDocument/2006/relationships/worksheet" Target="/xl/worksheets/sheet2.xml" Id="Rf1c5a041dc364881" /><Relationship Type="http://schemas.openxmlformats.org/officeDocument/2006/relationships/worksheet" Target="/xl/worksheets/sheet3.xml" Id="Rfacea51eb602412e" /><Relationship Type="http://schemas.openxmlformats.org/officeDocument/2006/relationships/worksheet" Target="/xl/worksheets/sheet4.xml" Id="R08b42bd183ef4a1a" /><Relationship Type="http://schemas.openxmlformats.org/officeDocument/2006/relationships/worksheet" Target="/xl/worksheets/sheet5.xml" Id="R747d249a528747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19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0" hidden="0" customWidth="1"/>
    <x:col min="9" max="9" width="14" hidden="0" customWidth="1"/>
    <x:col min="10" max="10" width="15" hidden="0" customWidth="1"/>
    <x:col min="11" max="11" width="15" hidden="0" customWidth="1"/>
    <x:col min="12" max="12" width="4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 ht="26" customHeight="1">
      <x:c r="A2" s="2"/>
      <x:c r="B2" s="17" t="str">
        <x:v>标注资源配置｜200人 · 实测人均对话量×2</x:v>
      </x:c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 ht="26" customHeight="1">
      <x:c r="A3" s="2"/>
      <x:c r="B3" s="2" t="str">
        <x:v>基准：2026春482场/109个有记录学生身份。每场可含多轮；本表是单学期预算。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 ht="26" customHeight="1">
      <x:c r="A4" s="2"/>
      <x:c r="B4" s="14" t="str">
        <x:f>"人均 "&amp;ROUND('可调参数'!C6/'可调参数'!C7*'可调参数'!C8,2)&amp;" 场"</x:f>
        <x:v>人均 8.84 场</x:v>
      </x:c>
      <x:c r="C4" s="14" t="str">
        <x:f>"原始 "&amp;'测算明细'!F5&amp;" → QA3 "&amp;'测算明细'!G5&amp;" → QA Pro "&amp;'测算明细'!H5</x:f>
        <x:v>原始 1769 → QA3 964 → QA Pro 579</x:v>
      </x:c>
      <x:c r="D4" s="2" t="str">
        <x:v>两主模型各一遍 / 分歧第三模型一遍；四项认知任务分别核算。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28" customHeight="1">
      <x:c r="A6" s="2"/>
      <x:c r="B6" s="10" t="str">
        <x:v>每100场有效QA3｜按本学期工作量摊销，不能当作固定抽样比例</x:v>
      </x:c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26" customHeight="1">
      <x:c r="A7" s="2"/>
      <x:c r="B7" s="2"/>
      <x:c r="C7" s="2"/>
      <x:c r="D7" s="20" t="str">
        <x:v>助教</x:v>
      </x:c>
      <x:c r="E7" s="20"/>
      <x:c r="F7" s="26" t="str">
        <x:v>老师</x:v>
      </x:c>
      <x:c r="G7" s="26"/>
      <x:c r="H7" s="32" t="str">
        <x:v>模型</x:v>
      </x:c>
      <x:c r="I7" s="32"/>
      <x:c r="J7" s="32"/>
      <x:c r="K7" s="3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30" customHeight="1">
      <x:c r="A8" s="2"/>
      <x:c r="B8" s="12" t="str">
        <x:v>流程分类</x:v>
      </x:c>
      <x:c r="C8" s="12" t="str">
        <x:v>处理环节</x:v>
      </x:c>
      <x:c r="D8" s="23" t="str">
        <x:v>场次</x:v>
      </x:c>
      <x:c r="E8" s="23" t="str">
        <x:v>分钟</x:v>
      </x:c>
      <x:c r="F8" s="29" t="str">
        <x:v>场次</x:v>
      </x:c>
      <x:c r="G8" s="29" t="str">
        <x:v>分钟</x:v>
      </x:c>
      <x:c r="H8" s="35" t="str">
        <x:v>模型数量</x:v>
      </x:c>
      <x:c r="I8" s="35" t="str">
        <x:v>任务次数</x:v>
      </x:c>
      <x:c r="J8" s="35" t="str">
        <x:v>输入token</x:v>
      </x:c>
      <x:c r="K8" s="35" t="str">
        <x:v>输出token</x:v>
      </x:c>
      <x:c r="L8" s="12" t="str">
        <x:v>备注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 ht="52" customHeight="1">
      <x:c r="A9" s="2"/>
      <x:c r="B9" s="2" t="str">
        <x:v>① 数据质量</x:v>
      </x:c>
      <x:c r="C9" s="11" t="str">
        <x:v>机器全检</x:v>
      </x:c>
      <x:c r="D9" s="37" t="n">
        <x:f>0</x:f>
        <x:v>0</x:v>
      </x:c>
      <x:c r="E9" s="37" t="n">
        <x:f>0</x:f>
        <x:v>0</x:v>
      </x:c>
      <x:c r="F9" s="37" t="n">
        <x:f>0</x:f>
        <x:v>0</x:v>
      </x:c>
      <x:c r="G9" s="37" t="n">
        <x:f>0</x:f>
        <x:v>0</x:v>
      </x:c>
      <x:c r="H9" s="38" t="n">
        <x:f>'可调参数'!$C$26</x:f>
        <x:v>2</x:v>
      </x:c>
      <x:c r="I9" s="38" t="n">
        <x:f>'测算明细'!F5*'可调参数'!$C$26*'可调参数'!$C$27/('测算明细'!G5/100)</x:f>
        <x:v>367.01244813278004</x:v>
      </x:c>
      <x:c r="J9" s="38" t="n">
        <x:f>I9*('可调参数'!$C$32+'可调参数'!$C$30)</x:f>
        <x:v>1489723.0218584994</x:v>
      </x:c>
      <x:c r="K9" s="38" t="n">
        <x:f>I9*'可调参数'!$C$31</x:f>
        <x:v>146804.97925311202</x:v>
      </x:c>
      <x:c r="L9" s="11" t="str">
        <x:v>机器检查完整性、角色及有效对话；非QA3不进入人工复核。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 ht="52" customHeight="1">
      <x:c r="A10" s="2"/>
      <x:c r="B10" s="2" t="str">
        <x:v>① 数据质量</x:v>
      </x:c>
      <x:c r="C10" s="11" t="str">
        <x:v>规则边界 / 资料修复</x:v>
      </x:c>
      <x:c r="D10" s="38" t="n">
        <x:f>('测算明细'!S5+'测算明细'!T5)/('测算明细'!G5/100)</x:f>
        <x:v>4.253112033195021</x:v>
      </x:c>
      <x:c r="E10" s="38" t="n">
        <x:f>D10*'可调参数'!$C$16</x:f>
        <x:v>8.506224066390041</x:v>
      </x:c>
      <x:c r="F10" s="38" t="n">
        <x:f>(0)/('测算明细'!G5/100)</x:f>
        <x:v>0</x:v>
      </x:c>
      <x:c r="G10" s="38" t="n">
        <x:f>F10*'可调参数'!$C$17</x:f>
        <x:v>0</x:v>
      </x:c>
      <x:c r="H10" s="37" t="n">
        <x:f>0</x:f>
        <x:v>0</x:v>
      </x:c>
      <x:c r="I10" s="37" t="n">
        <x:f>0</x:f>
        <x:v>0</x:v>
      </x:c>
      <x:c r="J10" s="37" t="n">
        <x:f>0</x:f>
        <x:v>0</x:v>
      </x:c>
      <x:c r="K10" s="37" t="n">
        <x:f>0</x:f>
        <x:v>0</x:v>
      </x:c>
      <x:c r="L10" s="11" t="str">
        <x:v>边界：如“求答案/解释”难区分；修复：如缺附件或角色错位。比率暂作预留。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 ht="52" customHeight="1">
      <x:c r="A11" s="2"/>
      <x:c r="B11" s="2" t="str">
        <x:v>① 数据质量</x:v>
      </x:c>
      <x:c r="C11" s="11" t="str">
        <x:v>QA Pro筛选</x:v>
      </x:c>
      <x:c r="D11" s="37" t="n">
        <x:f>0</x:f>
        <x:v>0</x:v>
      </x:c>
      <x:c r="E11" s="37" t="n">
        <x:f>0</x:f>
        <x:v>0</x:v>
      </x:c>
      <x:c r="F11" s="37" t="n">
        <x:f>0</x:f>
        <x:v>0</x:v>
      </x:c>
      <x:c r="G11" s="37" t="n">
        <x:f>0</x:f>
        <x:v>0</x:v>
      </x:c>
      <x:c r="H11" s="38" t="n">
        <x:f>'可调参数'!$C$26</x:f>
        <x:v>2</x:v>
      </x:c>
      <x:c r="I11" s="38" t="n">
        <x:f>'测算明细'!G5*'可调参数'!$C$26*'可调参数'!$C$27/('测算明细'!G5/100)</x:f>
        <x:v>200</x:v>
      </x:c>
      <x:c r="J11" s="38" t="n">
        <x:f>I11*('可调参数'!$C$33+'可调参数'!$C$30)</x:f>
        <x:v>1100108.757062147</x:v>
      </x:c>
      <x:c r="K11" s="38" t="n">
        <x:f>I11*'可调参数'!$C$31</x:f>
        <x:v>80000</x:v>
      </x:c>
      <x:c r="L11" s="11" t="str">
        <x:v>当前机器准入425/708=60.03%；冻结命中协议的100%一致不代表人工正确率。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 ht="52" customHeight="1">
      <x:c r="A12" s="2"/>
      <x:c r="B12" s="2" t="str">
        <x:v>② 认知分层</x:v>
      </x:c>
      <x:c r="C12" s="11" t="str">
        <x:v>机器标注：基线＋最高</x:v>
      </x:c>
      <x:c r="D12" s="37" t="n">
        <x:f>0</x:f>
        <x:v>0</x:v>
      </x:c>
      <x:c r="E12" s="37" t="n">
        <x:f>0</x:f>
        <x:v>0</x:v>
      </x:c>
      <x:c r="F12" s="37" t="n">
        <x:f>0</x:f>
        <x:v>0</x:v>
      </x:c>
      <x:c r="G12" s="37" t="n">
        <x:f>0</x:f>
        <x:v>0</x:v>
      </x:c>
      <x:c r="H12" s="38" t="n">
        <x:f>'可调参数'!$C$26</x:f>
        <x:v>2</x:v>
      </x:c>
      <x:c r="I12" s="38" t="n">
        <x:f>2*('测算明细'!G5+'测算明细'!H5)*'可调参数'!$C$26*'可调参数'!$C$27/('测算明细'!G5/100)</x:f>
        <x:v>640.2489626556016</x:v>
      </x:c>
      <x:c r="J12" s="38" t="n">
        <x:f>2*'可调参数'!$C$26*'可调参数'!$C$27*('测算明细'!G5*('可调参数'!$C$34+'可调参数'!$C$30)+'测算明细'!H5*('可调参数'!$C$35+'可调参数'!$C$30))/('测算明细'!G5/100)</x:f>
        <x:v>2201924.283823495</x:v>
      </x:c>
      <x:c r="K12" s="38" t="n">
        <x:f>I12*'可调参数'!$C$31</x:f>
        <x:v>256099.58506224066</x:v>
      </x:c>
      <x:c r="L12" s="11" t="str">
        <x:v>QA3做起点六级/三级；QA Pro另做最高六级/三级。每项双模型各一遍。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 ht="52" customHeight="1">
      <x:c r="A13" s="2"/>
      <x:c r="B13" s="2" t="str">
        <x:v>② 认知分层</x:v>
      </x:c>
      <x:c r="C13" s="11" t="str">
        <x:v>第三模型裁决＋助教分歧全审</x:v>
      </x:c>
      <x:c r="D13" s="38" t="n">
        <x:f>('测算明细'!M5)/('测算明细'!G5/100)</x:f>
        <x:v>59.64730290456431</x:v>
      </x:c>
      <x:c r="E13" s="38" t="n">
        <x:f>D13*'可调参数'!$C$16</x:f>
        <x:v>119.29460580912863</x:v>
      </x:c>
      <x:c r="F13" s="38" t="n">
        <x:f>(0)/('测算明细'!G5/100)</x:f>
        <x:v>0</x:v>
      </x:c>
      <x:c r="G13" s="38" t="n">
        <x:f>F13*'可调参数'!$C$17</x:f>
        <x:v>0</x:v>
      </x:c>
      <x:c r="H13" s="38" t="n">
        <x:f>'可调参数'!$C$28</x:f>
        <x:v>1</x:v>
      </x:c>
      <x:c r="I13" s="38" t="n">
        <x:f>'测算明细'!AB5/('测算明细'!G5/100)</x:f>
        <x:v>59.64730290456431</x:v>
      </x:c>
      <x:c r="J13" s="38" t="n">
        <x:f>'可调参数'!$C$28*'可调参数'!$C$29*('测算明细'!AE5*('可调参数'!$C$34+'可调参数'!$C$30+2*'可调参数'!$C$31)+'测算明细'!AF5*('可调参数'!$C$35+'可调参数'!$C$30+2*'可调参数'!$C$31))/('测算明细'!G5/100)</x:f>
        <x:v>252952.421652401</x:v>
      </x:c>
      <x:c r="K13" s="38" t="n">
        <x:f>I13*'可调参数'!$C$31</x:f>
        <x:v>23858.921161825725</x:v>
      </x:c>
      <x:c r="L13" s="11" t="str">
        <x:v>裁决只跑有分歧的标签项；助教合并复核整场。人工量为重叠未知下的保守上界。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 ht="52" customHeight="1">
      <x:c r="A14" s="2"/>
      <x:c r="B14" s="2" t="str">
        <x:v>② 认知分层</x:v>
      </x:c>
      <x:c r="C14" s="11" t="str">
        <x:v>共识部分：分层随机抽检</x:v>
      </x:c>
      <x:c r="D14" s="38" t="n">
        <x:f>('测算明细'!Q5)/('测算明细'!G5/100)</x:f>
        <x:v>6.431535269709543</x:v>
      </x:c>
      <x:c r="E14" s="38" t="n">
        <x:f>D14*'可调参数'!$C$16</x:f>
        <x:v>12.863070539419086</x:v>
      </x:c>
      <x:c r="F14" s="38" t="n">
        <x:f>('测算明细'!R5)/('测算明细'!G5/100)</x:f>
        <x:v>1.867219917012448</x:v>
      </x:c>
      <x:c r="G14" s="38" t="n">
        <x:f>F14*'可调参数'!$C$17</x:f>
        <x:v>9.33609958506224</x:v>
      </x:c>
      <x:c r="H14" s="37" t="n">
        <x:f>0</x:f>
        <x:v>0</x:v>
      </x:c>
      <x:c r="I14" s="37" t="n">
        <x:f>0</x:f>
        <x:v>0</x:v>
      </x:c>
      <x:c r="J14" s="37" t="n">
        <x:f>0</x:f>
        <x:v>0</x:v>
      </x:c>
      <x:c r="K14" s="37" t="n">
        <x:f>0</x:f>
        <x:v>0</x:v>
      </x:c>
      <x:c r="L14" s="11" t="str">
        <x:v>先按主领域分层再随机抽取；助教全看，疑难全交老师，普通随机20%。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 ht="52" customHeight="1">
      <x:c r="A15" s="2"/>
      <x:c r="B15" s="2" t="str">
        <x:v>② 认知分层</x:v>
      </x:c>
      <x:c r="C15" s="11" t="str">
        <x:v>新领域追加复核 m</x:v>
      </x:c>
      <x:c r="D15" s="38" t="n">
        <x:f>('测算明细'!U5)/('测算明细'!G5/100)</x:f>
        <x:v>4.149377593360995</x:v>
      </x:c>
      <x:c r="E15" s="38" t="n">
        <x:f>D15*'可调参数'!$C$16</x:f>
        <x:v>8.29875518672199</x:v>
      </x:c>
      <x:c r="F15" s="38" t="n">
        <x:f>('测算明细'!U5)/('测算明细'!G5/100)</x:f>
        <x:v>4.149377593360995</x:v>
      </x:c>
      <x:c r="G15" s="38" t="n">
        <x:f>F15*'可调参数'!$C$17</x:f>
        <x:v>20.746887966804977</x:v>
      </x:c>
      <x:c r="H15" s="37" t="n">
        <x:f>0</x:f>
        <x:v>0</x:v>
      </x:c>
      <x:c r="I15" s="37" t="n">
        <x:f>0</x:f>
        <x:v>0</x:v>
      </x:c>
      <x:c r="J15" s="37" t="n">
        <x:f>0</x:f>
        <x:v>0</x:v>
      </x:c>
      <x:c r="K15" s="37" t="n">
        <x:f>0</x:f>
        <x:v>0</x:v>
      </x:c>
      <x:c r="L15" s="11" t="str">
        <x:v>2个新领域×20场；常规名单外去重。从未抽中的QA3选取，不足时封顶。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 ht="52" customHeight="1">
      <x:c r="A16" s="2"/>
      <x:c r="B16" s="2" t="str">
        <x:v>③ 领域规则</x:v>
      </x:c>
      <x:c r="C16" s="11" t="str">
        <x:v>教师整理判例与规则</x:v>
      </x:c>
      <x:c r="D16" s="37" t="n">
        <x:f>0</x:f>
        <x:v>0</x:v>
      </x:c>
      <x:c r="E16" s="37" t="n">
        <x:f>0</x:f>
        <x:v>0</x:v>
      </x:c>
      <x:c r="F16" s="37" t="n">
        <x:f>0</x:f>
        <x:v>0</x:v>
      </x:c>
      <x:c r="G16" s="38" t="n">
        <x:f>'可调参数'!$C$23*'可调参数'!$C$25/('测算明细'!G5/100)</x:f>
        <x:v>12.448132780082986</x:v>
      </x:c>
      <x:c r="H16" s="37" t="n">
        <x:f>0</x:f>
        <x:v>0</x:v>
      </x:c>
      <x:c r="I16" s="37" t="n">
        <x:f>0</x:f>
        <x:v>0</x:v>
      </x:c>
      <x:c r="J16" s="37" t="n">
        <x:f>0</x:f>
        <x:v>0</x:v>
      </x:c>
      <x:c r="K16" s="37" t="n">
        <x:f>0</x:f>
        <x:v>0</x:v>
      </x:c>
      <x:c r="L16" s="11" t="str">
        <x:v>老师每领域另60分钟整理；不重复计样例阅读。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 ht="32" customHeight="1">
      <x:c r="A17" s="2"/>
      <x:c r="B17" s="40"/>
      <x:c r="C17" s="40" t="str">
        <x:v>每100场QA3摊销</x:v>
      </x:c>
      <x:c r="D17" s="41" t="n">
        <x:f>SUM(D9:D16)</x:f>
        <x:v>74.48132780082987</x:v>
      </x:c>
      <x:c r="E17" s="41" t="n">
        <x:f>SUM(E9:E16)</x:f>
        <x:v>148.96265560165975</x:v>
      </x:c>
      <x:c r="F17" s="41" t="n">
        <x:f>SUM(F9:F16)</x:f>
        <x:v>6.016597510373443</x:v>
      </x:c>
      <x:c r="G17" s="41" t="n">
        <x:f>SUM(G9:G16)</x:f>
        <x:v>42.531120331950206</x:v>
      </x:c>
      <x:c r="H17" s="41"/>
      <x:c r="I17" s="41" t="n">
        <x:f>SUM(I9:I16)</x:f>
        <x:v>1266.908713692946</x:v>
      </x:c>
      <x:c r="J17" s="41" t="n">
        <x:f>SUM(J9:J16)</x:f>
        <x:v>5044708.4843965415</x:v>
      </x:c>
      <x:c r="K17" s="41" t="n">
        <x:f>SUM(K9:K16)</x:f>
        <x:v>506763.4854771784</x:v>
      </x:c>
      <x:c r="L17" s="40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 ht="26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 ht="26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 ht="28" customHeight="1">
      <x:c r="A20" s="2"/>
      <x:c r="B20" s="10" t="str">
        <x:v>每学期工作量预估｜200名学生，16周</x:v>
      </x:c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 ht="26" customHeight="1">
      <x:c r="A21" s="2"/>
      <x:c r="B21" s="2"/>
      <x:c r="C21" s="2"/>
      <x:c r="D21" s="20" t="str">
        <x:v>助教</x:v>
      </x:c>
      <x:c r="E21" s="20"/>
      <x:c r="F21" s="26" t="str">
        <x:v>老师</x:v>
      </x:c>
      <x:c r="G21" s="26"/>
      <x:c r="H21" s="32" t="str">
        <x:v>模型</x:v>
      </x:c>
      <x:c r="I21" s="32"/>
      <x:c r="J21" s="32"/>
      <x:c r="K21" s="3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 ht="30" customHeight="1">
      <x:c r="A22" s="2"/>
      <x:c r="B22" s="12" t="str">
        <x:v>流程分类</x:v>
      </x:c>
      <x:c r="C22" s="12" t="str">
        <x:v>处理环节</x:v>
      </x:c>
      <x:c r="D22" s="23" t="str">
        <x:v>场次</x:v>
      </x:c>
      <x:c r="E22" s="23" t="str">
        <x:v>分钟</x:v>
      </x:c>
      <x:c r="F22" s="29" t="str">
        <x:v>场次</x:v>
      </x:c>
      <x:c r="G22" s="29" t="str">
        <x:v>分钟</x:v>
      </x:c>
      <x:c r="H22" s="35" t="str">
        <x:v>模型数量</x:v>
      </x:c>
      <x:c r="I22" s="35" t="str">
        <x:v>任务次数</x:v>
      </x:c>
      <x:c r="J22" s="35" t="str">
        <x:v>输入token</x:v>
      </x:c>
      <x:c r="K22" s="35" t="str">
        <x:v>输出token</x:v>
      </x:c>
      <x:c r="L22" s="12" t="str">
        <x:v>备注</x:v>
      </x:c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 ht="52" customHeight="1">
      <x:c r="A23" s="2"/>
      <x:c r="B23" s="2" t="str">
        <x:v>① 数据质量</x:v>
      </x:c>
      <x:c r="C23" s="11" t="str">
        <x:v>机器全检</x:v>
      </x:c>
      <x:c r="D23" s="42" t="n">
        <x:f>0</x:f>
        <x:v>0</x:v>
      </x:c>
      <x:c r="E23" s="42" t="n">
        <x:f>0</x:f>
        <x:v>0</x:v>
      </x:c>
      <x:c r="F23" s="42" t="n">
        <x:f>0</x:f>
        <x:v>0</x:v>
      </x:c>
      <x:c r="G23" s="42" t="n">
        <x:f>0</x:f>
        <x:v>0</x:v>
      </x:c>
      <x:c r="H23" s="43" t="n">
        <x:f>'可调参数'!$C$26</x:f>
        <x:v>2</x:v>
      </x:c>
      <x:c r="I23" s="43" t="n">
        <x:f>'测算明细'!F5*'可调参数'!$C$26*'可调参数'!$C$27/1</x:f>
        <x:v>3538</x:v>
      </x:c>
      <x:c r="J23" s="43" t="n">
        <x:f>I23*('可调参数'!$C$32+'可调参数'!$C$30)</x:f>
        <x:v>14360929.930715935</x:v>
      </x:c>
      <x:c r="K23" s="43" t="n">
        <x:f>I23*'可调参数'!$C$31</x:f>
        <x:v>1415200</x:v>
      </x:c>
      <x:c r="L23" s="11" t="str">
        <x:v>机器检查完整性、角色及有效对话；非QA3不进入人工复核。</x:v>
      </x:c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 ht="52" customHeight="1">
      <x:c r="A24" s="2"/>
      <x:c r="B24" s="2" t="str">
        <x:v>① 数据质量</x:v>
      </x:c>
      <x:c r="C24" s="11" t="str">
        <x:v>规则边界 / 资料修复</x:v>
      </x:c>
      <x:c r="D24" s="43" t="n">
        <x:f>('测算明细'!S5+'测算明细'!T5)/1</x:f>
        <x:v>41</x:v>
      </x:c>
      <x:c r="E24" s="43" t="n">
        <x:f>D24*'可调参数'!$C$16</x:f>
        <x:v>82</x:v>
      </x:c>
      <x:c r="F24" s="42" t="n">
        <x:f>(0)/1</x:f>
        <x:v>0</x:v>
      </x:c>
      <x:c r="G24" s="43" t="n">
        <x:f>F24*'可调参数'!$C$17</x:f>
        <x:v>0</x:v>
      </x:c>
      <x:c r="H24" s="42" t="n">
        <x:f>0</x:f>
        <x:v>0</x:v>
      </x:c>
      <x:c r="I24" s="42" t="n">
        <x:f>0</x:f>
        <x:v>0</x:v>
      </x:c>
      <x:c r="J24" s="42" t="n">
        <x:f>0</x:f>
        <x:v>0</x:v>
      </x:c>
      <x:c r="K24" s="42" t="n">
        <x:f>0</x:f>
        <x:v>0</x:v>
      </x:c>
      <x:c r="L24" s="11" t="str">
        <x:v>边界：如“求答案/解释”难区分；修复：如缺附件或角色错位。比率暂作预留。</x:v>
      </x:c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 ht="52" customHeight="1">
      <x:c r="A25" s="2"/>
      <x:c r="B25" s="2" t="str">
        <x:v>① 数据质量</x:v>
      </x:c>
      <x:c r="C25" s="11" t="str">
        <x:v>QA Pro筛选</x:v>
      </x:c>
      <x:c r="D25" s="42" t="n">
        <x:f>0</x:f>
        <x:v>0</x:v>
      </x:c>
      <x:c r="E25" s="42" t="n">
        <x:f>0</x:f>
        <x:v>0</x:v>
      </x:c>
      <x:c r="F25" s="42" t="n">
        <x:f>0</x:f>
        <x:v>0</x:v>
      </x:c>
      <x:c r="G25" s="42" t="n">
        <x:f>0</x:f>
        <x:v>0</x:v>
      </x:c>
      <x:c r="H25" s="43" t="n">
        <x:f>'可调参数'!$C$26</x:f>
        <x:v>2</x:v>
      </x:c>
      <x:c r="I25" s="43" t="n">
        <x:f>'测算明细'!G5*'可调参数'!$C$26*'可调参数'!$C$27/1</x:f>
        <x:v>1928</x:v>
      </x:c>
      <x:c r="J25" s="43" t="n">
        <x:f>I25*('可调参数'!$C$33+'可调参数'!$C$30)</x:f>
        <x:v>10605048.418079095</x:v>
      </x:c>
      <x:c r="K25" s="43" t="n">
        <x:f>I25*'可调参数'!$C$31</x:f>
        <x:v>771200</x:v>
      </x:c>
      <x:c r="L25" s="11" t="str">
        <x:v>当前机器准入425/708=60.03%；冻结命中协议的100%一致不代表人工正确率。</x:v>
      </x:c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 ht="52" customHeight="1">
      <x:c r="A26" s="2"/>
      <x:c r="B26" s="2" t="str">
        <x:v>② 认知分层</x:v>
      </x:c>
      <x:c r="C26" s="11" t="str">
        <x:v>机器标注：基线＋最高</x:v>
      </x:c>
      <x:c r="D26" s="42" t="n">
        <x:f>0</x:f>
        <x:v>0</x:v>
      </x:c>
      <x:c r="E26" s="42" t="n">
        <x:f>0</x:f>
        <x:v>0</x:v>
      </x:c>
      <x:c r="F26" s="42" t="n">
        <x:f>0</x:f>
        <x:v>0</x:v>
      </x:c>
      <x:c r="G26" s="42" t="n">
        <x:f>0</x:f>
        <x:v>0</x:v>
      </x:c>
      <x:c r="H26" s="43" t="n">
        <x:f>'可调参数'!$C$26</x:f>
        <x:v>2</x:v>
      </x:c>
      <x:c r="I26" s="43" t="n">
        <x:f>2*('测算明细'!G5+'测算明细'!H5)*'可调参数'!$C$26*'可调参数'!$C$27/1</x:f>
        <x:v>6172</x:v>
      </x:c>
      <x:c r="J26" s="43" t="n">
        <x:f>2*'可调参数'!$C$26*'可调参数'!$C$27*('测算明细'!G5*('可调参数'!$C$34+'可调参数'!$C$30)+'测算明细'!H5*('可调参数'!$C$35+'可调参数'!$C$30))/1</x:f>
        <x:v>21226550.09605849</x:v>
      </x:c>
      <x:c r="K26" s="43" t="n">
        <x:f>I26*'可调参数'!$C$31</x:f>
        <x:v>2468800</x:v>
      </x:c>
      <x:c r="L26" s="11" t="str">
        <x:v>QA3做起点六级/三级；QA Pro另做最高六级/三级。每项双模型各一遍。</x:v>
      </x:c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 ht="52" customHeight="1">
      <x:c r="A27" s="2"/>
      <x:c r="B27" s="2" t="str">
        <x:v>② 认知分层</x:v>
      </x:c>
      <x:c r="C27" s="11" t="str">
        <x:v>第三模型裁决＋助教分歧全审</x:v>
      </x:c>
      <x:c r="D27" s="43" t="n">
        <x:f>('测算明细'!M5)/1</x:f>
        <x:v>575</x:v>
      </x:c>
      <x:c r="E27" s="43" t="n">
        <x:f>D27*'可调参数'!$C$16</x:f>
        <x:v>1150</x:v>
      </x:c>
      <x:c r="F27" s="42" t="n">
        <x:f>(0)/1</x:f>
        <x:v>0</x:v>
      </x:c>
      <x:c r="G27" s="43" t="n">
        <x:f>F27*'可调参数'!$C$17</x:f>
        <x:v>0</x:v>
      </x:c>
      <x:c r="H27" s="43" t="n">
        <x:f>'可调参数'!$C$28</x:f>
        <x:v>1</x:v>
      </x:c>
      <x:c r="I27" s="43" t="n">
        <x:f>'测算明细'!AB5/1</x:f>
        <x:v>575</x:v>
      </x:c>
      <x:c r="J27" s="43" t="n">
        <x:f>'可调参数'!$C$28*'可调参数'!$C$29*('测算明细'!AE5*('可调参数'!$C$34+'可调参数'!$C$30+2*'可调参数'!$C$31)+'测算明细'!AF5*('可调参数'!$C$35+'可调参数'!$C$30+2*'可调参数'!$C$31))/1</x:f>
        <x:v>2438461.344729146</x:v>
      </x:c>
      <x:c r="K27" s="43" t="n">
        <x:f>I27*'可调参数'!$C$31</x:f>
        <x:v>230000</x:v>
      </x:c>
      <x:c r="L27" s="11" t="str">
        <x:v>裁决只跑有分歧的标签项；助教合并复核整场。人工量为重叠未知下的保守上界。</x:v>
      </x:c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 ht="52" customHeight="1">
      <x:c r="A28" s="2"/>
      <x:c r="B28" s="2" t="str">
        <x:v>② 认知分层</x:v>
      </x:c>
      <x:c r="C28" s="11" t="str">
        <x:v>共识部分：分层随机抽检</x:v>
      </x:c>
      <x:c r="D28" s="43" t="n">
        <x:f>('测算明细'!Q5)/1</x:f>
        <x:v>62</x:v>
      </x:c>
      <x:c r="E28" s="43" t="n">
        <x:f>D28*'可调参数'!$C$16</x:f>
        <x:v>124</x:v>
      </x:c>
      <x:c r="F28" s="43" t="n">
        <x:f>('测算明细'!R5)/1</x:f>
        <x:v>18</x:v>
      </x:c>
      <x:c r="G28" s="43" t="n">
        <x:f>F28*'可调参数'!$C$17</x:f>
        <x:v>90</x:v>
      </x:c>
      <x:c r="H28" s="42" t="n">
        <x:f>0</x:f>
        <x:v>0</x:v>
      </x:c>
      <x:c r="I28" s="42" t="n">
        <x:f>0</x:f>
        <x:v>0</x:v>
      </x:c>
      <x:c r="J28" s="42" t="n">
        <x:f>0</x:f>
        <x:v>0</x:v>
      </x:c>
      <x:c r="K28" s="42" t="n">
        <x:f>0</x:f>
        <x:v>0</x:v>
      </x:c>
      <x:c r="L28" s="11" t="str">
        <x:v>先按主领域分层再随机抽取；助教全看，疑难全交老师，普通随机20%。</x:v>
      </x:c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 ht="52" customHeight="1">
      <x:c r="A29" s="2"/>
      <x:c r="B29" s="2" t="str">
        <x:v>② 认知分层</x:v>
      </x:c>
      <x:c r="C29" s="11" t="str">
        <x:v>新领域追加复核 m</x:v>
      </x:c>
      <x:c r="D29" s="43" t="n">
        <x:f>('测算明细'!U5)/1</x:f>
        <x:v>40</x:v>
      </x:c>
      <x:c r="E29" s="43" t="n">
        <x:f>D29*'可调参数'!$C$16</x:f>
        <x:v>80</x:v>
      </x:c>
      <x:c r="F29" s="43" t="n">
        <x:f>('测算明细'!U5)/1</x:f>
        <x:v>40</x:v>
      </x:c>
      <x:c r="G29" s="43" t="n">
        <x:f>F29*'可调参数'!$C$17</x:f>
        <x:v>200</x:v>
      </x:c>
      <x:c r="H29" s="42" t="n">
        <x:f>0</x:f>
        <x:v>0</x:v>
      </x:c>
      <x:c r="I29" s="42" t="n">
        <x:f>0</x:f>
        <x:v>0</x:v>
      </x:c>
      <x:c r="J29" s="42" t="n">
        <x:f>0</x:f>
        <x:v>0</x:v>
      </x:c>
      <x:c r="K29" s="42" t="n">
        <x:f>0</x:f>
        <x:v>0</x:v>
      </x:c>
      <x:c r="L29" s="11" t="str">
        <x:v>2个新领域×20场；常规名单外去重。从未抽中的QA3选取，不足时封顶。</x:v>
      </x:c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 ht="52" customHeight="1">
      <x:c r="A30" s="2"/>
      <x:c r="B30" s="2" t="str">
        <x:v>③ 领域规则</x:v>
      </x:c>
      <x:c r="C30" s="11" t="str">
        <x:v>教师整理判例与规则</x:v>
      </x:c>
      <x:c r="D30" s="42" t="n">
        <x:f>0</x:f>
        <x:v>0</x:v>
      </x:c>
      <x:c r="E30" s="42" t="n">
        <x:f>0</x:f>
        <x:v>0</x:v>
      </x:c>
      <x:c r="F30" s="42" t="n">
        <x:f>0</x:f>
        <x:v>0</x:v>
      </x:c>
      <x:c r="G30" s="43" t="n">
        <x:f>'可调参数'!$C$23*'可调参数'!$C$25/1</x:f>
        <x:v>120</x:v>
      </x:c>
      <x:c r="H30" s="42" t="n">
        <x:f>0</x:f>
        <x:v>0</x:v>
      </x:c>
      <x:c r="I30" s="42" t="n">
        <x:f>0</x:f>
        <x:v>0</x:v>
      </x:c>
      <x:c r="J30" s="42" t="n">
        <x:f>0</x:f>
        <x:v>0</x:v>
      </x:c>
      <x:c r="K30" s="42" t="n">
        <x:f>0</x:f>
        <x:v>0</x:v>
      </x:c>
      <x:c r="L30" s="11" t="str">
        <x:v>老师每领域另60分钟整理；不重复计样例阅读。</x:v>
      </x:c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 ht="32" customHeight="1">
      <x:c r="A31" s="2"/>
      <x:c r="B31" s="40"/>
      <x:c r="C31" s="40" t="str">
        <x:v>一学期合计</x:v>
      </x:c>
      <x:c r="D31" s="44" t="n">
        <x:f>SUM(D23:D30)</x:f>
        <x:v>718</x:v>
      </x:c>
      <x:c r="E31" s="44" t="n">
        <x:f>SUM(E23:E30)</x:f>
        <x:v>1436</x:v>
      </x:c>
      <x:c r="F31" s="44" t="n">
        <x:f>SUM(F23:F30)</x:f>
        <x:v>58</x:v>
      </x:c>
      <x:c r="G31" s="44" t="n">
        <x:f>SUM(G23:G30)</x:f>
        <x:v>410</x:v>
      </x:c>
      <x:c r="H31" s="44"/>
      <x:c r="I31" s="44" t="n">
        <x:f>SUM(I23:I30)</x:f>
        <x:v>12213</x:v>
      </x:c>
      <x:c r="J31" s="44" t="n">
        <x:f>SUM(J23:J30)</x:f>
        <x:v>48630989.78958267</x:v>
      </x:c>
      <x:c r="K31" s="44" t="n">
        <x:f>SUM(K23:K30)</x:f>
        <x:v>4885200</x:v>
      </x:c>
      <x:c r="L31" s="40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 ht="30" customHeight="1">
      <x:c r="A33" s="2"/>
      <x:c r="B33" s="40"/>
      <x:c r="C33" s="40" t="str">
        <x:v>工时（小时）</x:v>
      </x:c>
      <x:c r="D33" s="40"/>
      <x:c r="E33" s="47" t="n">
        <x:f>'测算明细'!X5</x:f>
        <x:v>23.933333333333334</x:v>
      </x:c>
      <x:c r="F33" s="41"/>
      <x:c r="G33" s="47" t="n">
        <x:f>'测算明细'!Y5</x:f>
        <x:v>6.833333333333333</x:v>
      </x:c>
      <x:c r="H33" s="41"/>
      <x:c r="I33" s="41"/>
      <x:c r="J33" s="41"/>
      <x:c r="K33" s="41"/>
      <x:c r="L33" s="40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 ht="30" customHeight="1">
      <x:c r="A34" s="2"/>
      <x:c r="B34" s="40"/>
      <x:c r="C34" s="40" t="str">
        <x:v>合计人时（小时）</x:v>
      </x:c>
      <x:c r="D34" s="40"/>
      <x:c r="E34" s="47" t="n">
        <x:f>'测算明细'!Z5</x:f>
        <x:v>30.766666666666666</x:v>
      </x:c>
      <x:c r="F34" s="41" t="str">
        <x:v>周均合计人时</x:v>
      </x:c>
      <x:c r="G34" s="41"/>
      <x:c r="H34" s="41"/>
      <x:c r="I34" s="47" t="n">
        <x:f>'测算明细'!Z5/'可调参数'!$C$9</x:f>
        <x:v>1.9229166666666666</x:v>
      </x:c>
      <x:c r="J34" s="41"/>
      <x:c r="K34" s="41"/>
      <x:c r="L34" s="40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 ht="32" customHeight="1">
      <x:c r="A36" s="2"/>
      <x:c r="B36" s="11" t="str">
        <x:v>注：任务次=单场×标签项×模型×遍数，不是批处理API请求数。助教/老师场次为处理次数，不能相加当作不同会话数。</x:v>
      </x:c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 ht="32" customHeight="1">
      <x:c r="A37" s="2"/>
      <x:c r="B37" s="11" t="str">
        <x:v>基线α使用当前双标快照；最高阶段暂沿用基线分歧分布。分歧跨标签重叠未知，人工预算按并集上界，不宣称精确最小值。</x:v>
      </x:c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 ht="32" customHeight="1">
      <x:c r="A38" s="2"/>
      <x:c r="B38" s="11" t="str">
        <x:v>新领域样例与常规抽检隔离；采样发现错误后的返工、异常重试与额外专家升级未计。可调参数页可直接更新。</x:v>
      </x:c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 ht="26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 ht="26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 ht="26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 ht="26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 ht="26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 ht="26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 ht="26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 ht="26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 ht="26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 ht="26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 ht="26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 ht="26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 ht="26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 ht="26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 ht="26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 ht="26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 ht="26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 ht="26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 ht="26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 ht="26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 ht="26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 ht="26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 ht="26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 ht="26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 ht="26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 ht="26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 ht="26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 ht="26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 ht="26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 ht="26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 ht="26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 ht="26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 ht="26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 ht="26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 ht="26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 ht="26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 ht="26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 ht="26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 ht="26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 ht="26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 ht="26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 ht="26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 ht="26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 ht="26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 ht="26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 ht="26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 ht="26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</x:sheetData>
  <x:mergeCells>
    <x:mergeCell ref="B2:L2"/>
    <x:mergeCell ref="B3:L3"/>
    <x:mergeCell ref="D4:L4"/>
    <x:mergeCell ref="B6:L6"/>
    <x:mergeCell ref="D7:E7"/>
    <x:mergeCell ref="F7:G7"/>
    <x:mergeCell ref="H7:K7"/>
    <x:mergeCell ref="B20:L20"/>
    <x:mergeCell ref="D21:E21"/>
    <x:mergeCell ref="F21:G21"/>
    <x:mergeCell ref="H21:K21"/>
    <x:mergeCell ref="F34:H34"/>
    <x:mergeCell ref="B36:L36"/>
    <x:mergeCell ref="B37:L37"/>
    <x:mergeCell ref="B38:L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3" hidden="0" customWidth="1"/>
    <x:col min="3" max="3" width="17" hidden="0" customWidth="1"/>
    <x:col min="4" max="4" width="18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 ht="26" customHeight="1">
      <x:c r="A2" s="2"/>
      <x:c r="B2" s="2" t="str">
        <x:v>200人学期标注预算｜可调参数与来源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26" customHeight="1">
      <x:c r="A5" s="2"/>
      <x:c r="B5" s="2" t="str">
        <x:v>学生人数</x:v>
      </x:c>
      <x:c r="C5" s="8" t="n">
        <x:v>200</x:v>
      </x:c>
      <x:c r="D5" s="2" t="str">
        <x:v>人</x:v>
      </x:c>
      <x:c r="E5" s="2" t="str">
        <x:v>用户指定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26" customHeight="1">
      <x:c r="A6" s="2"/>
      <x:c r="B6" s="2" t="str">
        <x:v>实测原始会话数</x:v>
      </x:c>
      <x:c r="C6" s="8" t="n">
        <x:v>482</x:v>
      </x:c>
      <x:c r="D6" s="2" t="str">
        <x:v>场</x:v>
      </x:c>
      <x:c r="E6" s="2" t="str">
        <x:v>模块A：2026春全部来源会话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26" customHeight="1">
      <x:c r="A7" s="2"/>
      <x:c r="B7" s="2" t="str">
        <x:v>实测来源学生身份数</x:v>
      </x:c>
      <x:c r="C7" s="8" t="n">
        <x:v>109</x:v>
      </x:c>
      <x:c r="D7" s="2" t="str">
        <x:v>个</x:v>
      </x:c>
      <x:c r="E7" s="2" t="str">
        <x:v>有对话记录的学期内身份；非全班名册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26" customHeight="1">
      <x:c r="A8" s="2"/>
      <x:c r="B8" s="2" t="str">
        <x:v>人均增长倍率</x:v>
      </x:c>
      <x:c r="C8" s="5" t="n">
        <x:v>2</x:v>
      </x:c>
      <x:c r="D8" s="2" t="str">
        <x:v>倍</x:v>
      </x:c>
      <x:c r="E8" s="2" t="str">
        <x:v>用户要求至少实测double；规划假设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 ht="26" customHeight="1">
      <x:c r="A9" s="2"/>
      <x:c r="B9" s="2" t="str">
        <x:v>学期长度</x:v>
      </x:c>
      <x:c r="C9" s="8" t="n">
        <x:v>16</x:v>
      </x:c>
      <x:c r="D9" s="2" t="str">
        <x:v>周</x:v>
      </x:c>
      <x:c r="E9" s="2" t="str">
        <x:v>规划分摊用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 ht="26" customHeight="1">
      <x:c r="A10" s="2"/>
      <x:c r="B10" s="2" t="str">
        <x:v>QA3进入率</x:v>
      </x:c>
      <x:c r="C10" s="6" t="n">
        <x:v>0.5450346420323325</x:v>
      </x:c>
      <x:c r="D10" s="2" t="str">
        <x:v>比例</x:v>
      </x:c>
      <x:c r="E10" s="2" t="str">
        <x:v>QA3全量708/1299；沿用合并两学期结构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 ht="26" customHeight="1">
      <x:c r="A11" s="2"/>
      <x:c r="B11" s="2" t="str">
        <x:v>QA Pro占QA3</x:v>
      </x:c>
      <x:c r="C11" s="6" t="n">
        <x:v>0.6002824858757062</x:v>
      </x:c>
      <x:c r="D11" s="2" t="str">
        <x:v>比例</x:v>
      </x:c>
      <x:c r="E11" s="2" t="str">
        <x:v>v2.4全量425/708；机器标签不等于正确率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 ht="26" customHeight="1">
      <x:c r="A12" s="2"/>
      <x:c r="B12" s="2" t="str">
        <x:v>六级基线名义α</x:v>
      </x:c>
      <x:c r="C12" s="7" t="n">
        <x:v>0.6267007351788136</x:v>
      </x:c>
      <x:c r="D12" s="2" t="str">
        <x:v>系数</x:v>
      </x:c>
      <x:c r="E12" s="2" t="str">
        <x:v>当前708场双标快照；U为独立类别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 ht="26" customHeight="1">
      <x:c r="A13" s="2"/>
      <x:c r="B13" s="2" t="str">
        <x:v>独立三级基线名义α</x:v>
      </x:c>
      <x:c r="C13" s="7" t="n">
        <x:v>0.686225522172103</x:v>
      </x:c>
      <x:c r="D13" s="2" t="str">
        <x:v>系数</x:v>
      </x:c>
      <x:c r="E13" s="2" t="str">
        <x:v>当前708场双标快照；不是裁决后α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 ht="26" customHeight="1">
      <x:c r="A14" s="2"/>
      <x:c r="B14" s="2" t="str">
        <x:v>六级期望分歧De</x:v>
      </x:c>
      <x:c r="C14" s="7" t="n">
        <x:v>0.5410602703080394</x:v>
      </x:c>
      <x:c r="D14" s="2" t="str">
        <x:v>比例</x:v>
      </x:c>
      <x:c r="E14" s="2" t="str">
        <x:v>由两主模型池化标签分布精确计算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 ht="26" customHeight="1">
      <x:c r="A15" s="2"/>
      <x:c r="B15" s="2" t="str">
        <x:v>独立三级期望分歧De</x:v>
      </x:c>
      <x:c r="C15" s="7" t="n">
        <x:v>0.5401698907987463</x:v>
      </x:c>
      <x:c r="D15" s="2" t="str">
        <x:v>比例</x:v>
      </x:c>
      <x:c r="E15" s="2" t="str">
        <x:v>同上；敏感分析固定De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 ht="26" customHeight="1">
      <x:c r="A16" s="2"/>
      <x:c r="B16" s="2" t="str">
        <x:v>助教处理一场</x:v>
      </x:c>
      <x:c r="C16" s="5" t="n">
        <x:v>2</x:v>
      </x:c>
      <x:c r="D16" s="2" t="str">
        <x:v>分钟</x:v>
      </x:c>
      <x:c r="E16" s="2" t="str">
        <x:v>用户指定；同次阅读检查该场全部适用标签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 ht="26" customHeight="1">
      <x:c r="A17" s="2"/>
      <x:c r="B17" s="2" t="str">
        <x:v>老师处理一场</x:v>
      </x:c>
      <x:c r="C17" s="5" t="n">
        <x:v>5</x:v>
      </x:c>
      <x:c r="D17" s="2" t="str">
        <x:v>分钟</x:v>
      </x:c>
      <x:c r="E17" s="2" t="str">
        <x:v>用户指定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 ht="26" customHeight="1">
      <x:c r="A18" s="2"/>
      <x:c r="B18" s="2" t="str">
        <x:v>最低需发现错误率p₀</x:v>
      </x:c>
      <x:c r="C18" s="6" t="n">
        <x:v>0.05</x:v>
      </x:c>
      <x:c r="D18" s="2" t="str">
        <x:v>比例</x:v>
      </x:c>
      <x:c r="E18" s="2" t="str">
        <x:v>验收设计阈值，非实测错误率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 ht="26" customHeight="1">
      <x:c r="A19" s="2"/>
      <x:c r="B19" s="2" t="str">
        <x:v>发现至少一错概率q</x:v>
      </x:c>
      <x:c r="C19" s="6" t="n">
        <x:v>0.95</x:v>
      </x:c>
      <x:c r="D19" s="2" t="str">
        <x:v>概率</x:v>
      </x:c>
      <x:c r="E19" s="2" t="str">
        <x:v>验收设计目标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 ht="26" customHeight="1">
      <x:c r="A20" s="2"/>
      <x:c r="B20" s="2" t="str">
        <x:v>每个领域最低抽样数</x:v>
      </x:c>
      <x:c r="C20" s="8" t="n">
        <x:v>2</x:v>
      </x:c>
      <x:c r="D20" s="2" t="str">
        <x:v>场</x:v>
      </x:c>
      <x:c r="E20" s="2" t="str">
        <x:v>覆盖配额；不保证单个领域95%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 ht="26" customHeight="1">
      <x:c r="A21" s="2"/>
      <x:c r="B21" s="2" t="str">
        <x:v>抽检疑难占比</x:v>
      </x:c>
      <x:c r="C21" s="6" t="n">
        <x:v>0.1</x:v>
      </x:c>
      <x:c r="D21" s="2" t="str">
        <x:v>比例</x:v>
      </x:c>
      <x:c r="E21" s="2" t="str">
        <x:v>路由预算假设：疑难100%交老师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 ht="26" customHeight="1">
      <x:c r="A22" s="2"/>
      <x:c r="B22" s="2" t="str">
        <x:v>普通抽检老师复核率</x:v>
      </x:c>
      <x:c r="C22" s="6" t="n">
        <x:v>0.2</x:v>
      </x:c>
      <x:c r="D22" s="2" t="str">
        <x:v>比例</x:v>
      </x:c>
      <x:c r="E22" s="2" t="str">
        <x:v>老师独立随机复核；不单独具备95%保证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 ht="26" customHeight="1">
      <x:c r="A23" s="2"/>
      <x:c r="B23" s="2" t="str">
        <x:v>新领域数量</x:v>
      </x:c>
      <x:c r="C23" s="8" t="n">
        <x:v>2</x:v>
      </x:c>
      <x:c r="D23" s="2" t="str">
        <x:v>个/学期</x:v>
      </x:c>
      <x:c r="E23" s="2" t="str">
        <x:v>预算假设，与课程领域数无必然等同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 ht="26" customHeight="1">
      <x:c r="A24" s="2"/>
      <x:c r="B24" s="2" t="str">
        <x:v>每新领域追加m</x:v>
      </x:c>
      <x:c r="C24" s="8" t="n">
        <x:v>20</x:v>
      </x:c>
      <x:c r="D24" s="2" t="str">
        <x:v>场</x:v>
      </x:c>
      <x:c r="E24" s="2" t="str">
        <x:v>助教、老师各复核；与常规名单去重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 ht="26" customHeight="1">
      <x:c r="A25" s="2"/>
      <x:c r="B25" s="2" t="str">
        <x:v>每新领域规则整理</x:v>
      </x:c>
      <x:c r="C25" s="8" t="n">
        <x:v>60</x:v>
      </x:c>
      <x:c r="D25" s="2" t="str">
        <x:v>老师分钟</x:v>
      </x:c>
      <x:c r="E25" s="2" t="str">
        <x:v>只计整理判例和规则，不重复计看样例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 ht="26" customHeight="1">
      <x:c r="A26" s="2"/>
      <x:c r="B26" s="2" t="str">
        <x:v>主模型数</x:v>
      </x:c>
      <x:c r="C26" s="5" t="n">
        <x:v>2</x:v>
      </x:c>
      <x:c r="D26" s="2" t="str">
        <x:v>个</x:v>
      </x:c>
      <x:c r="E26" s="2" t="str">
        <x:v>现行terra、sol独立双标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 ht="26" customHeight="1">
      <x:c r="A27" s="2"/>
      <x:c r="B27" s="2" t="str">
        <x:v>每主模型每项运行</x:v>
      </x:c>
      <x:c r="C27" s="8" t="n">
        <x:v>1</x:v>
      </x:c>
      <x:c r="D27" s="2" t="str">
        <x:v>遍</x:v>
      </x:c>
      <x:c r="E27" s="2" t="str">
        <x:v>现行每项各执行一次；四项任务不叫四次重试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 ht="26" customHeight="1">
      <x:c r="A28" s="2"/>
      <x:c r="B28" s="2" t="str">
        <x:v>裁决模型数</x:v>
      </x:c>
      <x:c r="C28" s="5" t="n">
        <x:v>1</x:v>
      </x:c>
      <x:c r="D28" s="2" t="str">
        <x:v>个</x:v>
      </x:c>
      <x:c r="E28" s="2" t="str">
        <x:v>现行gpt-6-sol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 ht="26" customHeight="1">
      <x:c r="A29" s="2"/>
      <x:c r="B29" s="2" t="str">
        <x:v>每分歧标签裁决</x:v>
      </x:c>
      <x:c r="C29" s="8" t="n">
        <x:v>1</x:v>
      </x:c>
      <x:c r="D29" s="2" t="str">
        <x:v>遍</x:v>
      </x:c>
      <x:c r="E29" s="2" t="str">
        <x:v>第三模型读取原文及两份证据；非全量跑第三模型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 ht="26" customHeight="1">
      <x:c r="A30" s="2"/>
      <x:c r="B30" s="2" t="str">
        <x:v>每项提示词预留</x:v>
      </x:c>
      <x:c r="C30" s="8" t="n">
        <x:v>1000</x:v>
      </x:c>
      <x:c r="D30" s="2" t="str">
        <x:v>token</x:v>
      </x:c>
      <x:c r="E30" s="2" t="str">
        <x:v>容量预算可改；不含推理/缓存/批处理节约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 ht="26" customHeight="1">
      <x:c r="A31" s="2"/>
      <x:c r="B31" s="2" t="str">
        <x:v>每项输出预留</x:v>
      </x:c>
      <x:c r="C31" s="8" t="n">
        <x:v>400</x:v>
      </x:c>
      <x:c r="D31" s="2" t="str">
        <x:v>token</x:v>
      </x:c>
      <x:c r="E31" s="2" t="str">
        <x:v>容量预算可改；裁决输入另加两份输出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 ht="26" customHeight="1">
      <x:c r="A32" s="2"/>
      <x:c r="B32" s="2" t="str">
        <x:v>原始对话文本均值</x:v>
      </x:c>
      <x:c r="C32" s="5" t="n">
        <x:v>3059.05311778291</x:v>
      </x:c>
      <x:c r="D32" s="2" t="str">
        <x:v>token/场</x:v>
      </x:c>
      <x:c r="E32" s="2" t="str">
        <x:v>沿用原模型1299场cl100k代理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 ht="26" customHeight="1">
      <x:c r="A33" s="2"/>
      <x:c r="B33" s="2" t="str">
        <x:v>QA3文本均值</x:v>
      </x:c>
      <x:c r="C33" s="5" t="n">
        <x:v>4500.543785310734</x:v>
      </x:c>
      <x:c r="D33" s="2" t="str">
        <x:v>token/场</x:v>
      </x:c>
      <x:c r="E33" s="2" t="str">
        <x:v>沿用原模型708场cl100k代理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 ht="26" customHeight="1">
      <x:c r="A34" s="2"/>
      <x:c r="B34" s="2" t="str">
        <x:v>基线输入均值</x:v>
      </x:c>
      <x:c r="C34" s="5" t="n">
        <x:v>941.0098870056497</x:v>
      </x:c>
      <x:c r="D34" s="2" t="str">
        <x:v>token/项</x:v>
      </x:c>
      <x:c r="E34" s="2" t="str">
        <x:v>当前708条实际输入JSON，cl100k_base重算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 ht="26" customHeight="1">
      <x:c r="A35" s="2"/>
      <x:c r="B35" s="2" t="str">
        <x:v>最高输入均值</x:v>
      </x:c>
      <x:c r="C35" s="5" t="n">
        <x:v>4933.512941176471</x:v>
      </x:c>
      <x:c r="D35" s="2" t="str">
        <x:v>token/项</x:v>
      </x:c>
      <x:c r="E35" s="2" t="str">
        <x:v>当前425条实际输入JSON，cl100k_base重算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 ht="26" customHeight="1">
      <x:c r="A36" s="2"/>
      <x:c r="B36" s="2" t="str">
        <x:v>规则边界预算率</x:v>
      </x:c>
      <x:c r="C36" s="6" t="n">
        <x:v>0.011299435028248588</x:v>
      </x:c>
      <x:c r="D36" s="2" t="str">
        <x:v>占QA3</x:v>
      </x:c>
      <x:c r="E36" s="2" t="str">
        <x:v>沿用8例预留；QA3内实测归属尚未核实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 ht="26" customHeight="1">
      <x:c r="A37" s="2"/>
      <x:c r="B37" s="2" t="str">
        <x:v>资料修复预算率</x:v>
      </x:c>
      <x:c r="C37" s="6" t="n">
        <x:v>0.031073446327683617</x:v>
      </x:c>
      <x:c r="D37" s="2" t="str">
        <x:v>占QA3</x:v>
      </x:c>
      <x:c r="E37" s="2" t="str">
        <x:v>沿用22例预留；QA3内实测归属尚未核实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 ht="26" customHeight="1">
      <x:c r="A38" s="2"/>
      <x:c r="B38" s="2" t="str">
        <x:v>人工全审分歧比例</x:v>
      </x:c>
      <x:c r="C38" s="6" t="n">
        <x:v>1</x:v>
      </x:c>
      <x:c r="D38" s="2" t="str">
        <x:v>比例</x:v>
      </x:c>
      <x:c r="E38" s="2" t="str">
        <x:v>沿用原方案；第三模型给建议，不免除分歧人工复核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 ht="26" customHeight="1">
      <x:c r="A39" s="2"/>
      <x:c r="B39" s="2" t="str">
        <x:v>最高α/De沿用基线</x:v>
      </x:c>
      <x:c r="C39" s="5" t="n">
        <x:v>1</x:v>
      </x:c>
      <x:c r="D39" s="2" t="str">
        <x:v>标记</x:v>
      </x:c>
      <x:c r="E39" s="2" t="str">
        <x:v>最高任务尚未全量完成；该迁移为预算假设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 ht="26" customHeight="1">
      <x:c r="A40" s="2"/>
      <x:c r="B40" s="2" t="str">
        <x:v>实测完整交互轮数</x:v>
      </x:c>
      <x:c r="C40" s="8" t="n">
        <x:v>1384</x:v>
      </x:c>
      <x:c r="D40" s="2" t="str">
        <x:v>轮</x:v>
      </x:c>
      <x:c r="E40" s="2" t="str">
        <x:v>2026春全部来源身份；一场可含多轮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 ht="26" customHeight="1">
      <x:c r="A41" s="2"/>
      <x:c r="B41" s="2" t="str">
        <x:v>抽样随机种子</x:v>
      </x:c>
      <x:c r="C41" s="8" t="n">
        <x:v>20260926</x:v>
      </x:c>
      <x:c r="D41" s="2" t="str">
        <x:v>整数</x:v>
      </x:c>
      <x:c r="E41" s="2" t="str">
        <x:v>按会话ID排序，层内不放回随机抽样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 ht="26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 ht="26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 ht="28" customHeight="1">
      <x:c r="A44" s="2"/>
      <x:c r="B44" s="10" t="str">
        <x:v>来源与适用范围</x:v>
      </x:c>
      <x:c r="C44" s="10"/>
      <x:c r="D44" s="10"/>
      <x:c r="E44" s="10"/>
      <x:c r="F44" s="10"/>
      <x:c r="G44" s="10"/>
      <x:c r="H44" s="10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 ht="40" customHeight="1">
      <x:c r="A45" s="2"/>
      <x:c r="B45" s="11" t="str">
        <x:v>模块A：2026春482场/109个有记录学生身份；平均4.422场/人。推广至200人为预算假设。</x:v>
      </x:c>
      <x:c r="C45" s="11"/>
      <x:c r="D45" s="11"/>
      <x:c r="E45" s="11"/>
      <x:c r="F45" s="11"/>
      <x:c r="G45" s="11"/>
      <x:c r="H45" s="1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 ht="40" customHeight="1">
      <x:c r="A46" s="2"/>
      <x:c r="B46" s="11" t="str">
        <x:v>认知协议：module_b_cognitive_full_v5/protocol.md、manifest.json；全量QA3基线双量尺，QA Pro才做最高双量尺。</x:v>
      </x:c>
      <x:c r="C46" s="11"/>
      <x:c r="D46" s="11"/>
      <x:c r="E46" s="11"/>
      <x:c r="F46" s="11"/>
      <x:c r="G46" s="11"/>
      <x:c r="H46" s="11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 ht="40" customHeight="1">
      <x:c r="A47" s="2"/>
      <x:c r="B47" s="11" t="str">
        <x:v>α快照：2026-09-26T14:53:33.449469；基线六级143/708、三级120/708分歧；最高尚未完结，不当作已验证结果。</x:v>
      </x:c>
      <x:c r="C47" s="11"/>
      <x:c r="D47" s="11"/>
      <x:c r="E47" s="11"/>
      <x:c r="F47" s="11"/>
      <x:c r="G47" s="11"/>
      <x:c r="H47" s="11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 ht="40" customHeight="1">
      <x:c r="A48" s="2"/>
      <x:c r="B48" s="11" t="str">
        <x:v>原始输入统计沿用前版；基线/最高输入已更新。所有token为容量代理，不是服务商账单。</x:v>
      </x:c>
      <x:c r="C48" s="11"/>
      <x:c r="D48" s="11"/>
      <x:c r="E48" s="11"/>
      <x:c r="F48" s="11"/>
      <x:c r="G48" s="11"/>
      <x:c r="H48" s="11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 ht="26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 ht="26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 ht="26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 ht="26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 ht="26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 ht="26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 ht="26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 ht="26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 ht="26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 ht="26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 ht="26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 ht="26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 ht="26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 ht="26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 ht="26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 ht="26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 ht="26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 ht="26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 ht="26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 ht="26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 ht="26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 ht="26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 ht="26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 ht="26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 ht="26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 ht="26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 ht="26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 ht="26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 ht="26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 ht="26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 ht="26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 ht="26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 ht="26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 ht="26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 ht="26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 ht="26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 ht="26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 ht="26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 ht="26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 ht="26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 ht="26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 ht="26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</x:sheetData>
  <x:mergeCells>
    <x:mergeCell ref="B2:H2"/>
    <x:mergeCell ref="E5:H5"/>
    <x:mergeCell ref="E6:H6"/>
    <x:mergeCell ref="E7:H7"/>
    <x:mergeCell ref="E8:H8"/>
    <x:mergeCell ref="E9:H9"/>
    <x:mergeCell ref="E10:H10"/>
    <x:mergeCell ref="E11:H11"/>
    <x:mergeCell ref="E12:H12"/>
    <x:mergeCell ref="E13:H13"/>
    <x:mergeCell ref="E14:H14"/>
    <x:mergeCell ref="E15:H15"/>
    <x:mergeCell ref="E16:H16"/>
    <x:mergeCell ref="E17:H17"/>
    <x:mergeCell ref="E18:H18"/>
    <x:mergeCell ref="E19:H19"/>
    <x:mergeCell ref="E20:H20"/>
    <x:mergeCell ref="E21:H21"/>
    <x:mergeCell ref="E22:H22"/>
    <x:mergeCell ref="E23:H23"/>
    <x:mergeCell ref="E24:H24"/>
    <x:mergeCell ref="E25:H25"/>
    <x:mergeCell ref="E26:H26"/>
    <x:mergeCell ref="E27:H27"/>
    <x:mergeCell ref="E28:H28"/>
    <x:mergeCell ref="E29:H29"/>
    <x:mergeCell ref="E30:H30"/>
    <x:mergeCell ref="E31:H31"/>
    <x:mergeCell ref="E32:H32"/>
    <x:mergeCell ref="E33:H33"/>
    <x:mergeCell ref="E34:H34"/>
    <x:mergeCell ref="E35:H35"/>
    <x:mergeCell ref="E36:H36"/>
    <x:mergeCell ref="E37:H37"/>
    <x:mergeCell ref="E38:H38"/>
    <x:mergeCell ref="E39:H39"/>
    <x:mergeCell ref="E40:H40"/>
    <x:mergeCell ref="E41:H41"/>
    <x:mergeCell ref="B44:H44"/>
    <x:mergeCell ref="B45:H45"/>
    <x:mergeCell ref="B46:H46"/>
    <x:mergeCell ref="B47:H47"/>
    <x:mergeCell ref="B48:H48"/>
  </x:mergeCells>
  <x:dataValidations count="22">
    <x:dataValidation type="decimal" operator="greaterThanOrEqual" sqref="C8">
      <x:formula1>1</x:formula1>
    </x:dataValidation>
    <x:dataValidation type="decimal" operator="greaterThan" sqref="C5">
      <x:formula1>0</x:formula1>
    </x:dataValidation>
    <x:dataValidation type="decimal" operator="greaterThan" sqref="C7">
      <x:formula1>0</x:formula1>
    </x:dataValidation>
    <x:dataValidation type="decimal" operator="greaterThan" sqref="C16">
      <x:formula1>0</x:formula1>
    </x:dataValidation>
    <x:dataValidation type="decimal" operator="greaterThan" sqref="C17">
      <x:formula1>0</x:formula1>
    </x:dataValidation>
    <x:dataValidation type="decimal" operator="greaterThan" sqref="C27">
      <x:formula1>0</x:formula1>
    </x:dataValidation>
    <x:dataValidation type="decimal" operator="greaterThan" sqref="C29">
      <x:formula1>0</x:formula1>
    </x:dataValidation>
    <x:dataValidation type="decimal" operator="between" sqref="C10">
      <x:formula1>0</x:formula1>
      <x:formula2>1</x:formula2>
    </x:dataValidation>
    <x:dataValidation type="decimal" operator="between" sqref="C11">
      <x:formula1>0</x:formula1>
      <x:formula2>1</x:formula2>
    </x:dataValidation>
    <x:dataValidation type="decimal" operator="between" sqref="C12">
      <x:formula1>0</x:formula1>
      <x:formula2>1</x:formula2>
    </x:dataValidation>
    <x:dataValidation type="decimal" operator="between" sqref="C13">
      <x:formula1>0</x:formula1>
      <x:formula2>1</x:formula2>
    </x:dataValidation>
    <x:dataValidation type="decimal" operator="between" sqref="C14">
      <x:formula1>0</x:formula1>
      <x:formula2>1</x:formula2>
    </x:dataValidation>
    <x:dataValidation type="decimal" operator="between" sqref="C15">
      <x:formula1>0</x:formula1>
      <x:formula2>1</x:formula2>
    </x:dataValidation>
    <x:dataValidation type="decimal" operator="between" sqref="C21">
      <x:formula1>0</x:formula1>
      <x:formula2>1</x:formula2>
    </x:dataValidation>
    <x:dataValidation type="decimal" operator="between" sqref="C22">
      <x:formula1>0</x:formula1>
      <x:formula2>1</x:formula2>
    </x:dataValidation>
    <x:dataValidation type="decimal" operator="between" sqref="C36">
      <x:formula1>0</x:formula1>
      <x:formula2>1</x:formula2>
    </x:dataValidation>
    <x:dataValidation type="decimal" operator="between" sqref="C37">
      <x:formula1>0</x:formula1>
      <x:formula2>1</x:formula2>
    </x:dataValidation>
    <x:dataValidation type="decimal" operator="between" sqref="C38">
      <x:formula1>0</x:formula1>
      <x:formula2>1</x:formula2>
    </x:dataValidation>
    <x:dataValidation type="decimal" operator="between" sqref="C18">
      <x:formula1>0.001</x:formula1>
      <x:formula2>0.999</x:formula2>
    </x:dataValidation>
    <x:dataValidation type="decimal" operator="between" sqref="C19">
      <x:formula1>0.001</x:formula1>
      <x:formula2>0.999</x:formula2>
    </x:dataValidation>
    <x:dataValidation type="whole" sqref="C26">
      <x:formula1>2</x:formula1>
    </x:dataValidation>
    <x:dataValidation type="whole" sqref="C28">
      <x:formula1>1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 ht="26" customHeight="1">
      <x:c r="A2" s="2"/>
      <x:c r="B2" s="48" t="str">
        <x:v>敏感性分析｜对话量 × 四项认知任务的共同α</x:v>
      </x:c>
      <x:c r="C2" s="48"/>
      <x:c r="D2" s="48"/>
      <x:c r="E2" s="48"/>
      <x:c r="F2" s="48"/>
      <x:c r="G2" s="48"/>
      <x:c r="H2" s="48"/>
      <x:c r="I2" s="48"/>
      <x:c r="J2" s="48"/>
      <x:c r="K2" s="48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 ht="26" customHeight="1">
      <x:c r="A3" s="2"/>
      <x:c r="B3" s="2" t="str">
        <x:v>固定200人；人均1/2/3/4倍实测 × α=0.6/0.7/0.8/0.9。1倍仅作为比较，不满足double基准。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38" customHeight="1">
      <x:c r="A5" s="2"/>
      <x:c r="B5" s="49" t="str">
        <x:v>人均场数</x:v>
      </x:c>
      <x:c r="C5" s="49" t="str">
        <x:v>倍率</x:v>
      </x:c>
      <x:c r="D5" s="49" t="str">
        <x:v>共同α</x:v>
      </x:c>
      <x:c r="E5" s="49" t="str">
        <x:v>原始场</x:v>
      </x:c>
      <x:c r="F5" s="49" t="str">
        <x:v>人工分歧场¹</x:v>
      </x:c>
      <x:c r="G5" s="49" t="str">
        <x:v>随机抽检场</x:v>
      </x:c>
      <x:c r="H5" s="49" t="str">
        <x:v>助教小时</x:v>
      </x:c>
      <x:c r="I5" s="49" t="str">
        <x:v>老师小时</x:v>
      </x:c>
      <x:c r="J5" s="49" t="str">
        <x:v>合计人时</x:v>
      </x:c>
      <x:c r="K5" s="49" t="str">
        <x:v>裁决任务次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30" customHeight="1">
      <x:c r="A6" s="2"/>
      <x:c r="B6" s="52" t="n">
        <x:f>'可调参数'!$C$6/'可调参数'!$C$7*'测算明细'!C6</x:f>
        <x:v>4.422018348623853</x:v>
      </x:c>
      <x:c r="C6" s="52" t="n">
        <x:f>'测算明细'!C6</x:f>
        <x:v>1</x:v>
      </x:c>
      <x:c r="D6" s="52" t="n">
        <x:f>'测算明细'!D6</x:f>
        <x:v>0.6</x:v>
      </x:c>
      <x:c r="E6" s="54" t="n">
        <x:f>'测算明细'!F6</x:f>
        <x:v>884</x:v>
      </x:c>
      <x:c r="F6" s="54" t="n">
        <x:f>'测算明细'!M6</x:f>
        <x:v>334</x:v>
      </x:c>
      <x:c r="G6" s="54" t="n">
        <x:f>'测算明细'!Q6</x:f>
        <x:v>52</x:v>
      </x:c>
      <x:c r="H6" s="52" t="n">
        <x:f>'测算明细'!X6</x:f>
        <x:v>14.9</x:v>
      </x:c>
      <x:c r="I6" s="52" t="n">
        <x:f>'测算明细'!Y6</x:f>
        <x:v>6.666666666666667</x:v>
      </x:c>
      <x:c r="J6" s="52" t="n">
        <x:f>'测算明细'!Z6</x:f>
        <x:v>21.566666666666666</x:v>
      </x:c>
      <x:c r="K6" s="54" t="n">
        <x:f>'测算明细'!AB6</x:f>
        <x:v>336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30" customHeight="1">
      <x:c r="A7" s="2"/>
      <x:c r="B7" s="52" t="n">
        <x:f>'可调参数'!$C$6/'可调参数'!$C$7*'测算明细'!C7</x:f>
        <x:v>4.422018348623853</x:v>
      </x:c>
      <x:c r="C7" s="52" t="n">
        <x:f>'测算明细'!C7</x:f>
        <x:v>1</x:v>
      </x:c>
      <x:c r="D7" s="52" t="n">
        <x:f>'测算明细'!D7</x:f>
        <x:v>0.7</x:v>
      </x:c>
      <x:c r="E7" s="54" t="n">
        <x:f>'测算明细'!F7</x:f>
        <x:v>884</x:v>
      </x:c>
      <x:c r="F7" s="54" t="n">
        <x:f>'测算明细'!M7</x:f>
        <x:v>251</x:v>
      </x:c>
      <x:c r="G7" s="54" t="n">
        <x:f>'测算明细'!Q7</x:f>
        <x:v>58</x:v>
      </x:c>
      <x:c r="H7" s="52" t="n">
        <x:f>'测算明细'!X7</x:f>
        <x:v>12.333333333333334</x:v>
      </x:c>
      <x:c r="I7" s="52" t="n">
        <x:f>'测算明细'!Y7</x:f>
        <x:v>6.75</x:v>
      </x:c>
      <x:c r="J7" s="52" t="n">
        <x:f>'测算明细'!Z7</x:f>
        <x:v>19.083333333333336</x:v>
      </x:c>
      <x:c r="K7" s="54" t="n">
        <x:f>'测算明细'!AB7</x:f>
        <x:v>252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30" customHeight="1">
      <x:c r="A8" s="2"/>
      <x:c r="B8" s="52" t="n">
        <x:f>'可调参数'!$C$6/'可调参数'!$C$7*'测算明细'!C8</x:f>
        <x:v>4.422018348623853</x:v>
      </x:c>
      <x:c r="C8" s="52" t="n">
        <x:f>'测算明细'!C8</x:f>
        <x:v>1</x:v>
      </x:c>
      <x:c r="D8" s="52" t="n">
        <x:f>'测算明细'!D8</x:f>
        <x:v>0.8</x:v>
      </x:c>
      <x:c r="E8" s="54" t="n">
        <x:f>'测算明细'!F8</x:f>
        <x:v>884</x:v>
      </x:c>
      <x:c r="F8" s="54" t="n">
        <x:f>'测算明细'!M8</x:f>
        <x:v>167</x:v>
      </x:c>
      <x:c r="G8" s="54" t="n">
        <x:f>'测算明细'!Q8</x:f>
        <x:v>62</x:v>
      </x:c>
      <x:c r="H8" s="52" t="n">
        <x:f>'测算明细'!X8</x:f>
        <x:v>9.666666666666666</x:v>
      </x:c>
      <x:c r="I8" s="52" t="n">
        <x:f>'测算明细'!Y8</x:f>
        <x:v>6.833333333333333</x:v>
      </x:c>
      <x:c r="J8" s="52" t="n">
        <x:f>'测算明细'!Z8</x:f>
        <x:v>16.5</x:v>
      </x:c>
      <x:c r="K8" s="54" t="n">
        <x:f>'测算明细'!AB8</x:f>
        <x:v>170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 ht="30" customHeight="1">
      <x:c r="A9" s="2"/>
      <x:c r="B9" s="52" t="n">
        <x:f>'可调参数'!$C$6/'可调参数'!$C$7*'测算明细'!C9</x:f>
        <x:v>4.422018348623853</x:v>
      </x:c>
      <x:c r="C9" s="52" t="n">
        <x:f>'测算明细'!C9</x:f>
        <x:v>1</x:v>
      </x:c>
      <x:c r="D9" s="52" t="n">
        <x:f>'测算明细'!D9</x:f>
        <x:v>0.9</x:v>
      </x:c>
      <x:c r="E9" s="54" t="n">
        <x:f>'测算明细'!F9</x:f>
        <x:v>884</x:v>
      </x:c>
      <x:c r="F9" s="54" t="n">
        <x:f>'测算明细'!M9</x:f>
        <x:v>84</x:v>
      </x:c>
      <x:c r="G9" s="54" t="n">
        <x:f>'测算明细'!Q9</x:f>
        <x:v>62</x:v>
      </x:c>
      <x:c r="H9" s="52" t="n">
        <x:f>'测算明细'!X9</x:f>
        <x:v>6.9</x:v>
      </x:c>
      <x:c r="I9" s="52" t="n">
        <x:f>'测算明细'!Y9</x:f>
        <x:v>6.833333333333333</x:v>
      </x:c>
      <x:c r="J9" s="52" t="n">
        <x:f>'测算明细'!Z9</x:f>
        <x:v>13.733333333333334</x:v>
      </x:c>
      <x:c r="K9" s="54" t="n">
        <x:f>'测算明细'!AB9</x:f>
        <x:v>86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 ht="30" customHeight="1">
      <x:c r="A10" s="2"/>
      <x:c r="B10" s="53" t="n">
        <x:f>'可调参数'!$C$6/'可调参数'!$C$7*'测算明细'!C10</x:f>
        <x:v>8.844036697247706</x:v>
      </x:c>
      <x:c r="C10" s="53" t="n">
        <x:f>'测算明细'!C10</x:f>
        <x:v>2</x:v>
      </x:c>
      <x:c r="D10" s="53" t="n">
        <x:f>'测算明细'!D10</x:f>
        <x:v>0.6</x:v>
      </x:c>
      <x:c r="E10" s="55" t="n">
        <x:f>'测算明细'!F10</x:f>
        <x:v>1769</x:v>
      </x:c>
      <x:c r="F10" s="55" t="n">
        <x:f>'测算明细'!M10</x:f>
        <x:v>668</x:v>
      </x:c>
      <x:c r="G10" s="55" t="n">
        <x:f>'测算明细'!Q10</x:f>
        <x:v>61</x:v>
      </x:c>
      <x:c r="H10" s="53" t="n">
        <x:f>'测算明细'!X10</x:f>
        <x:v>27</x:v>
      </x:c>
      <x:c r="I10" s="53" t="n">
        <x:f>'测算明细'!Y10</x:f>
        <x:v>6.833333333333333</x:v>
      </x:c>
      <x:c r="J10" s="53" t="n">
        <x:f>'测算明细'!Z10</x:f>
        <x:v>33.833333333333336</x:v>
      </x:c>
      <x:c r="K10" s="55" t="n">
        <x:f>'测算明细'!AB10</x:f>
        <x:v>670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 ht="30" customHeight="1">
      <x:c r="A11" s="2"/>
      <x:c r="B11" s="53" t="n">
        <x:f>'可调参数'!$C$6/'可调参数'!$C$7*'测算明细'!C11</x:f>
        <x:v>8.844036697247706</x:v>
      </x:c>
      <x:c r="C11" s="53" t="n">
        <x:f>'测算明细'!C11</x:f>
        <x:v>2</x:v>
      </x:c>
      <x:c r="D11" s="53" t="n">
        <x:f>'测算明细'!D11</x:f>
        <x:v>0.7</x:v>
      </x:c>
      <x:c r="E11" s="55" t="n">
        <x:f>'测算明细'!F11</x:f>
        <x:v>1769</x:v>
      </x:c>
      <x:c r="F11" s="55" t="n">
        <x:f>'测算明细'!M11</x:f>
        <x:v>501</x:v>
      </x:c>
      <x:c r="G11" s="55" t="n">
        <x:f>'测算明细'!Q11</x:f>
        <x:v>62</x:v>
      </x:c>
      <x:c r="H11" s="53" t="n">
        <x:f>'测算明细'!X11</x:f>
        <x:v>21.466666666666665</x:v>
      </x:c>
      <x:c r="I11" s="53" t="n">
        <x:f>'测算明细'!Y11</x:f>
        <x:v>6.833333333333333</x:v>
      </x:c>
      <x:c r="J11" s="53" t="n">
        <x:f>'测算明细'!Z11</x:f>
        <x:v>28.299999999999997</x:v>
      </x:c>
      <x:c r="K11" s="55" t="n">
        <x:f>'测算明细'!AB11</x:f>
        <x:v>502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 ht="30" customHeight="1">
      <x:c r="A12" s="2"/>
      <x:c r="B12" s="53" t="n">
        <x:f>'可调参数'!$C$6/'可调参数'!$C$7*'测算明细'!C12</x:f>
        <x:v>8.844036697247706</x:v>
      </x:c>
      <x:c r="C12" s="53" t="n">
        <x:f>'测算明细'!C12</x:f>
        <x:v>2</x:v>
      </x:c>
      <x:c r="D12" s="53" t="n">
        <x:f>'测算明细'!D12</x:f>
        <x:v>0.8</x:v>
      </x:c>
      <x:c r="E12" s="55" t="n">
        <x:f>'测算明细'!F12</x:f>
        <x:v>1769</x:v>
      </x:c>
      <x:c r="F12" s="55" t="n">
        <x:f>'测算明细'!M12</x:f>
        <x:v>335</x:v>
      </x:c>
      <x:c r="G12" s="55" t="n">
        <x:f>'测算明细'!Q12</x:f>
        <x:v>66</x:v>
      </x:c>
      <x:c r="H12" s="53" t="n">
        <x:f>'测算明细'!X12</x:f>
        <x:v>16.066666666666666</x:v>
      </x:c>
      <x:c r="I12" s="53" t="n">
        <x:f>'测算明细'!Y12</x:f>
        <x:v>6.916666666666667</x:v>
      </x:c>
      <x:c r="J12" s="53" t="n">
        <x:f>'测算明细'!Z12</x:f>
        <x:v>22.983333333333334</x:v>
      </x:c>
      <x:c r="K12" s="55" t="n">
        <x:f>'测算明细'!AB12</x:f>
        <x:v>336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 ht="30" customHeight="1">
      <x:c r="A13" s="2"/>
      <x:c r="B13" s="53" t="n">
        <x:f>'可调参数'!$C$6/'可调参数'!$C$7*'测算明细'!C13</x:f>
        <x:v>8.844036697247706</x:v>
      </x:c>
      <x:c r="C13" s="53" t="n">
        <x:f>'测算明细'!C13</x:f>
        <x:v>2</x:v>
      </x:c>
      <x:c r="D13" s="53" t="n">
        <x:f>'测算明细'!D13</x:f>
        <x:v>0.9</x:v>
      </x:c>
      <x:c r="E13" s="55" t="n">
        <x:f>'测算明细'!F13</x:f>
        <x:v>1769</x:v>
      </x:c>
      <x:c r="F13" s="55" t="n">
        <x:f>'测算明细'!M13</x:f>
        <x:v>168</x:v>
      </x:c>
      <x:c r="G13" s="55" t="n">
        <x:f>'测算明细'!Q13</x:f>
        <x:v>67</x:v>
      </x:c>
      <x:c r="H13" s="53" t="n">
        <x:f>'测算明细'!X13</x:f>
        <x:v>10.533333333333333</x:v>
      </x:c>
      <x:c r="I13" s="53" t="n">
        <x:f>'测算明细'!Y13</x:f>
        <x:v>6.916666666666667</x:v>
      </x:c>
      <x:c r="J13" s="53" t="n">
        <x:f>'测算明细'!Z13</x:f>
        <x:v>17.45</x:v>
      </x:c>
      <x:c r="K13" s="55" t="n">
        <x:f>'测算明细'!AB13</x:f>
        <x:v>170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 ht="30" customHeight="1">
      <x:c r="A14" s="2"/>
      <x:c r="B14" s="52" t="n">
        <x:f>'可调参数'!$C$6/'可调参数'!$C$7*'测算明细'!C14</x:f>
        <x:v>13.266055045871559</x:v>
      </x:c>
      <x:c r="C14" s="52" t="n">
        <x:f>'测算明细'!C14</x:f>
        <x:v>3</x:v>
      </x:c>
      <x:c r="D14" s="52" t="n">
        <x:f>'测算明细'!D14</x:f>
        <x:v>0.6</x:v>
      </x:c>
      <x:c r="E14" s="54" t="n">
        <x:f>'测算明细'!F14</x:f>
        <x:v>2653</x:v>
      </x:c>
      <x:c r="F14" s="54" t="n">
        <x:f>'测算明细'!M14</x:f>
        <x:v>1001</x:v>
      </x:c>
      <x:c r="G14" s="54" t="n">
        <x:f>'测算明细'!Q14</x:f>
        <x:v>62</x:v>
      </x:c>
      <x:c r="H14" s="52" t="n">
        <x:f>'测算明细'!X14</x:f>
        <x:v>38.833333333333336</x:v>
      </x:c>
      <x:c r="I14" s="52" t="n">
        <x:f>'测算明细'!Y14</x:f>
        <x:v>6.833333333333333</x:v>
      </x:c>
      <x:c r="J14" s="52" t="n">
        <x:f>'测算明细'!Z14</x:f>
        <x:v>45.66666666666667</x:v>
      </x:c>
      <x:c r="K14" s="54" t="n">
        <x:f>'测算明细'!AB14</x:f>
        <x:v>1002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 ht="30" customHeight="1">
      <x:c r="A15" s="2"/>
      <x:c r="B15" s="52" t="n">
        <x:f>'可调参数'!$C$6/'可调参数'!$C$7*'测算明细'!C15</x:f>
        <x:v>13.266055045871559</x:v>
      </x:c>
      <x:c r="C15" s="52" t="n">
        <x:f>'测算明细'!C15</x:f>
        <x:v>3</x:v>
      </x:c>
      <x:c r="D15" s="52" t="n">
        <x:f>'测算明细'!D15</x:f>
        <x:v>0.7</x:v>
      </x:c>
      <x:c r="E15" s="54" t="n">
        <x:f>'测算明细'!F15</x:f>
        <x:v>2653</x:v>
      </x:c>
      <x:c r="F15" s="54" t="n">
        <x:f>'测算明细'!M15</x:f>
        <x:v>752</x:v>
      </x:c>
      <x:c r="G15" s="54" t="n">
        <x:f>'测算明细'!Q15</x:f>
        <x:v>67</x:v>
      </x:c>
      <x:c r="H15" s="52" t="n">
        <x:f>'测算明细'!X15</x:f>
        <x:v>30.7</x:v>
      </x:c>
      <x:c r="I15" s="52" t="n">
        <x:f>'测算明细'!Y15</x:f>
        <x:v>6.916666666666667</x:v>
      </x:c>
      <x:c r="J15" s="52" t="n">
        <x:f>'测算明细'!Z15</x:f>
        <x:v>37.61666666666667</x:v>
      </x:c>
      <x:c r="K15" s="54" t="n">
        <x:f>'测算明细'!AB15</x:f>
        <x:v>752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 ht="30" customHeight="1">
      <x:c r="A16" s="2"/>
      <x:c r="B16" s="52" t="n">
        <x:f>'可调参数'!$C$6/'可调参数'!$C$7*'测算明细'!C16</x:f>
        <x:v>13.266055045871559</x:v>
      </x:c>
      <x:c r="C16" s="52" t="n">
        <x:f>'测算明细'!C16</x:f>
        <x:v>3</x:v>
      </x:c>
      <x:c r="D16" s="52" t="n">
        <x:f>'测算明细'!D16</x:f>
        <x:v>0.8</x:v>
      </x:c>
      <x:c r="E16" s="54" t="n">
        <x:f>'测算明细'!F16</x:f>
        <x:v>2653</x:v>
      </x:c>
      <x:c r="F16" s="54" t="n">
        <x:f>'测算明细'!M16</x:f>
        <x:v>501</x:v>
      </x:c>
      <x:c r="G16" s="54" t="n">
        <x:f>'测算明细'!Q16</x:f>
        <x:v>66</x:v>
      </x:c>
      <x:c r="H16" s="52" t="n">
        <x:f>'测算明细'!X16</x:f>
        <x:v>22.3</x:v>
      </x:c>
      <x:c r="I16" s="52" t="n">
        <x:f>'测算明细'!Y16</x:f>
        <x:v>6.916666666666667</x:v>
      </x:c>
      <x:c r="J16" s="52" t="n">
        <x:f>'测算明细'!Z16</x:f>
        <x:v>29.21666666666667</x:v>
      </x:c>
      <x:c r="K16" s="54" t="n">
        <x:f>'测算明细'!AB16</x:f>
        <x:v>502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 ht="30" customHeight="1">
      <x:c r="A17" s="2"/>
      <x:c r="B17" s="52" t="n">
        <x:f>'可调参数'!$C$6/'可调参数'!$C$7*'测算明细'!C17</x:f>
        <x:v>13.266055045871559</x:v>
      </x:c>
      <x:c r="C17" s="52" t="n">
        <x:f>'测算明细'!C17</x:f>
        <x:v>3</x:v>
      </x:c>
      <x:c r="D17" s="52" t="n">
        <x:f>'测算明细'!D17</x:f>
        <x:v>0.9</x:v>
      </x:c>
      <x:c r="E17" s="54" t="n">
        <x:f>'测算明细'!F17</x:f>
        <x:v>2653</x:v>
      </x:c>
      <x:c r="F17" s="54" t="n">
        <x:f>'测算明细'!M17</x:f>
        <x:v>251</x:v>
      </x:c>
      <x:c r="G17" s="54" t="n">
        <x:f>'测算明细'!Q17</x:f>
        <x:v>67</x:v>
      </x:c>
      <x:c r="H17" s="52" t="n">
        <x:f>'测算明细'!X17</x:f>
        <x:v>14</x:v>
      </x:c>
      <x:c r="I17" s="52" t="n">
        <x:f>'测算明细'!Y17</x:f>
        <x:v>6.916666666666667</x:v>
      </x:c>
      <x:c r="J17" s="52" t="n">
        <x:f>'测算明细'!Z17</x:f>
        <x:v>20.916666666666668</x:v>
      </x:c>
      <x:c r="K17" s="54" t="n">
        <x:f>'测算明细'!AB17</x:f>
        <x:v>252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 ht="30" customHeight="1">
      <x:c r="A18" s="2"/>
      <x:c r="B18" s="53" t="n">
        <x:f>'可调参数'!$C$6/'可调参数'!$C$7*'测算明细'!C18</x:f>
        <x:v>17.68807339449541</x:v>
      </x:c>
      <x:c r="C18" s="53" t="n">
        <x:f>'测算明细'!C18</x:f>
        <x:v>4</x:v>
      </x:c>
      <x:c r="D18" s="53" t="n">
        <x:f>'测算明细'!D18</x:f>
        <x:v>0.6</x:v>
      </x:c>
      <x:c r="E18" s="55" t="n">
        <x:f>'测算明细'!F18</x:f>
        <x:v>3538</x:v>
      </x:c>
      <x:c r="F18" s="55" t="n">
        <x:f>'测算明细'!M18</x:f>
        <x:v>1335</x:v>
      </x:c>
      <x:c r="G18" s="55" t="n">
        <x:f>'测算明细'!Q18</x:f>
        <x:v>66</x:v>
      </x:c>
      <x:c r="H18" s="53" t="n">
        <x:f>'测算明细'!X18</x:f>
        <x:v>50.766666666666666</x:v>
      </x:c>
      <x:c r="I18" s="53" t="n">
        <x:f>'测算明细'!Y18</x:f>
        <x:v>6.916666666666667</x:v>
      </x:c>
      <x:c r="J18" s="53" t="n">
        <x:f>'测算明细'!Z18</x:f>
        <x:v>57.68333333333333</x:v>
      </x:c>
      <x:c r="K18" s="55" t="n">
        <x:f>'测算明细'!AB18</x:f>
        <x:v>1336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 ht="30" customHeight="1">
      <x:c r="A19" s="2"/>
      <x:c r="B19" s="53" t="n">
        <x:f>'可调参数'!$C$6/'可调参数'!$C$7*'测算明细'!C19</x:f>
        <x:v>17.68807339449541</x:v>
      </x:c>
      <x:c r="C19" s="53" t="n">
        <x:f>'测算明细'!C19</x:f>
        <x:v>4</x:v>
      </x:c>
      <x:c r="D19" s="53" t="n">
        <x:f>'测算明细'!D19</x:f>
        <x:v>0.7</x:v>
      </x:c>
      <x:c r="E19" s="55" t="n">
        <x:f>'测算明细'!F19</x:f>
        <x:v>3538</x:v>
      </x:c>
      <x:c r="F19" s="55" t="n">
        <x:f>'测算明细'!M19</x:f>
        <x:v>1002</x:v>
      </x:c>
      <x:c r="G19" s="55" t="n">
        <x:f>'测算明细'!Q19</x:f>
        <x:v>67</x:v>
      </x:c>
      <x:c r="H19" s="53" t="n">
        <x:f>'测算明细'!X19</x:f>
        <x:v>39.7</x:v>
      </x:c>
      <x:c r="I19" s="53" t="n">
        <x:f>'测算明细'!Y19</x:f>
        <x:v>6.916666666666667</x:v>
      </x:c>
      <x:c r="J19" s="53" t="n">
        <x:f>'测算明细'!Z19</x:f>
        <x:v>46.61666666666667</x:v>
      </x:c>
      <x:c r="K19" s="55" t="n">
        <x:f>'测算明细'!AB19</x:f>
        <x:v>1002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 ht="30" customHeight="1">
      <x:c r="A20" s="2"/>
      <x:c r="B20" s="53" t="n">
        <x:f>'可调参数'!$C$6/'可调参数'!$C$7*'测算明细'!C20</x:f>
        <x:v>17.68807339449541</x:v>
      </x:c>
      <x:c r="C20" s="53" t="n">
        <x:f>'测算明细'!C20</x:f>
        <x:v>4</x:v>
      </x:c>
      <x:c r="D20" s="53" t="n">
        <x:f>'测算明细'!D20</x:f>
        <x:v>0.8</x:v>
      </x:c>
      <x:c r="E20" s="55" t="n">
        <x:f>'测算明细'!F20</x:f>
        <x:v>3538</x:v>
      </x:c>
      <x:c r="F20" s="55" t="n">
        <x:f>'测算明细'!M20</x:f>
        <x:v>668</x:v>
      </x:c>
      <x:c r="G20" s="55" t="n">
        <x:f>'测算明细'!Q20</x:f>
        <x:v>67</x:v>
      </x:c>
      <x:c r="H20" s="53" t="n">
        <x:f>'测算明细'!X20</x:f>
        <x:v>28.566666666666666</x:v>
      </x:c>
      <x:c r="I20" s="53" t="n">
        <x:f>'测算明细'!Y20</x:f>
        <x:v>6.916666666666667</x:v>
      </x:c>
      <x:c r="J20" s="53" t="n">
        <x:f>'测算明细'!Z20</x:f>
        <x:v>35.483333333333334</x:v>
      </x:c>
      <x:c r="K20" s="55" t="n">
        <x:f>'测算明细'!AB20</x:f>
        <x:v>669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 ht="30" customHeight="1">
      <x:c r="A21" s="2"/>
      <x:c r="B21" s="53" t="n">
        <x:f>'可调参数'!$C$6/'可调参数'!$C$7*'测算明细'!C21</x:f>
        <x:v>17.68807339449541</x:v>
      </x:c>
      <x:c r="C21" s="53" t="n">
        <x:f>'测算明细'!C21</x:f>
        <x:v>4</x:v>
      </x:c>
      <x:c r="D21" s="53" t="n">
        <x:f>'测算明细'!D21</x:f>
        <x:v>0.9</x:v>
      </x:c>
      <x:c r="E21" s="55" t="n">
        <x:f>'测算明细'!F21</x:f>
        <x:v>3538</x:v>
      </x:c>
      <x:c r="F21" s="55" t="n">
        <x:f>'测算明细'!M21</x:f>
        <x:v>335</x:v>
      </x:c>
      <x:c r="G21" s="55" t="n">
        <x:f>'测算明细'!Q21</x:f>
        <x:v>67</x:v>
      </x:c>
      <x:c r="H21" s="53" t="n">
        <x:f>'测算明细'!X21</x:f>
        <x:v>17.466666666666665</x:v>
      </x:c>
      <x:c r="I21" s="53" t="n">
        <x:f>'测算明细'!Y21</x:f>
        <x:v>6.916666666666667</x:v>
      </x:c>
      <x:c r="J21" s="53" t="n">
        <x:f>'测算明细'!Z21</x:f>
        <x:v>24.383333333333333</x:v>
      </x:c>
      <x:c r="K21" s="55" t="n">
        <x:f>'测算明细'!AB21</x:f>
        <x:v>336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 ht="26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 ht="38" customHeight="1">
      <x:c r="A23" s="2"/>
      <x:c r="B23" s="11" t="str">
        <x:v>¹分歧人工为保守并集上界；α是名义Krippendorff信度，不是准确率。最高阶段De暂沿用基线。</x:v>
      </x:c>
      <x:c r="C23" s="11"/>
      <x:c r="D23" s="11"/>
      <x:c r="E23" s="11"/>
      <x:c r="F23" s="11"/>
      <x:c r="G23" s="11"/>
      <x:c r="H23" s="11"/>
      <x:c r="I23" s="11"/>
      <x:c r="J23" s="11"/>
      <x:c r="K23" s="11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 ht="38" customHeight="1">
      <x:c r="A24" s="2"/>
      <x:c r="B24" s="11" t="str">
        <x:v>固定新领域最多40场、教师规则整理120分钟；随机样本按本场景池量重算，故工时不会按会话量简单同比缩放。</x:v>
      </x:c>
      <x:c r="C24" s="11"/>
      <x:c r="D24" s="11"/>
      <x:c r="E24" s="11"/>
      <x:c r="F24" s="11"/>
      <x:c r="G24" s="11"/>
      <x:c r="H24" s="11"/>
      <x:c r="I24" s="11"/>
      <x:c r="J24" s="11"/>
      <x:c r="K24" s="11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 ht="26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 ht="26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 ht="26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 ht="26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 ht="26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 ht="26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 ht="26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 ht="26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 ht="26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 ht="26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 ht="26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 ht="26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 ht="26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 ht="26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 ht="26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 ht="26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 ht="26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 ht="26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 ht="26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 ht="26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 ht="26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 ht="26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 ht="26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 ht="26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 ht="26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 ht="26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 ht="26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 ht="26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 ht="26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 ht="26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 ht="26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 ht="26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 ht="26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 ht="26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 ht="26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 ht="26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 ht="26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 ht="26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 ht="26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 ht="26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 ht="26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 ht="26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 ht="26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 ht="26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 ht="26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 ht="26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 ht="26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 ht="26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 ht="26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 ht="26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</x:sheetData>
  <x:mergeCells>
    <x:mergeCell ref="B2:K2"/>
    <x:mergeCell ref="B3:K3"/>
    <x:mergeCell ref="B23:K23"/>
    <x:mergeCell ref="B24:K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 ht="26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 ht="48" customHeight="1">
      <x:c r="A4" s="2"/>
      <x:c r="B4" s="13" t="str">
        <x:v>情景</x:v>
      </x:c>
      <x:c r="C4" s="13" t="str">
        <x:v>人均倍率</x:v>
      </x:c>
      <x:c r="D4" s="13" t="str">
        <x:v>六级α</x:v>
      </x:c>
      <x:c r="E4" s="13" t="str">
        <x:v>三级α</x:v>
      </x:c>
      <x:c r="F4" s="13" t="str">
        <x:v>原始会话</x:v>
      </x:c>
      <x:c r="G4" s="13" t="str">
        <x:v>QA3</x:v>
      </x:c>
      <x:c r="H4" s="13" t="str">
        <x:v>QA Pro</x:v>
      </x:c>
      <x:c r="I4" s="13" t="str">
        <x:v>六级分歧率</x:v>
      </x:c>
      <x:c r="J4" s="13" t="str">
        <x:v>三级分歧率</x:v>
      </x:c>
      <x:c r="K4" s="13" t="str">
        <x:v>仅QA3分歧场上限</x:v>
      </x:c>
      <x:c r="L4" s="13" t="str">
        <x:v>QA Pro分歧场上限</x:v>
      </x:c>
      <x:c r="M4" s="13" t="str">
        <x:v>人工分歧场</x:v>
      </x:c>
      <x:c r="N4" s="13" t="str">
        <x:v>共识池A</x:v>
      </x:c>
      <x:c r="O4" s="13" t="str">
        <x:v>K=ceil(p₀A)</x:v>
      </x:c>
      <x:c r="P4" s="13" t="str">
        <x:v>层内最低比例r</x:v>
      </x:c>
      <x:c r="Q4" s="13" t="str">
        <x:v>分层抽样n</x:v>
      </x:c>
      <x:c r="R4" s="13" t="str">
        <x:v>老师抽检场</x:v>
      </x:c>
      <x:c r="S4" s="13" t="str">
        <x:v>边界场</x:v>
      </x:c>
      <x:c r="T4" s="13" t="str">
        <x:v>修复场</x:v>
      </x:c>
      <x:c r="U4" s="13" t="str">
        <x:v>新领域m</x:v>
      </x:c>
      <x:c r="V4" s="13" t="str">
        <x:v>助教场次</x:v>
      </x:c>
      <x:c r="W4" s="13" t="str">
        <x:v>老师场次</x:v>
      </x:c>
      <x:c r="X4" s="13" t="str">
        <x:v>助教小时</x:v>
      </x:c>
      <x:c r="Y4" s="13" t="str">
        <x:v>老师小时</x:v>
      </x:c>
      <x:c r="Z4" s="13" t="str">
        <x:v>人工总小时</x:v>
      </x:c>
      <x:c r="AA4" s="13" t="str">
        <x:v>主模型任务次</x:v>
      </x:c>
      <x:c r="AB4" s="13" t="str">
        <x:v>裁决任务次</x:v>
      </x:c>
      <x:c r="AC4" s="13" t="str">
        <x:v>输入token</x:v>
      </x:c>
      <x:c r="AD4" s="13" t="str">
        <x:v>输出token</x:v>
      </x:c>
      <x:c r="AE4" s="13" t="str">
        <x:v>基线裁决项</x:v>
      </x:c>
      <x:c r="AF4" s="13" t="str">
        <x:v>最高裁决项</x:v>
      </x:c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26" customHeight="1">
      <x:c r="A5" s="2"/>
      <x:c r="B5" s="2" t="str">
        <x:v>基准：当前基线α</x:v>
      </x:c>
      <x:c r="C5" s="14" t="n">
        <x:f>'可调参数'!$C$8</x:f>
        <x:v>2</x:v>
      </x:c>
      <x:c r="D5" s="14" t="n">
        <x:f>'可调参数'!$C$12</x:f>
        <x:v>0.6267007351788136</x:v>
      </x:c>
      <x:c r="E5" s="14" t="n">
        <x:f>'可调参数'!$C$13</x:f>
        <x:v>0.686225522172103</x:v>
      </x:c>
      <x:c r="F5" s="14" t="n">
        <x:f>ROUND('可调参数'!$C$5*'可调参数'!$C$6/'可调参数'!$C$7*C5,0)</x:f>
        <x:v>1769</x:v>
      </x:c>
      <x:c r="G5" s="14" t="n">
        <x:f>ROUND('可调参数'!$C$5*'可调参数'!$C$6/'可调参数'!$C$7*C5*'可调参数'!$C$10,0)</x:f>
        <x:v>964</x:v>
      </x:c>
      <x:c r="H5" s="14" t="n">
        <x:f>ROUND('可调参数'!$C$5*'可调参数'!$C$6/'可调参数'!$C$7*C5*'可调参数'!$C$10*'可调参数'!$C$11,0)</x:f>
        <x:v>579</x:v>
      </x:c>
      <x:c r="I5" s="14" t="n">
        <x:f>(1-D5)*'可调参数'!$C$14</x:f>
        <x:v>0.20197740112994347</x:v>
      </x:c>
      <x:c r="J5" s="14" t="n">
        <x:f>(1-E5)*'可调参数'!$C$15</x:f>
        <x:v>0.16949152542372878</x:v>
      </x:c>
      <x:c r="K5" s="2" t="n">
        <x:f>MIN(G5-H5,ROUNDUP((G5-H5)*(I5+J5),0))</x:f>
        <x:v>144</x:v>
      </x:c>
      <x:c r="L5" s="2" t="n">
        <x:f>MIN(H5,ROUNDUP(H5*MIN(1,2*(I5+J5)),0))</x:f>
        <x:v>431</x:v>
      </x:c>
      <x:c r="M5" s="14" t="n">
        <x:f>ROUNDUP((K5+L5)*'可调参数'!$C$38,0)</x:f>
        <x:v>575</x:v>
      </x:c>
      <x:c r="N5" s="2" t="n">
        <x:f>G5-M5</x:f>
        <x:v>389</x:v>
      </x:c>
      <x:c r="O5" s="14" t="n">
        <x:f>ROUNDUP(N5*'可调参数'!$C$18,0)</x:f>
        <x:v>20</x:v>
      </x:c>
      <x:c r="P5" s="14" t="n">
        <x:f>IF(N5=0,0,1-(1-'可调参数'!$C$19)^(1/MAX(1,O5)))</x:f>
        <x:v>0.13910834066826516</x:v>
      </x:c>
      <x:c r="Q5" s="2" t="n">
        <x:f>SUM(AH5:AT5)</x:f>
        <x:v>62</x:v>
      </x:c>
      <x:c r="R5" s="14" t="n">
        <x:f>ROUNDUP(Q5*'可调参数'!$C$21,0)+ROUNDUP((Q5-ROUNDUP(Q5*'可调参数'!$C$21,0))*'可调参数'!$C$22,0)</x:f>
        <x:v>18</x:v>
      </x:c>
      <x:c r="S5" s="14" t="n">
        <x:f>ROUNDUP(G5*'可调参数'!$C$36,0)</x:f>
        <x:v>11</x:v>
      </x:c>
      <x:c r="T5" s="14" t="n">
        <x:f>ROUNDUP(G5*'可调参数'!$C$37,0)</x:f>
        <x:v>30</x:v>
      </x:c>
      <x:c r="U5" s="14" t="n">
        <x:f>MIN('可调参数'!$C$23*'可调参数'!$C$24,MAX(0,N5-Q5))</x:f>
        <x:v>40</x:v>
      </x:c>
      <x:c r="V5" s="2" t="n">
        <x:f>SUM(M5,Q5,S5,T5,U5)</x:f>
        <x:v>718</x:v>
      </x:c>
      <x:c r="W5" s="2" t="n">
        <x:f>R5+U5</x:f>
        <x:v>58</x:v>
      </x:c>
      <x:c r="X5" s="14" t="n">
        <x:f>V5*'可调参数'!$C$16/60</x:f>
        <x:v>23.933333333333334</x:v>
      </x:c>
      <x:c r="Y5" s="14" t="n">
        <x:f>(W5*'可调参数'!$C$17+'可调参数'!$C$23*'可调参数'!$C$25)/60</x:f>
        <x:v>6.833333333333333</x:v>
      </x:c>
      <x:c r="Z5" s="2" t="n">
        <x:f>X5+Y5</x:f>
        <x:v>30.766666666666666</x:v>
      </x:c>
      <x:c r="AA5" s="14" t="n">
        <x:f>'可调参数'!$C$26*'可调参数'!$C$27*(F5+G5+2*(G5+H5))</x:f>
        <x:v>11638</x:v>
      </x:c>
      <x:c r="AB5" s="14" t="n">
        <x:f>(AE5+AF5)*'可调参数'!$C$28*'可调参数'!$C$29</x:f>
        <x:v>575</x:v>
      </x:c>
      <x:c r="AC5" s="14" t="n">
        <x:f>'可调参数'!$C$26*'可调参数'!$C$27*(F5*('可调参数'!$C$32+'可调参数'!$C$30)+G5*('可调参数'!$C$33+'可调参数'!$C$30)+2*G5*('可调参数'!$C$34+'可调参数'!$C$30)+2*H5*('可调参数'!$C$35+'可调参数'!$C$30))+'可调参数'!$C$28*'可调参数'!$C$29*(AE5*('可调参数'!$C$34+'可调参数'!$C$30+2*'可调参数'!$C$31)+AF5*('可调参数'!$C$35+'可调参数'!$C$30+2*'可调参数'!$C$31))</x:f>
        <x:v>48630989.78958267</x:v>
      </x:c>
      <x:c r="AD5" s="14" t="n">
        <x:f>(AA5+AB5)*'可调参数'!$C$31</x:f>
        <x:v>4885200</x:v>
      </x:c>
      <x:c r="AE5" s="2" t="n">
        <x:f>ROUNDUP(G5*I5,0)+ROUNDUP(G5*J5,0)</x:f>
        <x:v>359</x:v>
      </x:c>
      <x:c r="AF5" s="2" t="n">
        <x:f>ROUNDUP(H5*I5,0)+ROUNDUP(H5*J5,0)</x:f>
        <x:v>216</x:v>
      </x:c>
      <x:c r="AG5" s="2"/>
      <x:c r="AH5" s="14" t="n">
        <x:f>MIN(BG5,MAX(ROUNDUP(BG5*P5,0),'可调参数'!$C$20))</x:f>
        <x:v>16</x:v>
      </x:c>
      <x:c r="AI5" s="14" t="n">
        <x:f>MIN(AU5,MAX(ROUNDUP(AU5*P5,0),'可调参数'!$C$20))</x:f>
        <x:v>10</x:v>
      </x:c>
      <x:c r="AJ5" s="14" t="n">
        <x:f>MIN(AV5,MAX(ROUNDUP(AV5*P5,0),'可调参数'!$C$20))</x:f>
        <x:v>7</x:v>
      </x:c>
      <x:c r="AK5" s="14" t="n">
        <x:f>MIN(AW5,MAX(ROUNDUP(AW5*P5,0),'可调参数'!$C$20))</x:f>
        <x:v>6</x:v>
      </x:c>
      <x:c r="AL5" s="14" t="n">
        <x:f>MIN(AX5,MAX(ROUNDUP(AX5*P5,0),'可调参数'!$C$20))</x:f>
        <x:v>4</x:v>
      </x:c>
      <x:c r="AM5" s="14" t="n">
        <x:f>MIN(AY5,MAX(ROUNDUP(AY5*P5,0),'可调参数'!$C$20))</x:f>
        <x:v>4</x:v>
      </x:c>
      <x:c r="AN5" s="14" t="n">
        <x:f>MIN(AZ5,MAX(ROUNDUP(AZ5*P5,0),'可调参数'!$C$20))</x:f>
        <x:v>3</x:v>
      </x:c>
      <x:c r="AO5" s="14" t="n">
        <x:f>MIN(BA5,MAX(ROUNDUP(BA5*P5,0),'可调参数'!$C$20))</x:f>
        <x:v>3</x:v>
      </x:c>
      <x:c r="AP5" s="14" t="n">
        <x:f>MIN(BB5,MAX(ROUNDUP(BB5*P5,0),'可调参数'!$C$20))</x:f>
        <x:v>3</x:v>
      </x:c>
      <x:c r="AQ5" s="14" t="n">
        <x:f>MIN(BC5,MAX(ROUNDUP(BC5*P5,0),'可调参数'!$C$20))</x:f>
        <x:v>2</x:v>
      </x:c>
      <x:c r="AR5" s="14" t="n">
        <x:f>MIN(BD5,MAX(ROUNDUP(BD5*P5,0),'可调参数'!$C$20))</x:f>
        <x:v>2</x:v>
      </x:c>
      <x:c r="AS5" s="14" t="n">
        <x:f>MIN(BE5,MAX(ROUNDUP(BE5*P5,0),'可调参数'!$C$20))</x:f>
        <x:v>1</x:v>
      </x:c>
      <x:c r="AT5" s="14" t="n">
        <x:f>MIN(BF5,MAX(ROUNDUP(BF5*P5,0),'可调参数'!$C$20))</x:f>
        <x:v>1</x:v>
      </x:c>
      <x:c r="AU5" s="14" t="n">
        <x:f>ROUNDDOWN(N5*'抽样与口径'!C7/SUM('抽样与口径'!C$6:C$18),0)</x:f>
        <x:v>69</x:v>
      </x:c>
      <x:c r="AV5" s="14" t="n">
        <x:f>ROUNDDOWN(N5*'抽样与口径'!C8/SUM('抽样与口径'!C$6:C$18),0)</x:f>
        <x:v>48</x:v>
      </x:c>
      <x:c r="AW5" s="14" t="n">
        <x:f>ROUNDDOWN(N5*'抽样与口径'!C9/SUM('抽样与口径'!C$6:C$18),0)</x:f>
        <x:v>37</x:v>
      </x:c>
      <x:c r="AX5" s="14" t="n">
        <x:f>ROUNDDOWN(N5*'抽样与口径'!C10/SUM('抽样与口径'!C$6:C$18),0)</x:f>
        <x:v>25</x:v>
      </x:c>
      <x:c r="AY5" s="14" t="n">
        <x:f>ROUNDDOWN(N5*'抽样与口径'!C11/SUM('抽样与口径'!C$6:C$18),0)</x:f>
        <x:v>24</x:v>
      </x:c>
      <x:c r="AZ5" s="14" t="n">
        <x:f>ROUNDDOWN(N5*'抽样与口径'!C12/SUM('抽样与口径'!C$6:C$18),0)</x:f>
        <x:v>19</x:v>
      </x:c>
      <x:c r="BA5" s="16" t="n">
        <x:f>ROUNDDOWN(N5*'抽样与口径'!C13/SUM('抽样与口径'!C$6:C$18),0)</x:f>
        <x:v>17</x:v>
      </x:c>
      <x:c r="BB5" s="16" t="n">
        <x:f>ROUNDDOWN(N5*'抽样与口径'!C14/SUM('抽样与口径'!C$6:C$18),0)</x:f>
        <x:v>15</x:v>
      </x:c>
      <x:c r="BC5" s="16" t="n">
        <x:f>ROUNDDOWN(N5*'抽样与口径'!C15/SUM('抽样与口径'!C$6:C$18),0)</x:f>
        <x:v>13</x:v>
      </x:c>
      <x:c r="BD5" s="16" t="n">
        <x:f>ROUNDDOWN(N5*'抽样与口径'!C16/SUM('抽样与口径'!C$6:C$18),0)</x:f>
        <x:v>7</x:v>
      </x:c>
      <x:c r="BE5" s="16" t="n">
        <x:f>ROUNDDOWN(N5*'抽样与口径'!C17/SUM('抽样与口径'!C$6:C$18),0)</x:f>
        <x:v>1</x:v>
      </x:c>
      <x:c r="BF5" s="16" t="n">
        <x:f>ROUNDDOWN(N5*'抽样与口径'!C18/SUM('抽样与口径'!C$6:C$18),0)</x:f>
        <x:v>1</x:v>
      </x:c>
      <x:c r="BG5" s="15" t="n">
        <x:f>N5-SUM(AU5:BF5)</x:f>
        <x:v>113</x:v>
      </x:c>
    </x:row>
    <x:row r="6" ht="26" customHeight="1">
      <x:c r="A6" s="2"/>
      <x:c r="B6" s="2" t="str">
        <x:v>增长×1 / α0.6</x:v>
      </x:c>
      <x:c r="C6" s="2" t="n">
        <x:f>1</x:f>
        <x:v>1</x:v>
      </x:c>
      <x:c r="D6" s="2" t="n">
        <x:f>0.6</x:f>
        <x:v>0.6</x:v>
      </x:c>
      <x:c r="E6" s="2" t="n">
        <x:f>0.6</x:f>
        <x:v>0.6</x:v>
      </x:c>
      <x:c r="F6" s="14" t="n">
        <x:f>ROUND('可调参数'!$C$5*'可调参数'!$C$6/'可调参数'!$C$7*C6,0)</x:f>
        <x:v>884</x:v>
      </x:c>
      <x:c r="G6" s="14" t="n">
        <x:f>ROUND('可调参数'!$C$5*'可调参数'!$C$6/'可调参数'!$C$7*C6*'可调参数'!$C$10,0)</x:f>
        <x:v>482</x:v>
      </x:c>
      <x:c r="H6" s="14" t="n">
        <x:f>ROUND('可调参数'!$C$5*'可调参数'!$C$6/'可调参数'!$C$7*C6*'可调参数'!$C$10*'可调参数'!$C$11,0)</x:f>
        <x:v>289</x:v>
      </x:c>
      <x:c r="I6" s="14" t="n">
        <x:f>(1-D6)*'可调参数'!$C$14</x:f>
        <x:v>0.21642410812321577</x:v>
      </x:c>
      <x:c r="J6" s="14" t="n">
        <x:f>(1-E6)*'可调参数'!$C$15</x:f>
        <x:v>0.21606795631949854</x:v>
      </x:c>
      <x:c r="K6" s="2" t="n">
        <x:f>MIN(G6-H6,ROUNDUP((G6-H6)*(I6+J6),0))</x:f>
        <x:v>84</x:v>
      </x:c>
      <x:c r="L6" s="2" t="n">
        <x:f>MIN(H6,ROUNDUP(H6*MIN(1,2*(I6+J6)),0))</x:f>
        <x:v>250</x:v>
      </x:c>
      <x:c r="M6" s="14" t="n">
        <x:f>ROUNDUP((K6+L6)*'可调参数'!$C$38,0)</x:f>
        <x:v>334</x:v>
      </x:c>
      <x:c r="N6" s="2" t="n">
        <x:f>G6-M6</x:f>
        <x:v>148</x:v>
      </x:c>
      <x:c r="O6" s="14" t="n">
        <x:f>ROUNDUP(N6*'可调参数'!$C$18,0)</x:f>
        <x:v>8</x:v>
      </x:c>
      <x:c r="P6" s="14" t="n">
        <x:f>IF(N6=0,0,1-(1-'可调参数'!$C$19)^(1/MAX(1,O6)))</x:f>
        <x:v>0.3123439780663678</x:v>
      </x:c>
      <x:c r="Q6" s="2" t="n">
        <x:f>SUM(AH6:AT6)</x:f>
        <x:v>52</x:v>
      </x:c>
      <x:c r="R6" s="14" t="n">
        <x:f>ROUNDUP(Q6*'可调参数'!$C$21,0)+ROUNDUP((Q6-ROUNDUP(Q6*'可调参数'!$C$21,0))*'可调参数'!$C$22,0)</x:f>
        <x:v>16</x:v>
      </x:c>
      <x:c r="S6" s="14" t="n">
        <x:f>ROUNDUP(G6*'可调参数'!$C$36,0)</x:f>
        <x:v>6</x:v>
      </x:c>
      <x:c r="T6" s="14" t="n">
        <x:f>ROUNDUP(G6*'可调参数'!$C$37,0)</x:f>
        <x:v>15</x:v>
      </x:c>
      <x:c r="U6" s="14" t="n">
        <x:f>MIN('可调参数'!$C$23*'可调参数'!$C$24,MAX(0,N6-Q6))</x:f>
        <x:v>40</x:v>
      </x:c>
      <x:c r="V6" s="2" t="n">
        <x:f>SUM(M6,Q6,S6,T6,U6)</x:f>
        <x:v>447</x:v>
      </x:c>
      <x:c r="W6" s="2" t="n">
        <x:f>R6+U6</x:f>
        <x:v>56</x:v>
      </x:c>
      <x:c r="X6" s="14" t="n">
        <x:f>V6*'可调参数'!$C$16/60</x:f>
        <x:v>14.9</x:v>
      </x:c>
      <x:c r="Y6" s="14" t="n">
        <x:f>(W6*'可调参数'!$C$17+'可调参数'!$C$23*'可调参数'!$C$25)/60</x:f>
        <x:v>6.666666666666667</x:v>
      </x:c>
      <x:c r="Z6" s="2" t="n">
        <x:f>X6+Y6</x:f>
        <x:v>21.566666666666666</x:v>
      </x:c>
      <x:c r="AA6" s="14" t="n">
        <x:f>'可调参数'!$C$26*'可调参数'!$C$27*(F6+G6+2*(G6+H6))</x:f>
        <x:v>5816</x:v>
      </x:c>
      <x:c r="AB6" s="14" t="n">
        <x:f>(AE6+AF6)*'可调参数'!$C$28*'可调参数'!$C$29</x:f>
        <x:v>336</x:v>
      </x:c>
      <x:c r="AC6" s="14" t="n">
        <x:f>'可调参数'!$C$26*'可调参数'!$C$27*(F6*('可调参数'!$C$32+'可调参数'!$C$30)+G6*('可调参数'!$C$33+'可调参数'!$C$30)+2*G6*('可调参数'!$C$34+'可调参数'!$C$30)+2*H6*('可调参数'!$C$35+'可调参数'!$C$30))+'可调参数'!$C$28*'可调参数'!$C$29*(AE6*('可调参数'!$C$34+'可调参数'!$C$30+2*'可调参数'!$C$31)+AF6*('可调参数'!$C$35+'可调参数'!$C$30+2*'可调参数'!$C$31))</x:f>
        <x:v>24504372.850286048</x:v>
      </x:c>
      <x:c r="AD6" s="14" t="n">
        <x:f>(AA6+AB6)*'可调参数'!$C$31</x:f>
        <x:v>2460800</x:v>
      </x:c>
      <x:c r="AE6" s="2" t="n">
        <x:f>ROUNDUP(G6*I6,0)+ROUNDUP(G6*J6,0)</x:f>
        <x:v>210</x:v>
      </x:c>
      <x:c r="AF6" s="2" t="n">
        <x:f>ROUNDUP(H6*I6,0)+ROUNDUP(H6*J6,0)</x:f>
        <x:v>126</x:v>
      </x:c>
      <x:c r="AG6" s="2"/>
      <x:c r="AH6" s="14" t="n">
        <x:f>MIN(BG6,MAX(ROUNDUP(BG6*P6,0),'可调参数'!$C$20))</x:f>
        <x:v>15</x:v>
      </x:c>
      <x:c r="AI6" s="14" t="n">
        <x:f>MIN(AU6,MAX(ROUNDUP(AU6*P6,0),'可调参数'!$C$20))</x:f>
        <x:v>9</x:v>
      </x:c>
      <x:c r="AJ6" s="14" t="n">
        <x:f>MIN(AV6,MAX(ROUNDUP(AV6*P6,0),'可调参数'!$C$20))</x:f>
        <x:v>6</x:v>
      </x:c>
      <x:c r="AK6" s="14" t="n">
        <x:f>MIN(AW6,MAX(ROUNDUP(AW6*P6,0),'可调参数'!$C$20))</x:f>
        <x:v>5</x:v>
      </x:c>
      <x:c r="AL6" s="14" t="n">
        <x:f>MIN(AX6,MAX(ROUNDUP(AX6*P6,0),'可调参数'!$C$20))</x:f>
        <x:v>3</x:v>
      </x:c>
      <x:c r="AM6" s="14" t="n">
        <x:f>MIN(AY6,MAX(ROUNDUP(AY6*P6,0),'可调参数'!$C$20))</x:f>
        <x:v>3</x:v>
      </x:c>
      <x:c r="AN6" s="14" t="n">
        <x:f>MIN(AZ6,MAX(ROUNDUP(AZ6*P6,0),'可调参数'!$C$20))</x:f>
        <x:v>3</x:v>
      </x:c>
      <x:c r="AO6" s="14" t="n">
        <x:f>MIN(BA6,MAX(ROUNDUP(BA6*P6,0),'可调参数'!$C$20))</x:f>
        <x:v>2</x:v>
      </x:c>
      <x:c r="AP6" s="14" t="n">
        <x:f>MIN(BB6,MAX(ROUNDUP(BB6*P6,0),'可调参数'!$C$20))</x:f>
        <x:v>2</x:v>
      </x:c>
      <x:c r="AQ6" s="14" t="n">
        <x:f>MIN(BC6,MAX(ROUNDUP(BC6*P6,0),'可调参数'!$C$20))</x:f>
        <x:v>2</x:v>
      </x:c>
      <x:c r="AR6" s="14" t="n">
        <x:f>MIN(BD6,MAX(ROUNDUP(BD6*P6,0),'可调参数'!$C$20))</x:f>
        <x:v>2</x:v>
      </x:c>
      <x:c r="AS6" s="14" t="n">
        <x:f>MIN(BE6,MAX(ROUNDUP(BE6*P6,0),'可调参数'!$C$20))</x:f>
        <x:v>0</x:v>
      </x:c>
      <x:c r="AT6" s="14" t="n">
        <x:f>MIN(BF6,MAX(ROUNDUP(BF6*P6,0),'可调参数'!$C$20))</x:f>
        <x:v>0</x:v>
      </x:c>
      <x:c r="AU6" s="14" t="n">
        <x:f>ROUNDDOWN(N6*'抽样与口径'!C7/SUM('抽样与口径'!C$6:C$18),0)</x:f>
        <x:v>26</x:v>
      </x:c>
      <x:c r="AV6" s="14" t="n">
        <x:f>ROUNDDOWN(N6*'抽样与口径'!C8/SUM('抽样与口径'!C$6:C$18),0)</x:f>
        <x:v>18</x:v>
      </x:c>
      <x:c r="AW6" s="14" t="n">
        <x:f>ROUNDDOWN(N6*'抽样与口径'!C9/SUM('抽样与口径'!C$6:C$18),0)</x:f>
        <x:v>14</x:v>
      </x:c>
      <x:c r="AX6" s="14" t="n">
        <x:f>ROUNDDOWN(N6*'抽样与口径'!C10/SUM('抽样与口径'!C$6:C$18),0)</x:f>
        <x:v>9</x:v>
      </x:c>
      <x:c r="AY6" s="14" t="n">
        <x:f>ROUNDDOWN(N6*'抽样与口径'!C11/SUM('抽样与口径'!C$6:C$18),0)</x:f>
        <x:v>9</x:v>
      </x:c>
      <x:c r="AZ6" s="14" t="n">
        <x:f>ROUNDDOWN(N6*'抽样与口径'!C12/SUM('抽样与口径'!C$6:C$18),0)</x:f>
        <x:v>7</x:v>
      </x:c>
      <x:c r="BA6" s="16" t="n">
        <x:f>ROUNDDOWN(N6*'抽样与口径'!C13/SUM('抽样与口径'!C$6:C$18),0)</x:f>
        <x:v>6</x:v>
      </x:c>
      <x:c r="BB6" s="16" t="n">
        <x:f>ROUNDDOWN(N6*'抽样与口径'!C14/SUM('抽样与口径'!C$6:C$18),0)</x:f>
        <x:v>5</x:v>
      </x:c>
      <x:c r="BC6" s="16" t="n">
        <x:f>ROUNDDOWN(N6*'抽样与口径'!C15/SUM('抽样与口径'!C$6:C$18),0)</x:f>
        <x:v>5</x:v>
      </x:c>
      <x:c r="BD6" s="16" t="n">
        <x:f>ROUNDDOWN(N6*'抽样与口径'!C16/SUM('抽样与口径'!C$6:C$18),0)</x:f>
        <x:v>2</x:v>
      </x:c>
      <x:c r="BE6" s="16" t="n">
        <x:f>ROUNDDOWN(N6*'抽样与口径'!C17/SUM('抽样与口径'!C$6:C$18),0)</x:f>
        <x:v>0</x:v>
      </x:c>
      <x:c r="BF6" s="16" t="n">
        <x:f>ROUNDDOWN(N6*'抽样与口径'!C18/SUM('抽样与口径'!C$6:C$18),0)</x:f>
        <x:v>0</x:v>
      </x:c>
      <x:c r="BG6" s="15" t="n">
        <x:f>N6-SUM(AU6:BF6)</x:f>
        <x:v>47</x:v>
      </x:c>
    </x:row>
    <x:row r="7" ht="26" customHeight="1">
      <x:c r="A7" s="2"/>
      <x:c r="B7" s="2" t="str">
        <x:v>增长×1 / α0.7</x:v>
      </x:c>
      <x:c r="C7" s="2" t="n">
        <x:f>1</x:f>
        <x:v>1</x:v>
      </x:c>
      <x:c r="D7" s="2" t="n">
        <x:f>0.7</x:f>
        <x:v>0.7</x:v>
      </x:c>
      <x:c r="E7" s="2" t="n">
        <x:f>0.7</x:f>
        <x:v>0.7</x:v>
      </x:c>
      <x:c r="F7" s="14" t="n">
        <x:f>ROUND('可调参数'!$C$5*'可调参数'!$C$6/'可调参数'!$C$7*C7,0)</x:f>
        <x:v>884</x:v>
      </x:c>
      <x:c r="G7" s="14" t="n">
        <x:f>ROUND('可调参数'!$C$5*'可调参数'!$C$6/'可调参数'!$C$7*C7*'可调参数'!$C$10,0)</x:f>
        <x:v>482</x:v>
      </x:c>
      <x:c r="H7" s="14" t="n">
        <x:f>ROUND('可调参数'!$C$5*'可调参数'!$C$6/'可调参数'!$C$7*C7*'可调参数'!$C$10*'可调参数'!$C$11,0)</x:f>
        <x:v>289</x:v>
      </x:c>
      <x:c r="I7" s="14" t="n">
        <x:f>(1-D7)*'可调参数'!$C$14</x:f>
        <x:v>0.16231808109241183</x:v>
      </x:c>
      <x:c r="J7" s="14" t="n">
        <x:f>(1-E7)*'可调参数'!$C$15</x:f>
        <x:v>0.16205096723962392</x:v>
      </x:c>
      <x:c r="K7" s="2" t="n">
        <x:f>MIN(G7-H7,ROUNDUP((G7-H7)*(I7+J7),0))</x:f>
        <x:v>63</x:v>
      </x:c>
      <x:c r="L7" s="2" t="n">
        <x:f>MIN(H7,ROUNDUP(H7*MIN(1,2*(I7+J7)),0))</x:f>
        <x:v>188</x:v>
      </x:c>
      <x:c r="M7" s="14" t="n">
        <x:f>ROUNDUP((K7+L7)*'可调参数'!$C$38,0)</x:f>
        <x:v>251</x:v>
      </x:c>
      <x:c r="N7" s="2" t="n">
        <x:f>G7-M7</x:f>
        <x:v>231</x:v>
      </x:c>
      <x:c r="O7" s="14" t="n">
        <x:f>ROUNDUP(N7*'可调参数'!$C$18,0)</x:f>
        <x:v>12</x:v>
      </x:c>
      <x:c r="P7" s="14" t="n">
        <x:f>IF(N7=0,0,1-(1-'可调参数'!$C$19)^(1/MAX(1,O7)))</x:f>
        <x:v>0.22092219194555585</x:v>
      </x:c>
      <x:c r="Q7" s="2" t="n">
        <x:f>SUM(AH7:AT7)</x:f>
        <x:v>58</x:v>
      </x:c>
      <x:c r="R7" s="14" t="n">
        <x:f>ROUNDUP(Q7*'可调参数'!$C$21,0)+ROUNDUP((Q7-ROUNDUP(Q7*'可调参数'!$C$21,0))*'可调参数'!$C$22,0)</x:f>
        <x:v>17</x:v>
      </x:c>
      <x:c r="S7" s="14" t="n">
        <x:f>ROUNDUP(G7*'可调参数'!$C$36,0)</x:f>
        <x:v>6</x:v>
      </x:c>
      <x:c r="T7" s="14" t="n">
        <x:f>ROUNDUP(G7*'可调参数'!$C$37,0)</x:f>
        <x:v>15</x:v>
      </x:c>
      <x:c r="U7" s="14" t="n">
        <x:f>MIN('可调参数'!$C$23*'可调参数'!$C$24,MAX(0,N7-Q7))</x:f>
        <x:v>40</x:v>
      </x:c>
      <x:c r="V7" s="2" t="n">
        <x:f>SUM(M7,Q7,S7,T7,U7)</x:f>
        <x:v>370</x:v>
      </x:c>
      <x:c r="W7" s="2" t="n">
        <x:f>R7+U7</x:f>
        <x:v>57</x:v>
      </x:c>
      <x:c r="X7" s="14" t="n">
        <x:f>V7*'可调参数'!$C$16/60</x:f>
        <x:v>12.333333333333334</x:v>
      </x:c>
      <x:c r="Y7" s="14" t="n">
        <x:f>(W7*'可调参数'!$C$17+'可调参数'!$C$23*'可调参数'!$C$25)/60</x:f>
        <x:v>6.75</x:v>
      </x:c>
      <x:c r="Z7" s="2" t="n">
        <x:f>X7+Y7</x:f>
        <x:v>19.083333333333336</x:v>
      </x:c>
      <x:c r="AA7" s="14" t="n">
        <x:f>'可调参数'!$C$26*'可调参数'!$C$27*(F7+G7+2*(G7+H7))</x:f>
        <x:v>5816</x:v>
      </x:c>
      <x:c r="AB7" s="14" t="n">
        <x:f>(AE7+AF7)*'可调参数'!$C$28*'可调参数'!$C$29</x:f>
        <x:v>252</x:v>
      </x:c>
      <x:c r="AC7" s="14" t="n">
        <x:f>'可调参数'!$C$26*'可调参数'!$C$27*(F7*('可调参数'!$C$32+'可调参数'!$C$30)+G7*('可调参数'!$C$33+'可调参数'!$C$30)+2*G7*('可调参数'!$C$34+'可调参数'!$C$30)+2*H7*('可调参数'!$C$35+'可调参数'!$C$30))+'可调参数'!$C$28*'可调参数'!$C$29*(AE7*('可调参数'!$C$34+'可调参数'!$C$30+2*'可调参数'!$C$31)+AF7*('可调参数'!$C$35+'可调参数'!$C$30+2*'可调参数'!$C$31))</x:f>
        <x:v>24146367.92204411</x:v>
      </x:c>
      <x:c r="AD7" s="14" t="n">
        <x:f>(AA7+AB7)*'可调参数'!$C$31</x:f>
        <x:v>2427200</x:v>
      </x:c>
      <x:c r="AE7" s="2" t="n">
        <x:f>ROUNDUP(G7*I7,0)+ROUNDUP(G7*J7,0)</x:f>
        <x:v>158</x:v>
      </x:c>
      <x:c r="AF7" s="2" t="n">
        <x:f>ROUNDUP(H7*I7,0)+ROUNDUP(H7*J7,0)</x:f>
        <x:v>94</x:v>
      </x:c>
      <x:c r="AG7" s="2"/>
      <x:c r="AH7" s="14" t="n">
        <x:f>MIN(BG7,MAX(ROUNDUP(BG7*P7,0),'可调参数'!$C$20))</x:f>
        <x:v>16</x:v>
      </x:c>
      <x:c r="AI7" s="14" t="n">
        <x:f>MIN(AU7,MAX(ROUNDUP(AU7*P7,0),'可调参数'!$C$20))</x:f>
        <x:v>10</x:v>
      </x:c>
      <x:c r="AJ7" s="14" t="n">
        <x:f>MIN(AV7,MAX(ROUNDUP(AV7*P7,0),'可调参数'!$C$20))</x:f>
        <x:v>7</x:v>
      </x:c>
      <x:c r="AK7" s="14" t="n">
        <x:f>MIN(AW7,MAX(ROUNDUP(AW7*P7,0),'可调参数'!$C$20))</x:f>
        <x:v>5</x:v>
      </x:c>
      <x:c r="AL7" s="14" t="n">
        <x:f>MIN(AX7,MAX(ROUNDUP(AX7*P7,0),'可调参数'!$C$20))</x:f>
        <x:v>4</x:v>
      </x:c>
      <x:c r="AM7" s="14" t="n">
        <x:f>MIN(AY7,MAX(ROUNDUP(AY7*P7,0),'可调参数'!$C$20))</x:f>
        <x:v>4</x:v>
      </x:c>
      <x:c r="AN7" s="14" t="n">
        <x:f>MIN(AZ7,MAX(ROUNDUP(AZ7*P7,0),'可调参数'!$C$20))</x:f>
        <x:v>3</x:v>
      </x:c>
      <x:c r="AO7" s="14" t="n">
        <x:f>MIN(BA7,MAX(ROUNDUP(BA7*P7,0),'可调参数'!$C$20))</x:f>
        <x:v>3</x:v>
      </x:c>
      <x:c r="AP7" s="14" t="n">
        <x:f>MIN(BB7,MAX(ROUNDUP(BB7*P7,0),'可调参数'!$C$20))</x:f>
        <x:v>2</x:v>
      </x:c>
      <x:c r="AQ7" s="14" t="n">
        <x:f>MIN(BC7,MAX(ROUNDUP(BC7*P7,0),'可调参数'!$C$20))</x:f>
        <x:v>2</x:v>
      </x:c>
      <x:c r="AR7" s="14" t="n">
        <x:f>MIN(BD7,MAX(ROUNDUP(BD7*P7,0),'可调参数'!$C$20))</x:f>
        <x:v>2</x:v>
      </x:c>
      <x:c r="AS7" s="14" t="n">
        <x:f>MIN(BE7,MAX(ROUNDUP(BE7*P7,0),'可调参数'!$C$20))</x:f>
        <x:v>0</x:v>
      </x:c>
      <x:c r="AT7" s="14" t="n">
        <x:f>MIN(BF7,MAX(ROUNDUP(BF7*P7,0),'可调参数'!$C$20))</x:f>
        <x:v>0</x:v>
      </x:c>
      <x:c r="AU7" s="14" t="n">
        <x:f>ROUNDDOWN(N7*'抽样与口径'!C7/SUM('抽样与口径'!C$6:C$18),0)</x:f>
        <x:v>41</x:v>
      </x:c>
      <x:c r="AV7" s="14" t="n">
        <x:f>ROUNDDOWN(N7*'抽样与口径'!C8/SUM('抽样与口径'!C$6:C$18),0)</x:f>
        <x:v>28</x:v>
      </x:c>
      <x:c r="AW7" s="14" t="n">
        <x:f>ROUNDDOWN(N7*'抽样与口径'!C9/SUM('抽样与口径'!C$6:C$18),0)</x:f>
        <x:v>22</x:v>
      </x:c>
      <x:c r="AX7" s="14" t="n">
        <x:f>ROUNDDOWN(N7*'抽样与口径'!C10/SUM('抽样与口径'!C$6:C$18),0)</x:f>
        <x:v>15</x:v>
      </x:c>
      <x:c r="AY7" s="14" t="n">
        <x:f>ROUNDDOWN(N7*'抽样与口径'!C11/SUM('抽样与口径'!C$6:C$18),0)</x:f>
        <x:v>14</x:v>
      </x:c>
      <x:c r="AZ7" s="14" t="n">
        <x:f>ROUNDDOWN(N7*'抽样与口径'!C12/SUM('抽样与口径'!C$6:C$18),0)</x:f>
        <x:v>11</x:v>
      </x:c>
      <x:c r="BA7" s="16" t="n">
        <x:f>ROUNDDOWN(N7*'抽样与口径'!C13/SUM('抽样与口径'!C$6:C$18),0)</x:f>
        <x:v>10</x:v>
      </x:c>
      <x:c r="BB7" s="16" t="n">
        <x:f>ROUNDDOWN(N7*'抽样与口径'!C14/SUM('抽样与口径'!C$6:C$18),0)</x:f>
        <x:v>9</x:v>
      </x:c>
      <x:c r="BC7" s="16" t="n">
        <x:f>ROUNDDOWN(N7*'抽样与口径'!C15/SUM('抽样与口径'!C$6:C$18),0)</x:f>
        <x:v>7</x:v>
      </x:c>
      <x:c r="BD7" s="16" t="n">
        <x:f>ROUNDDOWN(N7*'抽样与口径'!C16/SUM('抽样与口径'!C$6:C$18),0)</x:f>
        <x:v>4</x:v>
      </x:c>
      <x:c r="BE7" s="16" t="n">
        <x:f>ROUNDDOWN(N7*'抽样与口径'!C17/SUM('抽样与口径'!C$6:C$18),0)</x:f>
        <x:v>0</x:v>
      </x:c>
      <x:c r="BF7" s="16" t="n">
        <x:f>ROUNDDOWN(N7*'抽样与口径'!C18/SUM('抽样与口径'!C$6:C$18),0)</x:f>
        <x:v>0</x:v>
      </x:c>
      <x:c r="BG7" s="15" t="n">
        <x:f>N7-SUM(AU7:BF7)</x:f>
        <x:v>70</x:v>
      </x:c>
    </x:row>
    <x:row r="8" ht="26" customHeight="1">
      <x:c r="A8" s="2"/>
      <x:c r="B8" s="2" t="str">
        <x:v>增长×1 / α0.8</x:v>
      </x:c>
      <x:c r="C8" s="2" t="n">
        <x:f>1</x:f>
        <x:v>1</x:v>
      </x:c>
      <x:c r="D8" s="2" t="n">
        <x:f>0.8</x:f>
        <x:v>0.8</x:v>
      </x:c>
      <x:c r="E8" s="2" t="n">
        <x:f>0.8</x:f>
        <x:v>0.8</x:v>
      </x:c>
      <x:c r="F8" s="14" t="n">
        <x:f>ROUND('可调参数'!$C$5*'可调参数'!$C$6/'可调参数'!$C$7*C8,0)</x:f>
        <x:v>884</x:v>
      </x:c>
      <x:c r="G8" s="14" t="n">
        <x:f>ROUND('可调参数'!$C$5*'可调参数'!$C$6/'可调参数'!$C$7*C8*'可调参数'!$C$10,0)</x:f>
        <x:v>482</x:v>
      </x:c>
      <x:c r="H8" s="14" t="n">
        <x:f>ROUND('可调参数'!$C$5*'可调参数'!$C$6/'可调参数'!$C$7*C8*'可调参数'!$C$10*'可调参数'!$C$11,0)</x:f>
        <x:v>289</x:v>
      </x:c>
      <x:c r="I8" s="14" t="n">
        <x:f>(1-D8)*'可调参数'!$C$14</x:f>
        <x:v>0.10821205406160785</x:v>
      </x:c>
      <x:c r="J8" s="14" t="n">
        <x:f>(1-E8)*'可调参数'!$C$15</x:f>
        <x:v>0.10803397815974924</x:v>
      </x:c>
      <x:c r="K8" s="2" t="n">
        <x:f>MIN(G8-H8,ROUNDUP((G8-H8)*(I8+J8),0))</x:f>
        <x:v>42</x:v>
      </x:c>
      <x:c r="L8" s="2" t="n">
        <x:f>MIN(H8,ROUNDUP(H8*MIN(1,2*(I8+J8)),0))</x:f>
        <x:v>125</x:v>
      </x:c>
      <x:c r="M8" s="14" t="n">
        <x:f>ROUNDUP((K8+L8)*'可调参数'!$C$38,0)</x:f>
        <x:v>167</x:v>
      </x:c>
      <x:c r="N8" s="2" t="n">
        <x:f>G8-M8</x:f>
        <x:v>315</x:v>
      </x:c>
      <x:c r="O8" s="14" t="n">
        <x:f>ROUNDUP(N8*'可调参数'!$C$18,0)</x:f>
        <x:v>16</x:v>
      </x:c>
      <x:c r="P8" s="14" t="n">
        <x:f>IF(N8=0,0,1-(1-'可调参数'!$C$19)^(1/MAX(1,O8)))</x:f>
        <x:v>0.17074972298248092</x:v>
      </x:c>
      <x:c r="Q8" s="2" t="n">
        <x:f>SUM(AH8:AT8)</x:f>
        <x:v>62</x:v>
      </x:c>
      <x:c r="R8" s="14" t="n">
        <x:f>ROUNDUP(Q8*'可调参数'!$C$21,0)+ROUNDUP((Q8-ROUNDUP(Q8*'可调参数'!$C$21,0))*'可调参数'!$C$22,0)</x:f>
        <x:v>18</x:v>
      </x:c>
      <x:c r="S8" s="14" t="n">
        <x:f>ROUNDUP(G8*'可调参数'!$C$36,0)</x:f>
        <x:v>6</x:v>
      </x:c>
      <x:c r="T8" s="14" t="n">
        <x:f>ROUNDUP(G8*'可调参数'!$C$37,0)</x:f>
        <x:v>15</x:v>
      </x:c>
      <x:c r="U8" s="14" t="n">
        <x:f>MIN('可调参数'!$C$23*'可调参数'!$C$24,MAX(0,N8-Q8))</x:f>
        <x:v>40</x:v>
      </x:c>
      <x:c r="V8" s="2" t="n">
        <x:f>SUM(M8,Q8,S8,T8,U8)</x:f>
        <x:v>290</x:v>
      </x:c>
      <x:c r="W8" s="2" t="n">
        <x:f>R8+U8</x:f>
        <x:v>58</x:v>
      </x:c>
      <x:c r="X8" s="14" t="n">
        <x:f>V8*'可调参数'!$C$16/60</x:f>
        <x:v>9.666666666666666</x:v>
      </x:c>
      <x:c r="Y8" s="14" t="n">
        <x:f>(W8*'可调参数'!$C$17+'可调参数'!$C$23*'可调参数'!$C$25)/60</x:f>
        <x:v>6.833333333333333</x:v>
      </x:c>
      <x:c r="Z8" s="2" t="n">
        <x:f>X8+Y8</x:f>
        <x:v>16.5</x:v>
      </x:c>
      <x:c r="AA8" s="14" t="n">
        <x:f>'可调参数'!$C$26*'可调参数'!$C$27*(F8+G8+2*(G8+H8))</x:f>
        <x:v>5816</x:v>
      </x:c>
      <x:c r="AB8" s="14" t="n">
        <x:f>(AE8+AF8)*'可调参数'!$C$28*'可调参数'!$C$29</x:f>
        <x:v>170</x:v>
      </x:c>
      <x:c r="AC8" s="14" t="n">
        <x:f>'可调参数'!$C$26*'可调参数'!$C$27*(F8*('可调参数'!$C$32+'可调参数'!$C$30)+G8*('可调参数'!$C$33+'可调参数'!$C$30)+2*G8*('可调参数'!$C$34+'可调参数'!$C$30)+2*H8*('可调参数'!$C$35+'可调参数'!$C$30))+'可调参数'!$C$28*'可调参数'!$C$29*(AE8*('可调参数'!$C$34+'可调参数'!$C$30+2*'可调参数'!$C$31)+AF8*('可调参数'!$C$35+'可调参数'!$C$30+2*'可调参数'!$C$31))</x:f>
        <x:v>23801830.01968452</x:v>
      </x:c>
      <x:c r="AD8" s="14" t="n">
        <x:f>(AA8+AB8)*'可调参数'!$C$31</x:f>
        <x:v>2394400</x:v>
      </x:c>
      <x:c r="AE8" s="2" t="n">
        <x:f>ROUNDUP(G8*I8,0)+ROUNDUP(G8*J8,0)</x:f>
        <x:v>106</x:v>
      </x:c>
      <x:c r="AF8" s="2" t="n">
        <x:f>ROUNDUP(H8*I8,0)+ROUNDUP(H8*J8,0)</x:f>
        <x:v>64</x:v>
      </x:c>
      <x:c r="AG8" s="2"/>
      <x:c r="AH8" s="14" t="n">
        <x:f>MIN(BG8,MAX(ROUNDUP(BG8*P8,0),'可调参数'!$C$20))</x:f>
        <x:v>16</x:v>
      </x:c>
      <x:c r="AI8" s="14" t="n">
        <x:f>MIN(AU8,MAX(ROUNDUP(AU8*P8,0),'可调参数'!$C$20))</x:f>
        <x:v>10</x:v>
      </x:c>
      <x:c r="AJ8" s="14" t="n">
        <x:f>MIN(AV8,MAX(ROUNDUP(AV8*P8,0),'可调参数'!$C$20))</x:f>
        <x:v>7</x:v>
      </x:c>
      <x:c r="AK8" s="14" t="n">
        <x:f>MIN(AW8,MAX(ROUNDUP(AW8*P8,0),'可调参数'!$C$20))</x:f>
        <x:v>6</x:v>
      </x:c>
      <x:c r="AL8" s="14" t="n">
        <x:f>MIN(AX8,MAX(ROUNDUP(AX8*P8,0),'可调参数'!$C$20))</x:f>
        <x:v>4</x:v>
      </x:c>
      <x:c r="AM8" s="14" t="n">
        <x:f>MIN(AY8,MAX(ROUNDUP(AY8*P8,0),'可调参数'!$C$20))</x:f>
        <x:v>4</x:v>
      </x:c>
      <x:c r="AN8" s="14" t="n">
        <x:f>MIN(AZ8,MAX(ROUNDUP(AZ8*P8,0),'可调参数'!$C$20))</x:f>
        <x:v>3</x:v>
      </x:c>
      <x:c r="AO8" s="14" t="n">
        <x:f>MIN(BA8,MAX(ROUNDUP(BA8*P8,0),'可调参数'!$C$20))</x:f>
        <x:v>3</x:v>
      </x:c>
      <x:c r="AP8" s="14" t="n">
        <x:f>MIN(BB8,MAX(ROUNDUP(BB8*P8,0),'可调参数'!$C$20))</x:f>
        <x:v>3</x:v>
      </x:c>
      <x:c r="AQ8" s="14" t="n">
        <x:f>MIN(BC8,MAX(ROUNDUP(BC8*P8,0),'可调参数'!$C$20))</x:f>
        <x:v>2</x:v>
      </x:c>
      <x:c r="AR8" s="14" t="n">
        <x:f>MIN(BD8,MAX(ROUNDUP(BD8*P8,0),'可调参数'!$C$20))</x:f>
        <x:v>2</x:v>
      </x:c>
      <x:c r="AS8" s="14" t="n">
        <x:f>MIN(BE8,MAX(ROUNDUP(BE8*P8,0),'可调参数'!$C$20))</x:f>
        <x:v>1</x:v>
      </x:c>
      <x:c r="AT8" s="14" t="n">
        <x:f>MIN(BF8,MAX(ROUNDUP(BF8*P8,0),'可调参数'!$C$20))</x:f>
        <x:v>1</x:v>
      </x:c>
      <x:c r="AU8" s="14" t="n">
        <x:f>ROUNDDOWN(N8*'抽样与口径'!C7/SUM('抽样与口径'!C$6:C$18),0)</x:f>
        <x:v>56</x:v>
      </x:c>
      <x:c r="AV8" s="14" t="n">
        <x:f>ROUNDDOWN(N8*'抽样与口径'!C8/SUM('抽样与口径'!C$6:C$18),0)</x:f>
        <x:v>39</x:v>
      </x:c>
      <x:c r="AW8" s="14" t="n">
        <x:f>ROUNDDOWN(N8*'抽样与口径'!C9/SUM('抽样与口径'!C$6:C$18),0)</x:f>
        <x:v>30</x:v>
      </x:c>
      <x:c r="AX8" s="14" t="n">
        <x:f>ROUNDDOWN(N8*'抽样与口径'!C10/SUM('抽样与口径'!C$6:C$18),0)</x:f>
        <x:v>20</x:v>
      </x:c>
      <x:c r="AY8" s="14" t="n">
        <x:f>ROUNDDOWN(N8*'抽样与口径'!C11/SUM('抽样与口径'!C$6:C$18),0)</x:f>
        <x:v>20</x:v>
      </x:c>
      <x:c r="AZ8" s="14" t="n">
        <x:f>ROUNDDOWN(N8*'抽样与口径'!C12/SUM('抽样与口径'!C$6:C$18),0)</x:f>
        <x:v>16</x:v>
      </x:c>
      <x:c r="BA8" s="16" t="n">
        <x:f>ROUNDDOWN(N8*'抽样与口径'!C13/SUM('抽样与口径'!C$6:C$18),0)</x:f>
        <x:v>14</x:v>
      </x:c>
      <x:c r="BB8" s="16" t="n">
        <x:f>ROUNDDOWN(N8*'抽样与口径'!C14/SUM('抽样与口径'!C$6:C$18),0)</x:f>
        <x:v>12</x:v>
      </x:c>
      <x:c r="BC8" s="16" t="n">
        <x:f>ROUNDDOWN(N8*'抽样与口径'!C15/SUM('抽样与口径'!C$6:C$18),0)</x:f>
        <x:v>10</x:v>
      </x:c>
      <x:c r="BD8" s="16" t="n">
        <x:f>ROUNDDOWN(N8*'抽样与口径'!C16/SUM('抽样与口径'!C$6:C$18),0)</x:f>
        <x:v>5</x:v>
      </x:c>
      <x:c r="BE8" s="16" t="n">
        <x:f>ROUNDDOWN(N8*'抽样与口径'!C17/SUM('抽样与口径'!C$6:C$18),0)</x:f>
        <x:v>1</x:v>
      </x:c>
      <x:c r="BF8" s="16" t="n">
        <x:f>ROUNDDOWN(N8*'抽样与口径'!C18/SUM('抽样与口径'!C$6:C$18),0)</x:f>
        <x:v>1</x:v>
      </x:c>
      <x:c r="BG8" s="15" t="n">
        <x:f>N8-SUM(AU8:BF8)</x:f>
        <x:v>91</x:v>
      </x:c>
    </x:row>
    <x:row r="9" ht="26" customHeight="1">
      <x:c r="A9" s="2"/>
      <x:c r="B9" s="2" t="str">
        <x:v>增长×1 / α0.9</x:v>
      </x:c>
      <x:c r="C9" s="2" t="n">
        <x:f>1</x:f>
        <x:v>1</x:v>
      </x:c>
      <x:c r="D9" s="2" t="n">
        <x:f>0.9</x:f>
        <x:v>0.9</x:v>
      </x:c>
      <x:c r="E9" s="2" t="n">
        <x:f>0.9</x:f>
        <x:v>0.9</x:v>
      </x:c>
      <x:c r="F9" s="14" t="n">
        <x:f>ROUND('可调参数'!$C$5*'可调参数'!$C$6/'可调参数'!$C$7*C9,0)</x:f>
        <x:v>884</x:v>
      </x:c>
      <x:c r="G9" s="14" t="n">
        <x:f>ROUND('可调参数'!$C$5*'可调参数'!$C$6/'可调参数'!$C$7*C9*'可调参数'!$C$10,0)</x:f>
        <x:v>482</x:v>
      </x:c>
      <x:c r="H9" s="14" t="n">
        <x:f>ROUND('可调参数'!$C$5*'可调参数'!$C$6/'可调参数'!$C$7*C9*'可调参数'!$C$10*'可调参数'!$C$11,0)</x:f>
        <x:v>289</x:v>
      </x:c>
      <x:c r="I9" s="14" t="n">
        <x:f>(1-D9)*'可调参数'!$C$14</x:f>
        <x:v>0.05410602703080392</x:v>
      </x:c>
      <x:c r="J9" s="14" t="n">
        <x:f>(1-E9)*'可调参数'!$C$15</x:f>
        <x:v>0.05401698907987462</x:v>
      </x:c>
      <x:c r="K9" s="2" t="n">
        <x:f>MIN(G9-H9,ROUNDUP((G9-H9)*(I9+J9),0))</x:f>
        <x:v>21</x:v>
      </x:c>
      <x:c r="L9" s="2" t="n">
        <x:f>MIN(H9,ROUNDUP(H9*MIN(1,2*(I9+J9)),0))</x:f>
        <x:v>63</x:v>
      </x:c>
      <x:c r="M9" s="14" t="n">
        <x:f>ROUNDUP((K9+L9)*'可调参数'!$C$38,0)</x:f>
        <x:v>84</x:v>
      </x:c>
      <x:c r="N9" s="2" t="n">
        <x:f>G9-M9</x:f>
        <x:v>398</x:v>
      </x:c>
      <x:c r="O9" s="14" t="n">
        <x:f>ROUNDUP(N9*'可调参数'!$C$18,0)</x:f>
        <x:v>20</x:v>
      </x:c>
      <x:c r="P9" s="14" t="n">
        <x:f>IF(N9=0,0,1-(1-'可调参数'!$C$19)^(1/MAX(1,O9)))</x:f>
        <x:v>0.13910834066826516</x:v>
      </x:c>
      <x:c r="Q9" s="2" t="n">
        <x:f>SUM(AH9:AT9)</x:f>
        <x:v>62</x:v>
      </x:c>
      <x:c r="R9" s="14" t="n">
        <x:f>ROUNDUP(Q9*'可调参数'!$C$21,0)+ROUNDUP((Q9-ROUNDUP(Q9*'可调参数'!$C$21,0))*'可调参数'!$C$22,0)</x:f>
        <x:v>18</x:v>
      </x:c>
      <x:c r="S9" s="14" t="n">
        <x:f>ROUNDUP(G9*'可调参数'!$C$36,0)</x:f>
        <x:v>6</x:v>
      </x:c>
      <x:c r="T9" s="14" t="n">
        <x:f>ROUNDUP(G9*'可调参数'!$C$37,0)</x:f>
        <x:v>15</x:v>
      </x:c>
      <x:c r="U9" s="14" t="n">
        <x:f>MIN('可调参数'!$C$23*'可调参数'!$C$24,MAX(0,N9-Q9))</x:f>
        <x:v>40</x:v>
      </x:c>
      <x:c r="V9" s="2" t="n">
        <x:f>SUM(M9,Q9,S9,T9,U9)</x:f>
        <x:v>207</x:v>
      </x:c>
      <x:c r="W9" s="2" t="n">
        <x:f>R9+U9</x:f>
        <x:v>58</x:v>
      </x:c>
      <x:c r="X9" s="14" t="n">
        <x:f>V9*'可调参数'!$C$16/60</x:f>
        <x:v>6.9</x:v>
      </x:c>
      <x:c r="Y9" s="14" t="n">
        <x:f>(W9*'可调参数'!$C$17+'可调参数'!$C$23*'可调参数'!$C$25)/60</x:f>
        <x:v>6.833333333333333</x:v>
      </x:c>
      <x:c r="Z9" s="2" t="n">
        <x:f>X9+Y9</x:f>
        <x:v>13.733333333333334</x:v>
      </x:c>
      <x:c r="AA9" s="14" t="n">
        <x:f>'可调参数'!$C$26*'可调参数'!$C$27*(F9+G9+2*(G9+H9))</x:f>
        <x:v>5816</x:v>
      </x:c>
      <x:c r="AB9" s="14" t="n">
        <x:f>(AE9+AF9)*'可调参数'!$C$28*'可调参数'!$C$29</x:f>
        <x:v>86</x:v>
      </x:c>
      <x:c r="AC9" s="14" t="n">
        <x:f>'可调参数'!$C$26*'可调参数'!$C$27*(F9*('可调参数'!$C$32+'可调参数'!$C$30)+G9*('可调参数'!$C$33+'可调参数'!$C$30)+2*G9*('可调参数'!$C$34+'可调参数'!$C$30)+2*H9*('可调参数'!$C$35+'可调参数'!$C$30))+'可调参数'!$C$28*'可调参数'!$C$29*(AE9*('可调参数'!$C$34+'可调参数'!$C$30+2*'可调参数'!$C$31)+AF9*('可调参数'!$C$35+'可调参数'!$C$30+2*'可调参数'!$C$31))</x:f>
        <x:v>23443825.091442578</x:v>
      </x:c>
      <x:c r="AD9" s="14" t="n">
        <x:f>(AA9+AB9)*'可调参数'!$C$31</x:f>
        <x:v>2360800</x:v>
      </x:c>
      <x:c r="AE9" s="2" t="n">
        <x:f>ROUNDUP(G9*I9,0)+ROUNDUP(G9*J9,0)</x:f>
        <x:v>54</x:v>
      </x:c>
      <x:c r="AF9" s="2" t="n">
        <x:f>ROUNDUP(H9*I9,0)+ROUNDUP(H9*J9,0)</x:f>
        <x:v>32</x:v>
      </x:c>
      <x:c r="AG9" s="2"/>
      <x:c r="AH9" s="14" t="n">
        <x:f>MIN(BG9,MAX(ROUNDUP(BG9*P9,0),'可调参数'!$C$20))</x:f>
        <x:v>16</x:v>
      </x:c>
      <x:c r="AI9" s="14" t="n">
        <x:f>MIN(AU9,MAX(ROUNDUP(AU9*P9,0),'可调参数'!$C$20))</x:f>
        <x:v>10</x:v>
      </x:c>
      <x:c r="AJ9" s="14" t="n">
        <x:f>MIN(AV9,MAX(ROUNDUP(AV9*P9,0),'可调参数'!$C$20))</x:f>
        <x:v>7</x:v>
      </x:c>
      <x:c r="AK9" s="14" t="n">
        <x:f>MIN(AW9,MAX(ROUNDUP(AW9*P9,0),'可调参数'!$C$20))</x:f>
        <x:v>6</x:v>
      </x:c>
      <x:c r="AL9" s="14" t="n">
        <x:f>MIN(AX9,MAX(ROUNDUP(AX9*P9,0),'可调参数'!$C$20))</x:f>
        <x:v>4</x:v>
      </x:c>
      <x:c r="AM9" s="14" t="n">
        <x:f>MIN(AY9,MAX(ROUNDUP(AY9*P9,0),'可调参数'!$C$20))</x:f>
        <x:v>4</x:v>
      </x:c>
      <x:c r="AN9" s="14" t="n">
        <x:f>MIN(AZ9,MAX(ROUNDUP(AZ9*P9,0),'可调参数'!$C$20))</x:f>
        <x:v>3</x:v>
      </x:c>
      <x:c r="AO9" s="14" t="n">
        <x:f>MIN(BA9,MAX(ROUNDUP(BA9*P9,0),'可调参数'!$C$20))</x:f>
        <x:v>3</x:v>
      </x:c>
      <x:c r="AP9" s="14" t="n">
        <x:f>MIN(BB9,MAX(ROUNDUP(BB9*P9,0),'可调参数'!$C$20))</x:f>
        <x:v>3</x:v>
      </x:c>
      <x:c r="AQ9" s="14" t="n">
        <x:f>MIN(BC9,MAX(ROUNDUP(BC9*P9,0),'可调参数'!$C$20))</x:f>
        <x:v>2</x:v>
      </x:c>
      <x:c r="AR9" s="14" t="n">
        <x:f>MIN(BD9,MAX(ROUNDUP(BD9*P9,0),'可调参数'!$C$20))</x:f>
        <x:v>2</x:v>
      </x:c>
      <x:c r="AS9" s="14" t="n">
        <x:f>MIN(BE9,MAX(ROUNDUP(BE9*P9,0),'可调参数'!$C$20))</x:f>
        <x:v>1</x:v>
      </x:c>
      <x:c r="AT9" s="14" t="n">
        <x:f>MIN(BF9,MAX(ROUNDUP(BF9*P9,0),'可调参数'!$C$20))</x:f>
        <x:v>1</x:v>
      </x:c>
      <x:c r="AU9" s="14" t="n">
        <x:f>ROUNDDOWN(N9*'抽样与口径'!C7/SUM('抽样与口径'!C$6:C$18),0)</x:f>
        <x:v>71</x:v>
      </x:c>
      <x:c r="AV9" s="14" t="n">
        <x:f>ROUNDDOWN(N9*'抽样与口径'!C8/SUM('抽样与口径'!C$6:C$18),0)</x:f>
        <x:v>49</x:v>
      </x:c>
      <x:c r="AW9" s="14" t="n">
        <x:f>ROUNDDOWN(N9*'抽样与口径'!C9/SUM('抽样与口径'!C$6:C$18),0)</x:f>
        <x:v>38</x:v>
      </x:c>
      <x:c r="AX9" s="14" t="n">
        <x:f>ROUNDDOWN(N9*'抽样与口径'!C10/SUM('抽样与口径'!C$6:C$18),0)</x:f>
        <x:v>26</x:v>
      </x:c>
      <x:c r="AY9" s="14" t="n">
        <x:f>ROUNDDOWN(N9*'抽样与口径'!C11/SUM('抽样与口径'!C$6:C$18),0)</x:f>
        <x:v>25</x:v>
      </x:c>
      <x:c r="AZ9" s="14" t="n">
        <x:f>ROUNDDOWN(N9*'抽样与口径'!C12/SUM('抽样与口径'!C$6:C$18),0)</x:f>
        <x:v>20</x:v>
      </x:c>
      <x:c r="BA9" s="16" t="n">
        <x:f>ROUNDDOWN(N9*'抽样与口径'!C13/SUM('抽样与口径'!C$6:C$18),0)</x:f>
        <x:v>17</x:v>
      </x:c>
      <x:c r="BB9" s="16" t="n">
        <x:f>ROUNDDOWN(N9*'抽样与口径'!C14/SUM('抽样与口径'!C$6:C$18),0)</x:f>
        <x:v>15</x:v>
      </x:c>
      <x:c r="BC9" s="16" t="n">
        <x:f>ROUNDDOWN(N9*'抽样与口径'!C15/SUM('抽样与口径'!C$6:C$18),0)</x:f>
        <x:v>13</x:v>
      </x:c>
      <x:c r="BD9" s="16" t="n">
        <x:f>ROUNDDOWN(N9*'抽样与口径'!C16/SUM('抽样与口径'!C$6:C$18),0)</x:f>
        <x:v>7</x:v>
      </x:c>
      <x:c r="BE9" s="16" t="n">
        <x:f>ROUNDDOWN(N9*'抽样与口径'!C17/SUM('抽样与口径'!C$6:C$18),0)</x:f>
        <x:v>1</x:v>
      </x:c>
      <x:c r="BF9" s="16" t="n">
        <x:f>ROUNDDOWN(N9*'抽样与口径'!C18/SUM('抽样与口径'!C$6:C$18),0)</x:f>
        <x:v>1</x:v>
      </x:c>
      <x:c r="BG9" s="15" t="n">
        <x:f>N9-SUM(AU9:BF9)</x:f>
        <x:v>115</x:v>
      </x:c>
    </x:row>
    <x:row r="10" ht="26" customHeight="1">
      <x:c r="A10" s="2"/>
      <x:c r="B10" s="2" t="str">
        <x:v>增长×2 / α0.6</x:v>
      </x:c>
      <x:c r="C10" s="2" t="n">
        <x:f>2</x:f>
        <x:v>2</x:v>
      </x:c>
      <x:c r="D10" s="2" t="n">
        <x:f>0.6</x:f>
        <x:v>0.6</x:v>
      </x:c>
      <x:c r="E10" s="2" t="n">
        <x:f>0.6</x:f>
        <x:v>0.6</x:v>
      </x:c>
      <x:c r="F10" s="14" t="n">
        <x:f>ROUND('可调参数'!$C$5*'可调参数'!$C$6/'可调参数'!$C$7*C10,0)</x:f>
        <x:v>1769</x:v>
      </x:c>
      <x:c r="G10" s="14" t="n">
        <x:f>ROUND('可调参数'!$C$5*'可调参数'!$C$6/'可调参数'!$C$7*C10*'可调参数'!$C$10,0)</x:f>
        <x:v>964</x:v>
      </x:c>
      <x:c r="H10" s="14" t="n">
        <x:f>ROUND('可调参数'!$C$5*'可调参数'!$C$6/'可调参数'!$C$7*C10*'可调参数'!$C$10*'可调参数'!$C$11,0)</x:f>
        <x:v>579</x:v>
      </x:c>
      <x:c r="I10" s="14" t="n">
        <x:f>(1-D10)*'可调参数'!$C$14</x:f>
        <x:v>0.21642410812321577</x:v>
      </x:c>
      <x:c r="J10" s="14" t="n">
        <x:f>(1-E10)*'可调参数'!$C$15</x:f>
        <x:v>0.21606795631949854</x:v>
      </x:c>
      <x:c r="K10" s="2" t="n">
        <x:f>MIN(G10-H10,ROUNDUP((G10-H10)*(I10+J10),0))</x:f>
        <x:v>167</x:v>
      </x:c>
      <x:c r="L10" s="2" t="n">
        <x:f>MIN(H10,ROUNDUP(H10*MIN(1,2*(I10+J10)),0))</x:f>
        <x:v>501</x:v>
      </x:c>
      <x:c r="M10" s="14" t="n">
        <x:f>ROUNDUP((K10+L10)*'可调参数'!$C$38,0)</x:f>
        <x:v>668</x:v>
      </x:c>
      <x:c r="N10" s="2" t="n">
        <x:f>G10-M10</x:f>
        <x:v>296</x:v>
      </x:c>
      <x:c r="O10" s="14" t="n">
        <x:f>ROUNDUP(N10*'可调参数'!$C$18,0)</x:f>
        <x:v>15</x:v>
      </x:c>
      <x:c r="P10" s="14" t="n">
        <x:f>IF(N10=0,0,1-(1-'可调参数'!$C$19)^(1/MAX(1,O10)))</x:f>
        <x:v>0.18103627252208465</x:v>
      </x:c>
      <x:c r="Q10" s="2" t="n">
        <x:f>SUM(AH10:AT10)</x:f>
        <x:v>61</x:v>
      </x:c>
      <x:c r="R10" s="14" t="n">
        <x:f>ROUNDUP(Q10*'可调参数'!$C$21,0)+ROUNDUP((Q10-ROUNDUP(Q10*'可调参数'!$C$21,0))*'可调参数'!$C$22,0)</x:f>
        <x:v>18</x:v>
      </x:c>
      <x:c r="S10" s="14" t="n">
        <x:f>ROUNDUP(G10*'可调参数'!$C$36,0)</x:f>
        <x:v>11</x:v>
      </x:c>
      <x:c r="T10" s="14" t="n">
        <x:f>ROUNDUP(G10*'可调参数'!$C$37,0)</x:f>
        <x:v>30</x:v>
      </x:c>
      <x:c r="U10" s="14" t="n">
        <x:f>MIN('可调参数'!$C$23*'可调参数'!$C$24,MAX(0,N10-Q10))</x:f>
        <x:v>40</x:v>
      </x:c>
      <x:c r="V10" s="2" t="n">
        <x:f>SUM(M10,Q10,S10,T10,U10)</x:f>
        <x:v>810</x:v>
      </x:c>
      <x:c r="W10" s="2" t="n">
        <x:f>R10+U10</x:f>
        <x:v>58</x:v>
      </x:c>
      <x:c r="X10" s="14" t="n">
        <x:f>V10*'可调参数'!$C$16/60</x:f>
        <x:v>27</x:v>
      </x:c>
      <x:c r="Y10" s="14" t="n">
        <x:f>(W10*'可调参数'!$C$17+'可调参数'!$C$23*'可调参数'!$C$25)/60</x:f>
        <x:v>6.833333333333333</x:v>
      </x:c>
      <x:c r="Z10" s="2" t="n">
        <x:f>X10+Y10</x:f>
        <x:v>33.833333333333336</x:v>
      </x:c>
      <x:c r="AA10" s="14" t="n">
        <x:f>'可调参数'!$C$26*'可调参数'!$C$27*(F10+G10+2*(G10+H10))</x:f>
        <x:v>11638</x:v>
      </x:c>
      <x:c r="AB10" s="14" t="n">
        <x:f>(AE10+AF10)*'可调参数'!$C$28*'可调参数'!$C$29</x:f>
        <x:v>670</x:v>
      </x:c>
      <x:c r="AC10" s="14" t="n">
        <x:f>'可调参数'!$C$26*'可调参数'!$C$27*(F10*('可调参数'!$C$32+'可调参数'!$C$30)+G10*('可调参数'!$C$33+'可调参数'!$C$30)+2*G10*('可调参数'!$C$34+'可调参数'!$C$30)+2*H10*('可调参数'!$C$35+'可调参数'!$C$30))+'可调参数'!$C$28*'可调参数'!$C$29*(AE10*('可调参数'!$C$34+'可调参数'!$C$30+2*'可调参数'!$C$31)+AF10*('可调参数'!$C$35+'可调参数'!$C$30+2*'可调参数'!$C$31))</x:f>
        <x:v>49035115.83879835</x:v>
      </x:c>
      <x:c r="AD10" s="14" t="n">
        <x:f>(AA10+AB10)*'可调参数'!$C$31</x:f>
        <x:v>4923200</x:v>
      </x:c>
      <x:c r="AE10" s="2" t="n">
        <x:f>ROUNDUP(G10*I10,0)+ROUNDUP(G10*J10,0)</x:f>
        <x:v>418</x:v>
      </x:c>
      <x:c r="AF10" s="2" t="n">
        <x:f>ROUNDUP(H10*I10,0)+ROUNDUP(H10*J10,0)</x:f>
        <x:v>252</x:v>
      </x:c>
      <x:c r="AG10" s="2"/>
      <x:c r="AH10" s="14" t="n">
        <x:f>MIN(BG10,MAX(ROUNDUP(BG10*P10,0),'可调参数'!$C$20))</x:f>
        <x:v>16</x:v>
      </x:c>
      <x:c r="AI10" s="14" t="n">
        <x:f>MIN(AU10,MAX(ROUNDUP(AU10*P10,0),'可调参数'!$C$20))</x:f>
        <x:v>10</x:v>
      </x:c>
      <x:c r="AJ10" s="14" t="n">
        <x:f>MIN(AV10,MAX(ROUNDUP(AV10*P10,0),'可调参数'!$C$20))</x:f>
        <x:v>7</x:v>
      </x:c>
      <x:c r="AK10" s="14" t="n">
        <x:f>MIN(AW10,MAX(ROUNDUP(AW10*P10,0),'可调参数'!$C$20))</x:f>
        <x:v>6</x:v>
      </x:c>
      <x:c r="AL10" s="14" t="n">
        <x:f>MIN(AX10,MAX(ROUNDUP(AX10*P10,0),'可调参数'!$C$20))</x:f>
        <x:v>4</x:v>
      </x:c>
      <x:c r="AM10" s="14" t="n">
        <x:f>MIN(AY10,MAX(ROUNDUP(AY10*P10,0),'可调参数'!$C$20))</x:f>
        <x:v>4</x:v>
      </x:c>
      <x:c r="AN10" s="14" t="n">
        <x:f>MIN(AZ10,MAX(ROUNDUP(AZ10*P10,0),'可调参数'!$C$20))</x:f>
        <x:v>3</x:v>
      </x:c>
      <x:c r="AO10" s="14" t="n">
        <x:f>MIN(BA10,MAX(ROUNDUP(BA10*P10,0),'可调参数'!$C$20))</x:f>
        <x:v>3</x:v>
      </x:c>
      <x:c r="AP10" s="14" t="n">
        <x:f>MIN(BB10,MAX(ROUNDUP(BB10*P10,0),'可调参数'!$C$20))</x:f>
        <x:v>2</x:v>
      </x:c>
      <x:c r="AQ10" s="14" t="n">
        <x:f>MIN(BC10,MAX(ROUNDUP(BC10*P10,0),'可调参数'!$C$20))</x:f>
        <x:v>2</x:v>
      </x:c>
      <x:c r="AR10" s="14" t="n">
        <x:f>MIN(BD10,MAX(ROUNDUP(BD10*P10,0),'可调参数'!$C$20))</x:f>
        <x:v>2</x:v>
      </x:c>
      <x:c r="AS10" s="14" t="n">
        <x:f>MIN(BE10,MAX(ROUNDUP(BE10*P10,0),'可调参数'!$C$20))</x:f>
        <x:v>1</x:v>
      </x:c>
      <x:c r="AT10" s="14" t="n">
        <x:f>MIN(BF10,MAX(ROUNDUP(BF10*P10,0),'可调参数'!$C$20))</x:f>
        <x:v>1</x:v>
      </x:c>
      <x:c r="AU10" s="14" t="n">
        <x:f>ROUNDDOWN(N10*'抽样与口径'!C7/SUM('抽样与口径'!C$6:C$18),0)</x:f>
        <x:v>53</x:v>
      </x:c>
      <x:c r="AV10" s="14" t="n">
        <x:f>ROUNDDOWN(N10*'抽样与口径'!C8/SUM('抽样与口径'!C$6:C$18),0)</x:f>
        <x:v>36</x:v>
      </x:c>
      <x:c r="AW10" s="14" t="n">
        <x:f>ROUNDDOWN(N10*'抽样与口径'!C9/SUM('抽样与口径'!C$6:C$18),0)</x:f>
        <x:v>28</x:v>
      </x:c>
      <x:c r="AX10" s="14" t="n">
        <x:f>ROUNDDOWN(N10*'抽样与口径'!C10/SUM('抽样与口径'!C$6:C$18),0)</x:f>
        <x:v>19</x:v>
      </x:c>
      <x:c r="AY10" s="14" t="n">
        <x:f>ROUNDDOWN(N10*'抽样与口径'!C11/SUM('抽样与口径'!C$6:C$18),0)</x:f>
        <x:v>18</x:v>
      </x:c>
      <x:c r="AZ10" s="14" t="n">
        <x:f>ROUNDDOWN(N10*'抽样与口径'!C12/SUM('抽样与口径'!C$6:C$18),0)</x:f>
        <x:v>15</x:v>
      </x:c>
      <x:c r="BA10" s="16" t="n">
        <x:f>ROUNDDOWN(N10*'抽样与口径'!C13/SUM('抽样与口径'!C$6:C$18),0)</x:f>
        <x:v>13</x:v>
      </x:c>
      <x:c r="BB10" s="16" t="n">
        <x:f>ROUNDDOWN(N10*'抽样与口径'!C14/SUM('抽样与口径'!C$6:C$18),0)</x:f>
        <x:v>11</x:v>
      </x:c>
      <x:c r="BC10" s="16" t="n">
        <x:f>ROUNDDOWN(N10*'抽样与口径'!C15/SUM('抽样与口径'!C$6:C$18),0)</x:f>
        <x:v>10</x:v>
      </x:c>
      <x:c r="BD10" s="16" t="n">
        <x:f>ROUNDDOWN(N10*'抽样与口径'!C16/SUM('抽样与口径'!C$6:C$18),0)</x:f>
        <x:v>5</x:v>
      </x:c>
      <x:c r="BE10" s="16" t="n">
        <x:f>ROUNDDOWN(N10*'抽样与口径'!C17/SUM('抽样与口径'!C$6:C$18),0)</x:f>
        <x:v>1</x:v>
      </x:c>
      <x:c r="BF10" s="16" t="n">
        <x:f>ROUNDDOWN(N10*'抽样与口径'!C18/SUM('抽样与口径'!C$6:C$18),0)</x:f>
        <x:v>1</x:v>
      </x:c>
      <x:c r="BG10" s="15" t="n">
        <x:f>N10-SUM(AU10:BF10)</x:f>
        <x:v>86</x:v>
      </x:c>
    </x:row>
    <x:row r="11" ht="26" customHeight="1">
      <x:c r="A11" s="2"/>
      <x:c r="B11" s="2" t="str">
        <x:v>增长×2 / α0.7</x:v>
      </x:c>
      <x:c r="C11" s="2" t="n">
        <x:f>2</x:f>
        <x:v>2</x:v>
      </x:c>
      <x:c r="D11" s="2" t="n">
        <x:f>0.7</x:f>
        <x:v>0.7</x:v>
      </x:c>
      <x:c r="E11" s="2" t="n">
        <x:f>0.7</x:f>
        <x:v>0.7</x:v>
      </x:c>
      <x:c r="F11" s="14" t="n">
        <x:f>ROUND('可调参数'!$C$5*'可调参数'!$C$6/'可调参数'!$C$7*C11,0)</x:f>
        <x:v>1769</x:v>
      </x:c>
      <x:c r="G11" s="14" t="n">
        <x:f>ROUND('可调参数'!$C$5*'可调参数'!$C$6/'可调参数'!$C$7*C11*'可调参数'!$C$10,0)</x:f>
        <x:v>964</x:v>
      </x:c>
      <x:c r="H11" s="14" t="n">
        <x:f>ROUND('可调参数'!$C$5*'可调参数'!$C$6/'可调参数'!$C$7*C11*'可调参数'!$C$10*'可调参数'!$C$11,0)</x:f>
        <x:v>579</x:v>
      </x:c>
      <x:c r="I11" s="14" t="n">
        <x:f>(1-D11)*'可调参数'!$C$14</x:f>
        <x:v>0.16231808109241183</x:v>
      </x:c>
      <x:c r="J11" s="14" t="n">
        <x:f>(1-E11)*'可调参数'!$C$15</x:f>
        <x:v>0.16205096723962392</x:v>
      </x:c>
      <x:c r="K11" s="2" t="n">
        <x:f>MIN(G11-H11,ROUNDUP((G11-H11)*(I11+J11),0))</x:f>
        <x:v>125</x:v>
      </x:c>
      <x:c r="L11" s="2" t="n">
        <x:f>MIN(H11,ROUNDUP(H11*MIN(1,2*(I11+J11)),0))</x:f>
        <x:v>376</x:v>
      </x:c>
      <x:c r="M11" s="14" t="n">
        <x:f>ROUNDUP((K11+L11)*'可调参数'!$C$38,0)</x:f>
        <x:v>501</x:v>
      </x:c>
      <x:c r="N11" s="2" t="n">
        <x:f>G11-M11</x:f>
        <x:v>463</x:v>
      </x:c>
      <x:c r="O11" s="14" t="n">
        <x:f>ROUNDUP(N11*'可调参数'!$C$18,0)</x:f>
        <x:v>24</x:v>
      </x:c>
      <x:c r="P11" s="14" t="n">
        <x:f>IF(N11=0,0,1-(1-'可调参数'!$C$19)^(1/MAX(1,O11)))</x:f>
        <x:v>0.1173461561549487</x:v>
      </x:c>
      <x:c r="Q11" s="2" t="n">
        <x:f>SUM(AH11:AT11)</x:f>
        <x:v>62</x:v>
      </x:c>
      <x:c r="R11" s="14" t="n">
        <x:f>ROUNDUP(Q11*'可调参数'!$C$21,0)+ROUNDUP((Q11-ROUNDUP(Q11*'可调参数'!$C$21,0))*'可调参数'!$C$22,0)</x:f>
        <x:v>18</x:v>
      </x:c>
      <x:c r="S11" s="14" t="n">
        <x:f>ROUNDUP(G11*'可调参数'!$C$36,0)</x:f>
        <x:v>11</x:v>
      </x:c>
      <x:c r="T11" s="14" t="n">
        <x:f>ROUNDUP(G11*'可调参数'!$C$37,0)</x:f>
        <x:v>30</x:v>
      </x:c>
      <x:c r="U11" s="14" t="n">
        <x:f>MIN('可调参数'!$C$23*'可调参数'!$C$24,MAX(0,N11-Q11))</x:f>
        <x:v>40</x:v>
      </x:c>
      <x:c r="V11" s="2" t="n">
        <x:f>SUM(M11,Q11,S11,T11,U11)</x:f>
        <x:v>644</x:v>
      </x:c>
      <x:c r="W11" s="2" t="n">
        <x:f>R11+U11</x:f>
        <x:v>58</x:v>
      </x:c>
      <x:c r="X11" s="14" t="n">
        <x:f>V11*'可调参数'!$C$16/60</x:f>
        <x:v>21.466666666666665</x:v>
      </x:c>
      <x:c r="Y11" s="14" t="n">
        <x:f>(W11*'可调参数'!$C$17+'可调参数'!$C$23*'可调参数'!$C$25)/60</x:f>
        <x:v>6.833333333333333</x:v>
      </x:c>
      <x:c r="Z11" s="2" t="n">
        <x:f>X11+Y11</x:f>
        <x:v>28.299999999999997</x:v>
      </x:c>
      <x:c r="AA11" s="14" t="n">
        <x:f>'可调参数'!$C$26*'可调参数'!$C$27*(F11+G11+2*(G11+H11))</x:f>
        <x:v>11638</x:v>
      </x:c>
      <x:c r="AB11" s="14" t="n">
        <x:f>(AE11+AF11)*'可调参数'!$C$28*'可调参数'!$C$29</x:f>
        <x:v>502</x:v>
      </x:c>
      <x:c r="AC11" s="14" t="n">
        <x:f>'可调参数'!$C$26*'可调参数'!$C$27*(F11*('可调参数'!$C$32+'可调参数'!$C$30)+G11*('可调参数'!$C$33+'可调参数'!$C$30)+2*G11*('可调参数'!$C$34+'可调参数'!$C$30)+2*H11*('可调参数'!$C$35+'可调参数'!$C$30))+'可调参数'!$C$28*'可调参数'!$C$29*(AE11*('可调参数'!$C$34+'可调参数'!$C$30+2*'可调参数'!$C$31)+AF11*('可调参数'!$C$35+'可调参数'!$C$30+2*'可调参数'!$C$31))</x:f>
        <x:v>48319105.982314475</x:v>
      </x:c>
      <x:c r="AD11" s="14" t="n">
        <x:f>(AA11+AB11)*'可调参数'!$C$31</x:f>
        <x:v>4856000</x:v>
      </x:c>
      <x:c r="AE11" s="2" t="n">
        <x:f>ROUNDUP(G11*I11,0)+ROUNDUP(G11*J11,0)</x:f>
        <x:v>314</x:v>
      </x:c>
      <x:c r="AF11" s="2" t="n">
        <x:f>ROUNDUP(H11*I11,0)+ROUNDUP(H11*J11,0)</x:f>
        <x:v>188</x:v>
      </x:c>
      <x:c r="AG11" s="2"/>
      <x:c r="AH11" s="14" t="n">
        <x:f>MIN(BG11,MAX(ROUNDUP(BG11*P11,0),'可调参数'!$C$20))</x:f>
        <x:v>16</x:v>
      </x:c>
      <x:c r="AI11" s="14" t="n">
        <x:f>MIN(AU11,MAX(ROUNDUP(AU11*P11,0),'可调参数'!$C$20))</x:f>
        <x:v>10</x:v>
      </x:c>
      <x:c r="AJ11" s="14" t="n">
        <x:f>MIN(AV11,MAX(ROUNDUP(AV11*P11,0),'可调参数'!$C$20))</x:f>
        <x:v>7</x:v>
      </x:c>
      <x:c r="AK11" s="14" t="n">
        <x:f>MIN(AW11,MAX(ROUNDUP(AW11*P11,0),'可调参数'!$C$20))</x:f>
        <x:v>6</x:v>
      </x:c>
      <x:c r="AL11" s="14" t="n">
        <x:f>MIN(AX11,MAX(ROUNDUP(AX11*P11,0),'可调参数'!$C$20))</x:f>
        <x:v>4</x:v>
      </x:c>
      <x:c r="AM11" s="14" t="n">
        <x:f>MIN(AY11,MAX(ROUNDUP(AY11*P11,0),'可调参数'!$C$20))</x:f>
        <x:v>4</x:v>
      </x:c>
      <x:c r="AN11" s="14" t="n">
        <x:f>MIN(AZ11,MAX(ROUNDUP(AZ11*P11,0),'可调参数'!$C$20))</x:f>
        <x:v>3</x:v>
      </x:c>
      <x:c r="AO11" s="14" t="n">
        <x:f>MIN(BA11,MAX(ROUNDUP(BA11*P11,0),'可调参数'!$C$20))</x:f>
        <x:v>3</x:v>
      </x:c>
      <x:c r="AP11" s="14" t="n">
        <x:f>MIN(BB11,MAX(ROUNDUP(BB11*P11,0),'可调参数'!$C$20))</x:f>
        <x:v>3</x:v>
      </x:c>
      <x:c r="AQ11" s="14" t="n">
        <x:f>MIN(BC11,MAX(ROUNDUP(BC11*P11,0),'可调参数'!$C$20))</x:f>
        <x:v>2</x:v>
      </x:c>
      <x:c r="AR11" s="14" t="n">
        <x:f>MIN(BD11,MAX(ROUNDUP(BD11*P11,0),'可调参数'!$C$20))</x:f>
        <x:v>2</x:v>
      </x:c>
      <x:c r="AS11" s="14" t="n">
        <x:f>MIN(BE11,MAX(ROUNDUP(BE11*P11,0),'可调参数'!$C$20))</x:f>
        <x:v>1</x:v>
      </x:c>
      <x:c r="AT11" s="14" t="n">
        <x:f>MIN(BF11,MAX(ROUNDUP(BF11*P11,0),'可调参数'!$C$20))</x:f>
        <x:v>1</x:v>
      </x:c>
      <x:c r="AU11" s="14" t="n">
        <x:f>ROUNDDOWN(N11*'抽样与口径'!C7/SUM('抽样与口径'!C$6:C$18),0)</x:f>
        <x:v>83</x:v>
      </x:c>
      <x:c r="AV11" s="14" t="n">
        <x:f>ROUNDDOWN(N11*'抽样与口径'!C8/SUM('抽样与口径'!C$6:C$18),0)</x:f>
        <x:v>57</x:v>
      </x:c>
      <x:c r="AW11" s="14" t="n">
        <x:f>ROUNDDOWN(N11*'抽样与口径'!C9/SUM('抽样与口径'!C$6:C$18),0)</x:f>
        <x:v>44</x:v>
      </x:c>
      <x:c r="AX11" s="14" t="n">
        <x:f>ROUNDDOWN(N11*'抽样与口径'!C10/SUM('抽样与口径'!C$6:C$18),0)</x:f>
        <x:v>30</x:v>
      </x:c>
      <x:c r="AY11" s="14" t="n">
        <x:f>ROUNDDOWN(N11*'抽样与口径'!C11/SUM('抽样与口径'!C$6:C$18),0)</x:f>
        <x:v>29</x:v>
      </x:c>
      <x:c r="AZ11" s="14" t="n">
        <x:f>ROUNDDOWN(N11*'抽样与口径'!C12/SUM('抽样与口径'!C$6:C$18),0)</x:f>
        <x:v>23</x:v>
      </x:c>
      <x:c r="BA11" s="16" t="n">
        <x:f>ROUNDDOWN(N11*'抽样与口径'!C13/SUM('抽样与口径'!C$6:C$18),0)</x:f>
        <x:v>20</x:v>
      </x:c>
      <x:c r="BB11" s="16" t="n">
        <x:f>ROUNDDOWN(N11*'抽样与口径'!C14/SUM('抽样与口径'!C$6:C$18),0)</x:f>
        <x:v>18</x:v>
      </x:c>
      <x:c r="BC11" s="16" t="n">
        <x:f>ROUNDDOWN(N11*'抽样与口径'!C15/SUM('抽样与口径'!C$6:C$18),0)</x:f>
        <x:v>15</x:v>
      </x:c>
      <x:c r="BD11" s="16" t="n">
        <x:f>ROUNDDOWN(N11*'抽样与口径'!C16/SUM('抽样与口径'!C$6:C$18),0)</x:f>
        <x:v>8</x:v>
      </x:c>
      <x:c r="BE11" s="16" t="n">
        <x:f>ROUNDDOWN(N11*'抽样与口径'!C17/SUM('抽样与口径'!C$6:C$18),0)</x:f>
        <x:v>1</x:v>
      </x:c>
      <x:c r="BF11" s="16" t="n">
        <x:f>ROUNDDOWN(N11*'抽样与口径'!C18/SUM('抽样与口径'!C$6:C$18),0)</x:f>
        <x:v>1</x:v>
      </x:c>
      <x:c r="BG11" s="15" t="n">
        <x:f>N11-SUM(AU11:BF11)</x:f>
        <x:v>134</x:v>
      </x:c>
    </x:row>
    <x:row r="12" ht="26" customHeight="1">
      <x:c r="A12" s="2"/>
      <x:c r="B12" s="2" t="str">
        <x:v>增长×2 / α0.8</x:v>
      </x:c>
      <x:c r="C12" s="2" t="n">
        <x:f>2</x:f>
        <x:v>2</x:v>
      </x:c>
      <x:c r="D12" s="2" t="n">
        <x:f>0.8</x:f>
        <x:v>0.8</x:v>
      </x:c>
      <x:c r="E12" s="2" t="n">
        <x:f>0.8</x:f>
        <x:v>0.8</x:v>
      </x:c>
      <x:c r="F12" s="14" t="n">
        <x:f>ROUND('可调参数'!$C$5*'可调参数'!$C$6/'可调参数'!$C$7*C12,0)</x:f>
        <x:v>1769</x:v>
      </x:c>
      <x:c r="G12" s="14" t="n">
        <x:f>ROUND('可调参数'!$C$5*'可调参数'!$C$6/'可调参数'!$C$7*C12*'可调参数'!$C$10,0)</x:f>
        <x:v>964</x:v>
      </x:c>
      <x:c r="H12" s="14" t="n">
        <x:f>ROUND('可调参数'!$C$5*'可调参数'!$C$6/'可调参数'!$C$7*C12*'可调参数'!$C$10*'可调参数'!$C$11,0)</x:f>
        <x:v>579</x:v>
      </x:c>
      <x:c r="I12" s="14" t="n">
        <x:f>(1-D12)*'可调参数'!$C$14</x:f>
        <x:v>0.10821205406160785</x:v>
      </x:c>
      <x:c r="J12" s="14" t="n">
        <x:f>(1-E12)*'可调参数'!$C$15</x:f>
        <x:v>0.10803397815974924</x:v>
      </x:c>
      <x:c r="K12" s="2" t="n">
        <x:f>MIN(G12-H12,ROUNDUP((G12-H12)*(I12+J12),0))</x:f>
        <x:v>84</x:v>
      </x:c>
      <x:c r="L12" s="2" t="n">
        <x:f>MIN(H12,ROUNDUP(H12*MIN(1,2*(I12+J12)),0))</x:f>
        <x:v>251</x:v>
      </x:c>
      <x:c r="M12" s="14" t="n">
        <x:f>ROUNDUP((K12+L12)*'可调参数'!$C$38,0)</x:f>
        <x:v>335</x:v>
      </x:c>
      <x:c r="N12" s="2" t="n">
        <x:f>G12-M12</x:f>
        <x:v>629</x:v>
      </x:c>
      <x:c r="O12" s="14" t="n">
        <x:f>ROUNDUP(N12*'可调参数'!$C$18,0)</x:f>
        <x:v>32</x:v>
      </x:c>
      <x:c r="P12" s="14" t="n">
        <x:f>IF(N12=0,0,1-(1-'可调参数'!$C$19)^(1/MAX(1,O12)))</x:f>
        <x:v>0.0893681989862648</x:v>
      </x:c>
      <x:c r="Q12" s="2" t="n">
        <x:f>SUM(AH12:AT12)</x:f>
        <x:v>66</x:v>
      </x:c>
      <x:c r="R12" s="14" t="n">
        <x:f>ROUNDUP(Q12*'可调参数'!$C$21,0)+ROUNDUP((Q12-ROUNDUP(Q12*'可调参数'!$C$21,0))*'可调参数'!$C$22,0)</x:f>
        <x:v>19</x:v>
      </x:c>
      <x:c r="S12" s="14" t="n">
        <x:f>ROUNDUP(G12*'可调参数'!$C$36,0)</x:f>
        <x:v>11</x:v>
      </x:c>
      <x:c r="T12" s="14" t="n">
        <x:f>ROUNDUP(G12*'可调参数'!$C$37,0)</x:f>
        <x:v>30</x:v>
      </x:c>
      <x:c r="U12" s="14" t="n">
        <x:f>MIN('可调参数'!$C$23*'可调参数'!$C$24,MAX(0,N12-Q12))</x:f>
        <x:v>40</x:v>
      </x:c>
      <x:c r="V12" s="2" t="n">
        <x:f>SUM(M12,Q12,S12,T12,U12)</x:f>
        <x:v>482</x:v>
      </x:c>
      <x:c r="W12" s="2" t="n">
        <x:f>R12+U12</x:f>
        <x:v>59</x:v>
      </x:c>
      <x:c r="X12" s="14" t="n">
        <x:f>V12*'可调参数'!$C$16/60</x:f>
        <x:v>16.066666666666666</x:v>
      </x:c>
      <x:c r="Y12" s="14" t="n">
        <x:f>(W12*'可调参数'!$C$17+'可调参数'!$C$23*'可调参数'!$C$25)/60</x:f>
        <x:v>6.916666666666667</x:v>
      </x:c>
      <x:c r="Z12" s="2" t="n">
        <x:f>X12+Y12</x:f>
        <x:v>22.983333333333334</x:v>
      </x:c>
      <x:c r="AA12" s="14" t="n">
        <x:f>'可调参数'!$C$26*'可调参数'!$C$27*(F12+G12+2*(G12+H12))</x:f>
        <x:v>11638</x:v>
      </x:c>
      <x:c r="AB12" s="14" t="n">
        <x:f>(AE12+AF12)*'可调参数'!$C$28*'可调参数'!$C$29</x:f>
        <x:v>336</x:v>
      </x:c>
      <x:c r="AC12" s="14" t="n">
        <x:f>'可调参数'!$C$26*'可调参数'!$C$27*(F12*('可调参数'!$C$32+'可调参数'!$C$30)+G12*('可调参数'!$C$33+'可调参数'!$C$30)+2*G12*('可调参数'!$C$34+'可调参数'!$C$30)+2*H12*('可调参数'!$C$35+'可调参数'!$C$30))+'可调参数'!$C$28*'可调参数'!$C$29*(AE12*('可调参数'!$C$34+'可调参数'!$C$30+2*'可调参数'!$C$31)+AF12*('可调参数'!$C$35+'可调参数'!$C$30+2*'可调参数'!$C$31))</x:f>
        <x:v>47616563.15171295</x:v>
      </x:c>
      <x:c r="AD12" s="14" t="n">
        <x:f>(AA12+AB12)*'可调参数'!$C$31</x:f>
        <x:v>4789600</x:v>
      </x:c>
      <x:c r="AE12" s="2" t="n">
        <x:f>ROUNDUP(G12*I12,0)+ROUNDUP(G12*J12,0)</x:f>
        <x:v>210</x:v>
      </x:c>
      <x:c r="AF12" s="2" t="n">
        <x:f>ROUNDUP(H12*I12,0)+ROUNDUP(H12*J12,0)</x:f>
        <x:v>126</x:v>
      </x:c>
      <x:c r="AG12" s="2"/>
      <x:c r="AH12" s="14" t="n">
        <x:f>MIN(BG12,MAX(ROUNDUP(BG12*P12,0),'可调参数'!$C$20))</x:f>
        <x:v>17</x:v>
      </x:c>
      <x:c r="AI12" s="14" t="n">
        <x:f>MIN(AU12,MAX(ROUNDUP(AU12*P12,0),'可调参数'!$C$20))</x:f>
        <x:v>11</x:v>
      </x:c>
      <x:c r="AJ12" s="14" t="n">
        <x:f>MIN(AV12,MAX(ROUNDUP(AV12*P12,0),'可调参数'!$C$20))</x:f>
        <x:v>7</x:v>
      </x:c>
      <x:c r="AK12" s="14" t="n">
        <x:f>MIN(AW12,MAX(ROUNDUP(AW12*P12,0),'可调参数'!$C$20))</x:f>
        <x:v>6</x:v>
      </x:c>
      <x:c r="AL12" s="14" t="n">
        <x:f>MIN(AX12,MAX(ROUNDUP(AX12*P12,0),'可调参数'!$C$20))</x:f>
        <x:v>4</x:v>
      </x:c>
      <x:c r="AM12" s="14" t="n">
        <x:f>MIN(AY12,MAX(ROUNDUP(AY12*P12,0),'可调参数'!$C$20))</x:f>
        <x:v>4</x:v>
      </x:c>
      <x:c r="AN12" s="14" t="n">
        <x:f>MIN(AZ12,MAX(ROUNDUP(AZ12*P12,0),'可调参数'!$C$20))</x:f>
        <x:v>3</x:v>
      </x:c>
      <x:c r="AO12" s="14" t="n">
        <x:f>MIN(BA12,MAX(ROUNDUP(BA12*P12,0),'可调参数'!$C$20))</x:f>
        <x:v>3</x:v>
      </x:c>
      <x:c r="AP12" s="14" t="n">
        <x:f>MIN(BB12,MAX(ROUNDUP(BB12*P12,0),'可调参数'!$C$20))</x:f>
        <x:v>3</x:v>
      </x:c>
      <x:c r="AQ12" s="14" t="n">
        <x:f>MIN(BC12,MAX(ROUNDUP(BC12*P12,0),'可调参数'!$C$20))</x:f>
        <x:v>2</x:v>
      </x:c>
      <x:c r="AR12" s="14" t="n">
        <x:f>MIN(BD12,MAX(ROUNDUP(BD12*P12,0),'可调参数'!$C$20))</x:f>
        <x:v>2</x:v>
      </x:c>
      <x:c r="AS12" s="14" t="n">
        <x:f>MIN(BE12,MAX(ROUNDUP(BE12*P12,0),'可调参数'!$C$20))</x:f>
        <x:v>2</x:v>
      </x:c>
      <x:c r="AT12" s="14" t="n">
        <x:f>MIN(BF12,MAX(ROUNDUP(BF12*P12,0),'可调参数'!$C$20))</x:f>
        <x:v>2</x:v>
      </x:c>
      <x:c r="AU12" s="14" t="n">
        <x:f>ROUNDDOWN(N12*'抽样与口径'!C7/SUM('抽样与口径'!C$6:C$18),0)</x:f>
        <x:v>112</x:v>
      </x:c>
      <x:c r="AV12" s="14" t="n">
        <x:f>ROUNDDOWN(N12*'抽样与口径'!C8/SUM('抽样与口径'!C$6:C$18),0)</x:f>
        <x:v>78</x:v>
      </x:c>
      <x:c r="AW12" s="14" t="n">
        <x:f>ROUNDDOWN(N12*'抽样与口径'!C9/SUM('抽样与口径'!C$6:C$18),0)</x:f>
        <x:v>60</x:v>
      </x:c>
      <x:c r="AX12" s="14" t="n">
        <x:f>ROUNDDOWN(N12*'抽样与口径'!C10/SUM('抽样与口径'!C$6:C$18),0)</x:f>
        <x:v>41</x:v>
      </x:c>
      <x:c r="AY12" s="14" t="n">
        <x:f>ROUNDDOWN(N12*'抽样与口径'!C11/SUM('抽样与口径'!C$6:C$18),0)</x:f>
        <x:v>39</x:v>
      </x:c>
      <x:c r="AZ12" s="14" t="n">
        <x:f>ROUNDDOWN(N12*'抽样与口径'!C12/SUM('抽样与口径'!C$6:C$18),0)</x:f>
        <x:v>31</x:v>
      </x:c>
      <x:c r="BA12" s="16" t="n">
        <x:f>ROUNDDOWN(N12*'抽样与口径'!C13/SUM('抽样与口径'!C$6:C$18),0)</x:f>
        <x:v>28</x:v>
      </x:c>
      <x:c r="BB12" s="16" t="n">
        <x:f>ROUNDDOWN(N12*'抽样与口径'!C14/SUM('抽样与口径'!C$6:C$18),0)</x:f>
        <x:v>24</x:v>
      </x:c>
      <x:c r="BC12" s="16" t="n">
        <x:f>ROUNDDOWN(N12*'抽样与口径'!C15/SUM('抽样与口径'!C$6:C$18),0)</x:f>
        <x:v>21</x:v>
      </x:c>
      <x:c r="BD12" s="16" t="n">
        <x:f>ROUNDDOWN(N12*'抽样与口径'!C16/SUM('抽样与口径'!C$6:C$18),0)</x:f>
        <x:v>11</x:v>
      </x:c>
      <x:c r="BE12" s="16" t="n">
        <x:f>ROUNDDOWN(N12*'抽样与口径'!C17/SUM('抽样与口径'!C$6:C$18),0)</x:f>
        <x:v>2</x:v>
      </x:c>
      <x:c r="BF12" s="16" t="n">
        <x:f>ROUNDDOWN(N12*'抽样与口径'!C18/SUM('抽样与口径'!C$6:C$18),0)</x:f>
        <x:v>2</x:v>
      </x:c>
      <x:c r="BG12" s="15" t="n">
        <x:f>N12-SUM(AU12:BF12)</x:f>
        <x:v>180</x:v>
      </x:c>
    </x:row>
    <x:row r="13" ht="26" customHeight="1">
      <x:c r="A13" s="2"/>
      <x:c r="B13" s="2" t="str">
        <x:v>增长×2 / α0.9</x:v>
      </x:c>
      <x:c r="C13" s="2" t="n">
        <x:f>2</x:f>
        <x:v>2</x:v>
      </x:c>
      <x:c r="D13" s="2" t="n">
        <x:f>0.9</x:f>
        <x:v>0.9</x:v>
      </x:c>
      <x:c r="E13" s="2" t="n">
        <x:f>0.9</x:f>
        <x:v>0.9</x:v>
      </x:c>
      <x:c r="F13" s="14" t="n">
        <x:f>ROUND('可调参数'!$C$5*'可调参数'!$C$6/'可调参数'!$C$7*C13,0)</x:f>
        <x:v>1769</x:v>
      </x:c>
      <x:c r="G13" s="14" t="n">
        <x:f>ROUND('可调参数'!$C$5*'可调参数'!$C$6/'可调参数'!$C$7*C13*'可调参数'!$C$10,0)</x:f>
        <x:v>964</x:v>
      </x:c>
      <x:c r="H13" s="14" t="n">
        <x:f>ROUND('可调参数'!$C$5*'可调参数'!$C$6/'可调参数'!$C$7*C13*'可调参数'!$C$10*'可调参数'!$C$11,0)</x:f>
        <x:v>579</x:v>
      </x:c>
      <x:c r="I13" s="14" t="n">
        <x:f>(1-D13)*'可调参数'!$C$14</x:f>
        <x:v>0.05410602703080392</x:v>
      </x:c>
      <x:c r="J13" s="14" t="n">
        <x:f>(1-E13)*'可调参数'!$C$15</x:f>
        <x:v>0.05401698907987462</x:v>
      </x:c>
      <x:c r="K13" s="2" t="n">
        <x:f>MIN(G13-H13,ROUNDUP((G13-H13)*(I13+J13),0))</x:f>
        <x:v>42</x:v>
      </x:c>
      <x:c r="L13" s="2" t="n">
        <x:f>MIN(H13,ROUNDUP(H13*MIN(1,2*(I13+J13)),0))</x:f>
        <x:v>126</x:v>
      </x:c>
      <x:c r="M13" s="14" t="n">
        <x:f>ROUNDUP((K13+L13)*'可调参数'!$C$38,0)</x:f>
        <x:v>168</x:v>
      </x:c>
      <x:c r="N13" s="2" t="n">
        <x:f>G13-M13</x:f>
        <x:v>796</x:v>
      </x:c>
      <x:c r="O13" s="14" t="n">
        <x:f>ROUNDUP(N13*'可调参数'!$C$18,0)</x:f>
        <x:v>40</x:v>
      </x:c>
      <x:c r="P13" s="14" t="n">
        <x:f>IF(N13=0,0,1-(1-'可调参数'!$C$19)^(1/MAX(1,O13)))</x:f>
        <x:v>0.0721575245055146</x:v>
      </x:c>
      <x:c r="Q13" s="2" t="n">
        <x:f>SUM(AH13:AT13)</x:f>
        <x:v>67</x:v>
      </x:c>
      <x:c r="R13" s="14" t="n">
        <x:f>ROUNDUP(Q13*'可调参数'!$C$21,0)+ROUNDUP((Q13-ROUNDUP(Q13*'可调参数'!$C$21,0))*'可调参数'!$C$22,0)</x:f>
        <x:v>19</x:v>
      </x:c>
      <x:c r="S13" s="14" t="n">
        <x:f>ROUNDUP(G13*'可调参数'!$C$36,0)</x:f>
        <x:v>11</x:v>
      </x:c>
      <x:c r="T13" s="14" t="n">
        <x:f>ROUNDUP(G13*'可调参数'!$C$37,0)</x:f>
        <x:v>30</x:v>
      </x:c>
      <x:c r="U13" s="14" t="n">
        <x:f>MIN('可调参数'!$C$23*'可调参数'!$C$24,MAX(0,N13-Q13))</x:f>
        <x:v>40</x:v>
      </x:c>
      <x:c r="V13" s="2" t="n">
        <x:f>SUM(M13,Q13,S13,T13,U13)</x:f>
        <x:v>316</x:v>
      </x:c>
      <x:c r="W13" s="2" t="n">
        <x:f>R13+U13</x:f>
        <x:v>59</x:v>
      </x:c>
      <x:c r="X13" s="14" t="n">
        <x:f>V13*'可调参数'!$C$16/60</x:f>
        <x:v>10.533333333333333</x:v>
      </x:c>
      <x:c r="Y13" s="14" t="n">
        <x:f>(W13*'可调参数'!$C$17+'可调参数'!$C$23*'可调参数'!$C$25)/60</x:f>
        <x:v>6.916666666666667</x:v>
      </x:c>
      <x:c r="Z13" s="2" t="n">
        <x:f>X13+Y13</x:f>
        <x:v>17.45</x:v>
      </x:c>
      <x:c r="AA13" s="14" t="n">
        <x:f>'可调参数'!$C$26*'可调参数'!$C$27*(F13+G13+2*(G13+H13))</x:f>
        <x:v>11638</x:v>
      </x:c>
      <x:c r="AB13" s="14" t="n">
        <x:f>(AE13+AF13)*'可调参数'!$C$28*'可调参数'!$C$29</x:f>
        <x:v>170</x:v>
      </x:c>
      <x:c r="AC13" s="14" t="n">
        <x:f>'可调参数'!$C$26*'可调参数'!$C$27*(F13*('可调参数'!$C$32+'可调参数'!$C$30)+G13*('可调参数'!$C$33+'可调参数'!$C$30)+2*G13*('可调参数'!$C$34+'可调参数'!$C$30)+2*H13*('可调参数'!$C$35+'可调参数'!$C$30))+'可调参数'!$C$28*'可调参数'!$C$29*(AE13*('可调参数'!$C$34+'可调参数'!$C$30+2*'可调参数'!$C$31)+AF13*('可调参数'!$C$35+'可调参数'!$C$30+2*'可调参数'!$C$31))</x:f>
        <x:v>46914020.32111142</x:v>
      </x:c>
      <x:c r="AD13" s="14" t="n">
        <x:f>(AA13+AB13)*'可调参数'!$C$31</x:f>
        <x:v>4723200</x:v>
      </x:c>
      <x:c r="AE13" s="2" t="n">
        <x:f>ROUNDUP(G13*I13,0)+ROUNDUP(G13*J13,0)</x:f>
        <x:v>106</x:v>
      </x:c>
      <x:c r="AF13" s="2" t="n">
        <x:f>ROUNDUP(H13*I13,0)+ROUNDUP(H13*J13,0)</x:f>
        <x:v>64</x:v>
      </x:c>
      <x:c r="AG13" s="2"/>
      <x:c r="AH13" s="14" t="n">
        <x:f>MIN(BG13,MAX(ROUNDUP(BG13*P13,0),'可调参数'!$C$20))</x:f>
        <x:v>17</x:v>
      </x:c>
      <x:c r="AI13" s="14" t="n">
        <x:f>MIN(AU13,MAX(ROUNDUP(AU13*P13,0),'可调参数'!$C$20))</x:f>
        <x:v>11</x:v>
      </x:c>
      <x:c r="AJ13" s="14" t="n">
        <x:f>MIN(AV13,MAX(ROUNDUP(AV13*P13,0),'可调参数'!$C$20))</x:f>
        <x:v>8</x:v>
      </x:c>
      <x:c r="AK13" s="14" t="n">
        <x:f>MIN(AW13,MAX(ROUNDUP(AW13*P13,0),'可调参数'!$C$20))</x:f>
        <x:v>6</x:v>
      </x:c>
      <x:c r="AL13" s="14" t="n">
        <x:f>MIN(AX13,MAX(ROUNDUP(AX13*P13,0),'可调参数'!$C$20))</x:f>
        <x:v>4</x:v>
      </x:c>
      <x:c r="AM13" s="14" t="n">
        <x:f>MIN(AY13,MAX(ROUNDUP(AY13*P13,0),'可调参数'!$C$20))</x:f>
        <x:v>4</x:v>
      </x:c>
      <x:c r="AN13" s="14" t="n">
        <x:f>MIN(AZ13,MAX(ROUNDUP(AZ13*P13,0),'可调参数'!$C$20))</x:f>
        <x:v>3</x:v>
      </x:c>
      <x:c r="AO13" s="14" t="n">
        <x:f>MIN(BA13,MAX(ROUNDUP(BA13*P13,0),'可调参数'!$C$20))</x:f>
        <x:v>3</x:v>
      </x:c>
      <x:c r="AP13" s="14" t="n">
        <x:f>MIN(BB13,MAX(ROUNDUP(BB13*P13,0),'可调参数'!$C$20))</x:f>
        <x:v>3</x:v>
      </x:c>
      <x:c r="AQ13" s="14" t="n">
        <x:f>MIN(BC13,MAX(ROUNDUP(BC13*P13,0),'可调参数'!$C$20))</x:f>
        <x:v>2</x:v>
      </x:c>
      <x:c r="AR13" s="14" t="n">
        <x:f>MIN(BD13,MAX(ROUNDUP(BD13*P13,0),'可调参数'!$C$20))</x:f>
        <x:v>2</x:v>
      </x:c>
      <x:c r="AS13" s="14" t="n">
        <x:f>MIN(BE13,MAX(ROUNDUP(BE13*P13,0),'可调参数'!$C$20))</x:f>
        <x:v>2</x:v>
      </x:c>
      <x:c r="AT13" s="14" t="n">
        <x:f>MIN(BF13,MAX(ROUNDUP(BF13*P13,0),'可调参数'!$C$20))</x:f>
        <x:v>2</x:v>
      </x:c>
      <x:c r="AU13" s="14" t="n">
        <x:f>ROUNDDOWN(N13*'抽样与口径'!C7/SUM('抽样与口径'!C$6:C$18),0)</x:f>
        <x:v>142</x:v>
      </x:c>
      <x:c r="AV13" s="14" t="n">
        <x:f>ROUNDDOWN(N13*'抽样与口径'!C8/SUM('抽样与口径'!C$6:C$18),0)</x:f>
        <x:v>98</x:v>
      </x:c>
      <x:c r="AW13" s="14" t="n">
        <x:f>ROUNDDOWN(N13*'抽样与口径'!C9/SUM('抽样与口径'!C$6:C$18),0)</x:f>
        <x:v>76</x:v>
      </x:c>
      <x:c r="AX13" s="14" t="n">
        <x:f>ROUNDDOWN(N13*'抽样与口径'!C10/SUM('抽样与口径'!C$6:C$18),0)</x:f>
        <x:v>52</x:v>
      </x:c>
      <x:c r="AY13" s="14" t="n">
        <x:f>ROUNDDOWN(N13*'抽样与口径'!C11/SUM('抽样与口径'!C$6:C$18),0)</x:f>
        <x:v>50</x:v>
      </x:c>
      <x:c r="AZ13" s="14" t="n">
        <x:f>ROUNDDOWN(N13*'抽样与口径'!C12/SUM('抽样与口径'!C$6:C$18),0)</x:f>
        <x:v>40</x:v>
      </x:c>
      <x:c r="BA13" s="16" t="n">
        <x:f>ROUNDDOWN(N13*'抽样与口径'!C13/SUM('抽样与口径'!C$6:C$18),0)</x:f>
        <x:v>35</x:v>
      </x:c>
      <x:c r="BB13" s="16" t="n">
        <x:f>ROUNDDOWN(N13*'抽样与口径'!C14/SUM('抽样与口径'!C$6:C$18),0)</x:f>
        <x:v>31</x:v>
      </x:c>
      <x:c r="BC13" s="16" t="n">
        <x:f>ROUNDDOWN(N13*'抽样与口径'!C15/SUM('抽样与口径'!C$6:C$18),0)</x:f>
        <x:v>26</x:v>
      </x:c>
      <x:c r="BD13" s="16" t="n">
        <x:f>ROUNDDOWN(N13*'抽样与口径'!C16/SUM('抽样与口径'!C$6:C$18),0)</x:f>
        <x:v>14</x:v>
      </x:c>
      <x:c r="BE13" s="16" t="n">
        <x:f>ROUNDDOWN(N13*'抽样与口径'!C17/SUM('抽样与口径'!C$6:C$18),0)</x:f>
        <x:v>3</x:v>
      </x:c>
      <x:c r="BF13" s="16" t="n">
        <x:f>ROUNDDOWN(N13*'抽样与口径'!C18/SUM('抽样与口径'!C$6:C$18),0)</x:f>
        <x:v>3</x:v>
      </x:c>
      <x:c r="BG13" s="15" t="n">
        <x:f>N13-SUM(AU13:BF13)</x:f>
        <x:v>226</x:v>
      </x:c>
    </x:row>
    <x:row r="14" ht="26" customHeight="1">
      <x:c r="A14" s="2"/>
      <x:c r="B14" s="2" t="str">
        <x:v>增长×3 / α0.6</x:v>
      </x:c>
      <x:c r="C14" s="2" t="n">
        <x:f>3</x:f>
        <x:v>3</x:v>
      </x:c>
      <x:c r="D14" s="2" t="n">
        <x:f>0.6</x:f>
        <x:v>0.6</x:v>
      </x:c>
      <x:c r="E14" s="2" t="n">
        <x:f>0.6</x:f>
        <x:v>0.6</x:v>
      </x:c>
      <x:c r="F14" s="14" t="n">
        <x:f>ROUND('可调参数'!$C$5*'可调参数'!$C$6/'可调参数'!$C$7*C14,0)</x:f>
        <x:v>2653</x:v>
      </x:c>
      <x:c r="G14" s="14" t="n">
        <x:f>ROUND('可调参数'!$C$5*'可调参数'!$C$6/'可调参数'!$C$7*C14*'可调参数'!$C$10,0)</x:f>
        <x:v>1446</x:v>
      </x:c>
      <x:c r="H14" s="14" t="n">
        <x:f>ROUND('可调参数'!$C$5*'可调参数'!$C$6/'可调参数'!$C$7*C14*'可调参数'!$C$10*'可调参数'!$C$11,0)</x:f>
        <x:v>868</x:v>
      </x:c>
      <x:c r="I14" s="14" t="n">
        <x:f>(1-D14)*'可调参数'!$C$14</x:f>
        <x:v>0.21642410812321577</x:v>
      </x:c>
      <x:c r="J14" s="14" t="n">
        <x:f>(1-E14)*'可调参数'!$C$15</x:f>
        <x:v>0.21606795631949854</x:v>
      </x:c>
      <x:c r="K14" s="2" t="n">
        <x:f>MIN(G14-H14,ROUNDUP((G14-H14)*(I14+J14),0))</x:f>
        <x:v>250</x:v>
      </x:c>
      <x:c r="L14" s="2" t="n">
        <x:f>MIN(H14,ROUNDUP(H14*MIN(1,2*(I14+J14)),0))</x:f>
        <x:v>751</x:v>
      </x:c>
      <x:c r="M14" s="14" t="n">
        <x:f>ROUNDUP((K14+L14)*'可调参数'!$C$38,0)</x:f>
        <x:v>1001</x:v>
      </x:c>
      <x:c r="N14" s="2" t="n">
        <x:f>G14-M14</x:f>
        <x:v>445</x:v>
      </x:c>
      <x:c r="O14" s="14" t="n">
        <x:f>ROUNDUP(N14*'可调参数'!$C$18,0)</x:f>
        <x:v>23</x:v>
      </x:c>
      <x:c r="P14" s="14" t="n">
        <x:f>IF(N14=0,0,1-(1-'可调参数'!$C$19)^(1/MAX(1,O14)))</x:f>
        <x:v>0.12212338890652308</x:v>
      </x:c>
      <x:c r="Q14" s="2" t="n">
        <x:f>SUM(AH14:AT14)</x:f>
        <x:v>62</x:v>
      </x:c>
      <x:c r="R14" s="14" t="n">
        <x:f>ROUNDUP(Q14*'可调参数'!$C$21,0)+ROUNDUP((Q14-ROUNDUP(Q14*'可调参数'!$C$21,0))*'可调参数'!$C$22,0)</x:f>
        <x:v>18</x:v>
      </x:c>
      <x:c r="S14" s="14" t="n">
        <x:f>ROUNDUP(G14*'可调参数'!$C$36,0)</x:f>
        <x:v>17</x:v>
      </x:c>
      <x:c r="T14" s="14" t="n">
        <x:f>ROUNDUP(G14*'可调参数'!$C$37,0)</x:f>
        <x:v>45</x:v>
      </x:c>
      <x:c r="U14" s="14" t="n">
        <x:f>MIN('可调参数'!$C$23*'可调参数'!$C$24,MAX(0,N14-Q14))</x:f>
        <x:v>40</x:v>
      </x:c>
      <x:c r="V14" s="2" t="n">
        <x:f>SUM(M14,Q14,S14,T14,U14)</x:f>
        <x:v>1165</x:v>
      </x:c>
      <x:c r="W14" s="2" t="n">
        <x:f>R14+U14</x:f>
        <x:v>58</x:v>
      </x:c>
      <x:c r="X14" s="14" t="n">
        <x:f>V14*'可调参数'!$C$16/60</x:f>
        <x:v>38.833333333333336</x:v>
      </x:c>
      <x:c r="Y14" s="14" t="n">
        <x:f>(W14*'可调参数'!$C$17+'可调参数'!$C$23*'可调参数'!$C$25)/60</x:f>
        <x:v>6.833333333333333</x:v>
      </x:c>
      <x:c r="Z14" s="2" t="n">
        <x:f>X14+Y14</x:f>
        <x:v>45.66666666666667</x:v>
      </x:c>
      <x:c r="AA14" s="14" t="n">
        <x:f>'可调参数'!$C$26*'可调参数'!$C$27*(F14+G14+2*(G14+H14))</x:f>
        <x:v>17454</x:v>
      </x:c>
      <x:c r="AB14" s="14" t="n">
        <x:f>(AE14+AF14)*'可调参数'!$C$28*'可调参数'!$C$29</x:f>
        <x:v>1002</x:v>
      </x:c>
      <x:c r="AC14" s="14" t="n">
        <x:f>'可调参数'!$C$26*'可调参数'!$C$27*(F14*('可调参数'!$C$32+'可调参数'!$C$30)+G14*('可调参数'!$C$33+'可调参数'!$C$30)+2*G14*('可调参数'!$C$34+'可调参数'!$C$30)+2*H14*('可调参数'!$C$35+'可调参数'!$C$30))+'可调参数'!$C$28*'可调参数'!$C$29*(AE14*('可调参数'!$C$34+'可调参数'!$C$30+2*'可调参数'!$C$31)+AF14*('可调参数'!$C$35+'可调参数'!$C$30+2*'可调参数'!$C$31))</x:f>
        <x:v>73520539.64342803</x:v>
      </x:c>
      <x:c r="AD14" s="14" t="n">
        <x:f>(AA14+AB14)*'可调参数'!$C$31</x:f>
        <x:v>7382400</x:v>
      </x:c>
      <x:c r="AE14" s="2" t="n">
        <x:f>ROUNDUP(G14*I14,0)+ROUNDUP(G14*J14,0)</x:f>
        <x:v>626</x:v>
      </x:c>
      <x:c r="AF14" s="2" t="n">
        <x:f>ROUNDUP(H14*I14,0)+ROUNDUP(H14*J14,0)</x:f>
        <x:v>376</x:v>
      </x:c>
      <x:c r="AG14" s="2"/>
      <x:c r="AH14" s="14" t="n">
        <x:f>MIN(BG14,MAX(ROUNDUP(BG14*P14,0),'可调参数'!$C$20))</x:f>
        <x:v>16</x:v>
      </x:c>
      <x:c r="AI14" s="14" t="n">
        <x:f>MIN(AU14,MAX(ROUNDUP(AU14*P14,0),'可调参数'!$C$20))</x:f>
        <x:v>10</x:v>
      </x:c>
      <x:c r="AJ14" s="14" t="n">
        <x:f>MIN(AV14,MAX(ROUNDUP(AV14*P14,0),'可调参数'!$C$20))</x:f>
        <x:v>7</x:v>
      </x:c>
      <x:c r="AK14" s="14" t="n">
        <x:f>MIN(AW14,MAX(ROUNDUP(AW14*P14,0),'可调参数'!$C$20))</x:f>
        <x:v>6</x:v>
      </x:c>
      <x:c r="AL14" s="14" t="n">
        <x:f>MIN(AX14,MAX(ROUNDUP(AX14*P14,0),'可调参数'!$C$20))</x:f>
        <x:v>4</x:v>
      </x:c>
      <x:c r="AM14" s="14" t="n">
        <x:f>MIN(AY14,MAX(ROUNDUP(AY14*P14,0),'可调参数'!$C$20))</x:f>
        <x:v>4</x:v>
      </x:c>
      <x:c r="AN14" s="14" t="n">
        <x:f>MIN(AZ14,MAX(ROUNDUP(AZ14*P14,0),'可调参数'!$C$20))</x:f>
        <x:v>3</x:v>
      </x:c>
      <x:c r="AO14" s="14" t="n">
        <x:f>MIN(BA14,MAX(ROUNDUP(BA14*P14,0),'可调参数'!$C$20))</x:f>
        <x:v>3</x:v>
      </x:c>
      <x:c r="AP14" s="14" t="n">
        <x:f>MIN(BB14,MAX(ROUNDUP(BB14*P14,0),'可调参数'!$C$20))</x:f>
        <x:v>3</x:v>
      </x:c>
      <x:c r="AQ14" s="14" t="n">
        <x:f>MIN(BC14,MAX(ROUNDUP(BC14*P14,0),'可调参数'!$C$20))</x:f>
        <x:v>2</x:v>
      </x:c>
      <x:c r="AR14" s="14" t="n">
        <x:f>MIN(BD14,MAX(ROUNDUP(BD14*P14,0),'可调参数'!$C$20))</x:f>
        <x:v>2</x:v>
      </x:c>
      <x:c r="AS14" s="14" t="n">
        <x:f>MIN(BE14,MAX(ROUNDUP(BE14*P14,0),'可调参数'!$C$20))</x:f>
        <x:v>1</x:v>
      </x:c>
      <x:c r="AT14" s="14" t="n">
        <x:f>MIN(BF14,MAX(ROUNDUP(BF14*P14,0),'可调参数'!$C$20))</x:f>
        <x:v>1</x:v>
      </x:c>
      <x:c r="AU14" s="14" t="n">
        <x:f>ROUNDDOWN(N14*'抽样与口径'!C7/SUM('抽样与口径'!C$6:C$18),0)</x:f>
        <x:v>79</x:v>
      </x:c>
      <x:c r="AV14" s="14" t="n">
        <x:f>ROUNDDOWN(N14*'抽样与口径'!C8/SUM('抽样与口径'!C$6:C$18),0)</x:f>
        <x:v>55</x:v>
      </x:c>
      <x:c r="AW14" s="14" t="n">
        <x:f>ROUNDDOWN(N14*'抽样与口径'!C9/SUM('抽样与口径'!C$6:C$18),0)</x:f>
        <x:v>42</x:v>
      </x:c>
      <x:c r="AX14" s="14" t="n">
        <x:f>ROUNDDOWN(N14*'抽样与口径'!C10/SUM('抽样与口径'!C$6:C$18),0)</x:f>
        <x:v>29</x:v>
      </x:c>
      <x:c r="AY14" s="14" t="n">
        <x:f>ROUNDDOWN(N14*'抽样与口径'!C11/SUM('抽样与口径'!C$6:C$18),0)</x:f>
        <x:v>28</x:v>
      </x:c>
      <x:c r="AZ14" s="14" t="n">
        <x:f>ROUNDDOWN(N14*'抽样与口径'!C12/SUM('抽样与口径'!C$6:C$18),0)</x:f>
        <x:v>22</x:v>
      </x:c>
      <x:c r="BA14" s="16" t="n">
        <x:f>ROUNDDOWN(N14*'抽样与口径'!C13/SUM('抽样与口径'!C$6:C$18),0)</x:f>
        <x:v>20</x:v>
      </x:c>
      <x:c r="BB14" s="16" t="n">
        <x:f>ROUNDDOWN(N14*'抽样与口径'!C14/SUM('抽样与口径'!C$6:C$18),0)</x:f>
        <x:v>17</x:v>
      </x:c>
      <x:c r="BC14" s="16" t="n">
        <x:f>ROUNDDOWN(N14*'抽样与口径'!C15/SUM('抽样与口径'!C$6:C$18),0)</x:f>
        <x:v>15</x:v>
      </x:c>
      <x:c r="BD14" s="16" t="n">
        <x:f>ROUNDDOWN(N14*'抽样与口径'!C16/SUM('抽样与口径'!C$6:C$18),0)</x:f>
        <x:v>8</x:v>
      </x:c>
      <x:c r="BE14" s="16" t="n">
        <x:f>ROUNDDOWN(N14*'抽样与口径'!C17/SUM('抽样与口径'!C$6:C$18),0)</x:f>
        <x:v>1</x:v>
      </x:c>
      <x:c r="BF14" s="16" t="n">
        <x:f>ROUNDDOWN(N14*'抽样与口径'!C18/SUM('抽样与口径'!C$6:C$18),0)</x:f>
        <x:v>1</x:v>
      </x:c>
      <x:c r="BG14" s="15" t="n">
        <x:f>N14-SUM(AU14:BF14)</x:f>
        <x:v>128</x:v>
      </x:c>
    </x:row>
    <x:row r="15" ht="26" customHeight="1">
      <x:c r="A15" s="2"/>
      <x:c r="B15" s="2" t="str">
        <x:v>增长×3 / α0.7</x:v>
      </x:c>
      <x:c r="C15" s="2" t="n">
        <x:f>3</x:f>
        <x:v>3</x:v>
      </x:c>
      <x:c r="D15" s="2" t="n">
        <x:f>0.7</x:f>
        <x:v>0.7</x:v>
      </x:c>
      <x:c r="E15" s="2" t="n">
        <x:f>0.7</x:f>
        <x:v>0.7</x:v>
      </x:c>
      <x:c r="F15" s="14" t="n">
        <x:f>ROUND('可调参数'!$C$5*'可调参数'!$C$6/'可调参数'!$C$7*C15,0)</x:f>
        <x:v>2653</x:v>
      </x:c>
      <x:c r="G15" s="14" t="n">
        <x:f>ROUND('可调参数'!$C$5*'可调参数'!$C$6/'可调参数'!$C$7*C15*'可调参数'!$C$10,0)</x:f>
        <x:v>1446</x:v>
      </x:c>
      <x:c r="H15" s="14" t="n">
        <x:f>ROUND('可调参数'!$C$5*'可调参数'!$C$6/'可调参数'!$C$7*C15*'可调参数'!$C$10*'可调参数'!$C$11,0)</x:f>
        <x:v>868</x:v>
      </x:c>
      <x:c r="I15" s="14" t="n">
        <x:f>(1-D15)*'可调参数'!$C$14</x:f>
        <x:v>0.16231808109241183</x:v>
      </x:c>
      <x:c r="J15" s="14" t="n">
        <x:f>(1-E15)*'可调参数'!$C$15</x:f>
        <x:v>0.16205096723962392</x:v>
      </x:c>
      <x:c r="K15" s="2" t="n">
        <x:f>MIN(G15-H15,ROUNDUP((G15-H15)*(I15+J15),0))</x:f>
        <x:v>188</x:v>
      </x:c>
      <x:c r="L15" s="2" t="n">
        <x:f>MIN(H15,ROUNDUP(H15*MIN(1,2*(I15+J15)),0))</x:f>
        <x:v>564</x:v>
      </x:c>
      <x:c r="M15" s="14" t="n">
        <x:f>ROUNDUP((K15+L15)*'可调参数'!$C$38,0)</x:f>
        <x:v>752</x:v>
      </x:c>
      <x:c r="N15" s="2" t="n">
        <x:f>G15-M15</x:f>
        <x:v>694</x:v>
      </x:c>
      <x:c r="O15" s="14" t="n">
        <x:f>ROUNDUP(N15*'可调参数'!$C$18,0)</x:f>
        <x:v>35</x:v>
      </x:c>
      <x:c r="P15" s="14" t="n">
        <x:f>IF(N15=0,0,1-(1-'可调参数'!$C$19)^(1/MAX(1,O15)))</x:f>
        <x:v>0.08203163585667039</x:v>
      </x:c>
      <x:c r="Q15" s="2" t="n">
        <x:f>SUM(AH15:AT15)</x:f>
        <x:v>67</x:v>
      </x:c>
      <x:c r="R15" s="14" t="n">
        <x:f>ROUNDUP(Q15*'可调参数'!$C$21,0)+ROUNDUP((Q15-ROUNDUP(Q15*'可调参数'!$C$21,0))*'可调参数'!$C$22,0)</x:f>
        <x:v>19</x:v>
      </x:c>
      <x:c r="S15" s="14" t="n">
        <x:f>ROUNDUP(G15*'可调参数'!$C$36,0)</x:f>
        <x:v>17</x:v>
      </x:c>
      <x:c r="T15" s="14" t="n">
        <x:f>ROUNDUP(G15*'可调参数'!$C$37,0)</x:f>
        <x:v>45</x:v>
      </x:c>
      <x:c r="U15" s="14" t="n">
        <x:f>MIN('可调参数'!$C$23*'可调参数'!$C$24,MAX(0,N15-Q15))</x:f>
        <x:v>40</x:v>
      </x:c>
      <x:c r="V15" s="2" t="n">
        <x:f>SUM(M15,Q15,S15,T15,U15)</x:f>
        <x:v>921</x:v>
      </x:c>
      <x:c r="W15" s="2" t="n">
        <x:f>R15+U15</x:f>
        <x:v>59</x:v>
      </x:c>
      <x:c r="X15" s="14" t="n">
        <x:f>V15*'可调参数'!$C$16/60</x:f>
        <x:v>30.7</x:v>
      </x:c>
      <x:c r="Y15" s="14" t="n">
        <x:f>(W15*'可调参数'!$C$17+'可调参数'!$C$23*'可调参数'!$C$25)/60</x:f>
        <x:v>6.916666666666667</x:v>
      </x:c>
      <x:c r="Z15" s="2" t="n">
        <x:f>X15+Y15</x:f>
        <x:v>37.61666666666667</x:v>
      </x:c>
      <x:c r="AA15" s="14" t="n">
        <x:f>'可调参数'!$C$26*'可调参数'!$C$27*(F15+G15+2*(G15+H15))</x:f>
        <x:v>17454</x:v>
      </x:c>
      <x:c r="AB15" s="14" t="n">
        <x:f>(AE15+AF15)*'可调参数'!$C$28*'可调参数'!$C$29</x:f>
        <x:v>752</x:v>
      </x:c>
      <x:c r="AC15" s="14" t="n">
        <x:f>'可调参数'!$C$26*'可调参数'!$C$27*(F15*('可调参数'!$C$32+'可调参数'!$C$30)+G15*('可调参数'!$C$33+'可调参数'!$C$30)+2*G15*('可调参数'!$C$34+'可调参数'!$C$30)+2*H15*('可调参数'!$C$35+'可调参数'!$C$30))+'可调参数'!$C$28*'可调参数'!$C$29*(AE15*('可调参数'!$C$34+'可调参数'!$C$30+2*'可调参数'!$C$31)+AF15*('可调参数'!$C$35+'可调参数'!$C$30+2*'可调参数'!$C$31))</x:f>
        <x:v>72459991.88458456</x:v>
      </x:c>
      <x:c r="AD15" s="14" t="n">
        <x:f>(AA15+AB15)*'可调参数'!$C$31</x:f>
        <x:v>7282400</x:v>
      </x:c>
      <x:c r="AE15" s="2" t="n">
        <x:f>ROUNDUP(G15*I15,0)+ROUNDUP(G15*J15,0)</x:f>
        <x:v>470</x:v>
      </x:c>
      <x:c r="AF15" s="2" t="n">
        <x:f>ROUNDUP(H15*I15,0)+ROUNDUP(H15*J15,0)</x:f>
        <x:v>282</x:v>
      </x:c>
      <x:c r="AG15" s="2"/>
      <x:c r="AH15" s="14" t="n">
        <x:f>MIN(BG15,MAX(ROUNDUP(BG15*P15,0),'可调参数'!$C$20))</x:f>
        <x:v>17</x:v>
      </x:c>
      <x:c r="AI15" s="14" t="n">
        <x:f>MIN(AU15,MAX(ROUNDUP(AU15*P15,0),'可调参数'!$C$20))</x:f>
        <x:v>11</x:v>
      </x:c>
      <x:c r="AJ15" s="14" t="n">
        <x:f>MIN(AV15,MAX(ROUNDUP(AV15*P15,0),'可调参数'!$C$20))</x:f>
        <x:v>8</x:v>
      </x:c>
      <x:c r="AK15" s="14" t="n">
        <x:f>MIN(AW15,MAX(ROUNDUP(AW15*P15,0),'可调参数'!$C$20))</x:f>
        <x:v>6</x:v>
      </x:c>
      <x:c r="AL15" s="14" t="n">
        <x:f>MIN(AX15,MAX(ROUNDUP(AX15*P15,0),'可调参数'!$C$20))</x:f>
        <x:v>4</x:v>
      </x:c>
      <x:c r="AM15" s="14" t="n">
        <x:f>MIN(AY15,MAX(ROUNDUP(AY15*P15,0),'可调参数'!$C$20))</x:f>
        <x:v>4</x:v>
      </x:c>
      <x:c r="AN15" s="14" t="n">
        <x:f>MIN(AZ15,MAX(ROUNDUP(AZ15*P15,0),'可调参数'!$C$20))</x:f>
        <x:v>3</x:v>
      </x:c>
      <x:c r="AO15" s="14" t="n">
        <x:f>MIN(BA15,MAX(ROUNDUP(BA15*P15,0),'可调参数'!$C$20))</x:f>
        <x:v>3</x:v>
      </x:c>
      <x:c r="AP15" s="14" t="n">
        <x:f>MIN(BB15,MAX(ROUNDUP(BB15*P15,0),'可调参数'!$C$20))</x:f>
        <x:v>3</x:v>
      </x:c>
      <x:c r="AQ15" s="14" t="n">
        <x:f>MIN(BC15,MAX(ROUNDUP(BC15*P15,0),'可调参数'!$C$20))</x:f>
        <x:v>2</x:v>
      </x:c>
      <x:c r="AR15" s="14" t="n">
        <x:f>MIN(BD15,MAX(ROUNDUP(BD15*P15,0),'可调参数'!$C$20))</x:f>
        <x:v>2</x:v>
      </x:c>
      <x:c r="AS15" s="14" t="n">
        <x:f>MIN(BE15,MAX(ROUNDUP(BE15*P15,0),'可调参数'!$C$20))</x:f>
        <x:v>2</x:v>
      </x:c>
      <x:c r="AT15" s="14" t="n">
        <x:f>MIN(BF15,MAX(ROUNDUP(BF15*P15,0),'可调参数'!$C$20))</x:f>
        <x:v>2</x:v>
      </x:c>
      <x:c r="AU15" s="14" t="n">
        <x:f>ROUNDDOWN(N15*'抽样与口径'!C7/SUM('抽样与口径'!C$6:C$18),0)</x:f>
        <x:v>124</x:v>
      </x:c>
      <x:c r="AV15" s="14" t="n">
        <x:f>ROUNDDOWN(N15*'抽样与口径'!C8/SUM('抽样与口径'!C$6:C$18),0)</x:f>
        <x:v>86</x:v>
      </x:c>
      <x:c r="AW15" s="14" t="n">
        <x:f>ROUNDDOWN(N15*'抽样与口径'!C9/SUM('抽样与口径'!C$6:C$18),0)</x:f>
        <x:v>66</x:v>
      </x:c>
      <x:c r="AX15" s="14" t="n">
        <x:f>ROUNDDOWN(N15*'抽样与口径'!C10/SUM('抽样与口径'!C$6:C$18),0)</x:f>
        <x:v>46</x:v>
      </x:c>
      <x:c r="AY15" s="14" t="n">
        <x:f>ROUNDDOWN(N15*'抽样与口径'!C11/SUM('抽样与口径'!C$6:C$18),0)</x:f>
        <x:v>44</x:v>
      </x:c>
      <x:c r="AZ15" s="14" t="n">
        <x:f>ROUNDDOWN(N15*'抽样与口径'!C12/SUM('抽样与口径'!C$6:C$18),0)</x:f>
        <x:v>35</x:v>
      </x:c>
      <x:c r="BA15" s="16" t="n">
        <x:f>ROUNDDOWN(N15*'抽样与口径'!C13/SUM('抽样与口径'!C$6:C$18),0)</x:f>
        <x:v>31</x:v>
      </x:c>
      <x:c r="BB15" s="16" t="n">
        <x:f>ROUNDDOWN(N15*'抽样与口径'!C14/SUM('抽样与口径'!C$6:C$18),0)</x:f>
        <x:v>27</x:v>
      </x:c>
      <x:c r="BC15" s="16" t="n">
        <x:f>ROUNDDOWN(N15*'抽样与口径'!C15/SUM('抽样与口径'!C$6:C$18),0)</x:f>
        <x:v>23</x:v>
      </x:c>
      <x:c r="BD15" s="16" t="n">
        <x:f>ROUNDDOWN(N15*'抽样与口径'!C16/SUM('抽样与口径'!C$6:C$18),0)</x:f>
        <x:v>12</x:v>
      </x:c>
      <x:c r="BE15" s="16" t="n">
        <x:f>ROUNDDOWN(N15*'抽样与口径'!C17/SUM('抽样与口径'!C$6:C$18),0)</x:f>
        <x:v>2</x:v>
      </x:c>
      <x:c r="BF15" s="16" t="n">
        <x:f>ROUNDDOWN(N15*'抽样与口径'!C18/SUM('抽样与口径'!C$6:C$18),0)</x:f>
        <x:v>2</x:v>
      </x:c>
      <x:c r="BG15" s="15" t="n">
        <x:f>N15-SUM(AU15:BF15)</x:f>
        <x:v>196</x:v>
      </x:c>
    </x:row>
    <x:row r="16" ht="26" customHeight="1">
      <x:c r="A16" s="2"/>
      <x:c r="B16" s="2" t="str">
        <x:v>增长×3 / α0.8</x:v>
      </x:c>
      <x:c r="C16" s="2" t="n">
        <x:f>3</x:f>
        <x:v>3</x:v>
      </x:c>
      <x:c r="D16" s="2" t="n">
        <x:f>0.8</x:f>
        <x:v>0.8</x:v>
      </x:c>
      <x:c r="E16" s="2" t="n">
        <x:f>0.8</x:f>
        <x:v>0.8</x:v>
      </x:c>
      <x:c r="F16" s="14" t="n">
        <x:f>ROUND('可调参数'!$C$5*'可调参数'!$C$6/'可调参数'!$C$7*C16,0)</x:f>
        <x:v>2653</x:v>
      </x:c>
      <x:c r="G16" s="14" t="n">
        <x:f>ROUND('可调参数'!$C$5*'可调参数'!$C$6/'可调参数'!$C$7*C16*'可调参数'!$C$10,0)</x:f>
        <x:v>1446</x:v>
      </x:c>
      <x:c r="H16" s="14" t="n">
        <x:f>ROUND('可调参数'!$C$5*'可调参数'!$C$6/'可调参数'!$C$7*C16*'可调参数'!$C$10*'可调参数'!$C$11,0)</x:f>
        <x:v>868</x:v>
      </x:c>
      <x:c r="I16" s="14" t="n">
        <x:f>(1-D16)*'可调参数'!$C$14</x:f>
        <x:v>0.10821205406160785</x:v>
      </x:c>
      <x:c r="J16" s="14" t="n">
        <x:f>(1-E16)*'可调参数'!$C$15</x:f>
        <x:v>0.10803397815974924</x:v>
      </x:c>
      <x:c r="K16" s="2" t="n">
        <x:f>MIN(G16-H16,ROUNDUP((G16-H16)*(I16+J16),0))</x:f>
        <x:v>125</x:v>
      </x:c>
      <x:c r="L16" s="2" t="n">
        <x:f>MIN(H16,ROUNDUP(H16*MIN(1,2*(I16+J16)),0))</x:f>
        <x:v>376</x:v>
      </x:c>
      <x:c r="M16" s="14" t="n">
        <x:f>ROUNDUP((K16+L16)*'可调参数'!$C$38,0)</x:f>
        <x:v>501</x:v>
      </x:c>
      <x:c r="N16" s="2" t="n">
        <x:f>G16-M16</x:f>
        <x:v>945</x:v>
      </x:c>
      <x:c r="O16" s="14" t="n">
        <x:f>ROUNDUP(N16*'可调参数'!$C$18,0)</x:f>
        <x:v>48</x:v>
      </x:c>
      <x:c r="P16" s="14" t="n">
        <x:f>IF(N16=0,0,1-(1-'可调参数'!$C$19)^(1/MAX(1,O16)))</x:f>
        <x:v>0.06050340934889431</x:v>
      </x:c>
      <x:c r="Q16" s="2" t="n">
        <x:f>SUM(AH16:AT16)</x:f>
        <x:v>66</x:v>
      </x:c>
      <x:c r="R16" s="14" t="n">
        <x:f>ROUNDUP(Q16*'可调参数'!$C$21,0)+ROUNDUP((Q16-ROUNDUP(Q16*'可调参数'!$C$21,0))*'可调参数'!$C$22,0)</x:f>
        <x:v>19</x:v>
      </x:c>
      <x:c r="S16" s="14" t="n">
        <x:f>ROUNDUP(G16*'可调参数'!$C$36,0)</x:f>
        <x:v>17</x:v>
      </x:c>
      <x:c r="T16" s="14" t="n">
        <x:f>ROUNDUP(G16*'可调参数'!$C$37,0)</x:f>
        <x:v>45</x:v>
      </x:c>
      <x:c r="U16" s="14" t="n">
        <x:f>MIN('可调参数'!$C$23*'可调参数'!$C$24,MAX(0,N16-Q16))</x:f>
        <x:v>40</x:v>
      </x:c>
      <x:c r="V16" s="2" t="n">
        <x:f>SUM(M16,Q16,S16,T16,U16)</x:f>
        <x:v>669</x:v>
      </x:c>
      <x:c r="W16" s="2" t="n">
        <x:f>R16+U16</x:f>
        <x:v>59</x:v>
      </x:c>
      <x:c r="X16" s="14" t="n">
        <x:f>V16*'可调参数'!$C$16/60</x:f>
        <x:v>22.3</x:v>
      </x:c>
      <x:c r="Y16" s="14" t="n">
        <x:f>(W16*'可调参数'!$C$17+'可调参数'!$C$23*'可调参数'!$C$25)/60</x:f>
        <x:v>6.916666666666667</x:v>
      </x:c>
      <x:c r="Z16" s="2" t="n">
        <x:f>X16+Y16</x:f>
        <x:v>29.21666666666667</x:v>
      </x:c>
      <x:c r="AA16" s="14" t="n">
        <x:f>'可调参数'!$C$26*'可调参数'!$C$27*(F16+G16+2*(G16+H16))</x:f>
        <x:v>17454</x:v>
      </x:c>
      <x:c r="AB16" s="14" t="n">
        <x:f>(AE16+AF16)*'可调参数'!$C$28*'可调参数'!$C$29</x:f>
        <x:v>502</x:v>
      </x:c>
      <x:c r="AC16" s="14" t="n">
        <x:f>'可调参数'!$C$26*'可调参数'!$C$27*(F16*('可调参数'!$C$32+'可调参数'!$C$30)+G16*('可调参数'!$C$33+'可调参数'!$C$30)+2*G16*('可调参数'!$C$34+'可调参数'!$C$30)+2*H16*('可调参数'!$C$35+'可调参数'!$C$30))+'可调参数'!$C$28*'可调参数'!$C$29*(AE16*('可调参数'!$C$34+'可调参数'!$C$30+2*'可调参数'!$C$31)+AF16*('可调参数'!$C$35+'可调参数'!$C$30+2*'可调参数'!$C$31))</x:f>
        <x:v>71399444.1257411</x:v>
      </x:c>
      <x:c r="AD16" s="14" t="n">
        <x:f>(AA16+AB16)*'可调参数'!$C$31</x:f>
        <x:v>7182400</x:v>
      </x:c>
      <x:c r="AE16" s="2" t="n">
        <x:f>ROUNDUP(G16*I16,0)+ROUNDUP(G16*J16,0)</x:f>
        <x:v>314</x:v>
      </x:c>
      <x:c r="AF16" s="2" t="n">
        <x:f>ROUNDUP(H16*I16,0)+ROUNDUP(H16*J16,0)</x:f>
        <x:v>188</x:v>
      </x:c>
      <x:c r="AG16" s="2"/>
      <x:c r="AH16" s="14" t="n">
        <x:f>MIN(BG16,MAX(ROUNDUP(BG16*P16,0),'可调参数'!$C$20))</x:f>
        <x:v>16</x:v>
      </x:c>
      <x:c r="AI16" s="14" t="n">
        <x:f>MIN(AU16,MAX(ROUNDUP(AU16*P16,0),'可调参数'!$C$20))</x:f>
        <x:v>11</x:v>
      </x:c>
      <x:c r="AJ16" s="14" t="n">
        <x:f>MIN(AV16,MAX(ROUNDUP(AV16*P16,0),'可调参数'!$C$20))</x:f>
        <x:v>8</x:v>
      </x:c>
      <x:c r="AK16" s="14" t="n">
        <x:f>MIN(AW16,MAX(ROUNDUP(AW16*P16,0),'可调参数'!$C$20))</x:f>
        <x:v>6</x:v>
      </x:c>
      <x:c r="AL16" s="14" t="n">
        <x:f>MIN(AX16,MAX(ROUNDUP(AX16*P16,0),'可调参数'!$C$20))</x:f>
        <x:v>4</x:v>
      </x:c>
      <x:c r="AM16" s="14" t="n">
        <x:f>MIN(AY16,MAX(ROUNDUP(AY16*P16,0),'可调参数'!$C$20))</x:f>
        <x:v>4</x:v>
      </x:c>
      <x:c r="AN16" s="14" t="n">
        <x:f>MIN(AZ16,MAX(ROUNDUP(AZ16*P16,0),'可调参数'!$C$20))</x:f>
        <x:v>3</x:v>
      </x:c>
      <x:c r="AO16" s="14" t="n">
        <x:f>MIN(BA16,MAX(ROUNDUP(BA16*P16,0),'可调参数'!$C$20))</x:f>
        <x:v>3</x:v>
      </x:c>
      <x:c r="AP16" s="14" t="n">
        <x:f>MIN(BB16,MAX(ROUNDUP(BB16*P16,0),'可调参数'!$C$20))</x:f>
        <x:v>3</x:v>
      </x:c>
      <x:c r="AQ16" s="14" t="n">
        <x:f>MIN(BC16,MAX(ROUNDUP(BC16*P16,0),'可调参数'!$C$20))</x:f>
        <x:v>2</x:v>
      </x:c>
      <x:c r="AR16" s="14" t="n">
        <x:f>MIN(BD16,MAX(ROUNDUP(BD16*P16,0),'可调参数'!$C$20))</x:f>
        <x:v>2</x:v>
      </x:c>
      <x:c r="AS16" s="14" t="n">
        <x:f>MIN(BE16,MAX(ROUNDUP(BE16*P16,0),'可调参数'!$C$20))</x:f>
        <x:v>2</x:v>
      </x:c>
      <x:c r="AT16" s="14" t="n">
        <x:f>MIN(BF16,MAX(ROUNDUP(BF16*P16,0),'可调参数'!$C$20))</x:f>
        <x:v>2</x:v>
      </x:c>
      <x:c r="AU16" s="14" t="n">
        <x:f>ROUNDDOWN(N16*'抽样与口径'!C7/SUM('抽样与口径'!C$6:C$18),0)</x:f>
        <x:v>169</x:v>
      </x:c>
      <x:c r="AV16" s="14" t="n">
        <x:f>ROUNDDOWN(N16*'抽样与口径'!C8/SUM('抽样与口径'!C$6:C$18),0)</x:f>
        <x:v>117</x:v>
      </x:c>
      <x:c r="AW16" s="14" t="n">
        <x:f>ROUNDDOWN(N16*'抽样与口径'!C9/SUM('抽样与口径'!C$6:C$18),0)</x:f>
        <x:v>90</x:v>
      </x:c>
      <x:c r="AX16" s="14" t="n">
        <x:f>ROUNDDOWN(N16*'抽样与口径'!C10/SUM('抽样与口径'!C$6:C$18),0)</x:f>
        <x:v>62</x:v>
      </x:c>
      <x:c r="AY16" s="14" t="n">
        <x:f>ROUNDDOWN(N16*'抽样与口径'!C11/SUM('抽样与口径'!C$6:C$18),0)</x:f>
        <x:v>60</x:v>
      </x:c>
      <x:c r="AZ16" s="14" t="n">
        <x:f>ROUNDDOWN(N16*'抽样与口径'!C12/SUM('抽样与口径'!C$6:C$18),0)</x:f>
        <x:v>48</x:v>
      </x:c>
      <x:c r="BA16" s="16" t="n">
        <x:f>ROUNDDOWN(N16*'抽样与口径'!C13/SUM('抽样与口径'!C$6:C$18),0)</x:f>
        <x:v>42</x:v>
      </x:c>
      <x:c r="BB16" s="16" t="n">
        <x:f>ROUNDDOWN(N16*'抽样与口径'!C14/SUM('抽样与口径'!C$6:C$18),0)</x:f>
        <x:v>37</x:v>
      </x:c>
      <x:c r="BC16" s="16" t="n">
        <x:f>ROUNDDOWN(N16*'抽样与口径'!C15/SUM('抽样与口径'!C$6:C$18),0)</x:f>
        <x:v>32</x:v>
      </x:c>
      <x:c r="BD16" s="16" t="n">
        <x:f>ROUNDDOWN(N16*'抽样与口径'!C16/SUM('抽样与口径'!C$6:C$18),0)</x:f>
        <x:v>17</x:v>
      </x:c>
      <x:c r="BE16" s="16" t="n">
        <x:f>ROUNDDOWN(N16*'抽样与口径'!C17/SUM('抽样与口径'!C$6:C$18),0)</x:f>
        <x:v>4</x:v>
      </x:c>
      <x:c r="BF16" s="16" t="n">
        <x:f>ROUNDDOWN(N16*'抽样与口径'!C18/SUM('抽样与口径'!C$6:C$18),0)</x:f>
        <x:v>4</x:v>
      </x:c>
      <x:c r="BG16" s="15" t="n">
        <x:f>N16-SUM(AU16:BF16)</x:f>
        <x:v>263</x:v>
      </x:c>
    </x:row>
    <x:row r="17" ht="26" customHeight="1">
      <x:c r="A17" s="2"/>
      <x:c r="B17" s="2" t="str">
        <x:v>增长×3 / α0.9</x:v>
      </x:c>
      <x:c r="C17" s="2" t="n">
        <x:f>3</x:f>
        <x:v>3</x:v>
      </x:c>
      <x:c r="D17" s="2" t="n">
        <x:f>0.9</x:f>
        <x:v>0.9</x:v>
      </x:c>
      <x:c r="E17" s="2" t="n">
        <x:f>0.9</x:f>
        <x:v>0.9</x:v>
      </x:c>
      <x:c r="F17" s="14" t="n">
        <x:f>ROUND('可调参数'!$C$5*'可调参数'!$C$6/'可调参数'!$C$7*C17,0)</x:f>
        <x:v>2653</x:v>
      </x:c>
      <x:c r="G17" s="14" t="n">
        <x:f>ROUND('可调参数'!$C$5*'可调参数'!$C$6/'可调参数'!$C$7*C17*'可调参数'!$C$10,0)</x:f>
        <x:v>1446</x:v>
      </x:c>
      <x:c r="H17" s="14" t="n">
        <x:f>ROUND('可调参数'!$C$5*'可调参数'!$C$6/'可调参数'!$C$7*C17*'可调参数'!$C$10*'可调参数'!$C$11,0)</x:f>
        <x:v>868</x:v>
      </x:c>
      <x:c r="I17" s="14" t="n">
        <x:f>(1-D17)*'可调参数'!$C$14</x:f>
        <x:v>0.05410602703080392</x:v>
      </x:c>
      <x:c r="J17" s="14" t="n">
        <x:f>(1-E17)*'可调参数'!$C$15</x:f>
        <x:v>0.05401698907987462</x:v>
      </x:c>
      <x:c r="K17" s="2" t="n">
        <x:f>MIN(G17-H17,ROUNDUP((G17-H17)*(I17+J17),0))</x:f>
        <x:v>63</x:v>
      </x:c>
      <x:c r="L17" s="2" t="n">
        <x:f>MIN(H17,ROUNDUP(H17*MIN(1,2*(I17+J17)),0))</x:f>
        <x:v>188</x:v>
      </x:c>
      <x:c r="M17" s="14" t="n">
        <x:f>ROUNDUP((K17+L17)*'可调参数'!$C$38,0)</x:f>
        <x:v>251</x:v>
      </x:c>
      <x:c r="N17" s="2" t="n">
        <x:f>G17-M17</x:f>
        <x:v>1195</x:v>
      </x:c>
      <x:c r="O17" s="14" t="n">
        <x:f>ROUNDUP(N17*'可调参数'!$C$18,0)</x:f>
        <x:v>60</x:v>
      </x:c>
      <x:c r="P17" s="14" t="n">
        <x:f>IF(N17=0,0,1-(1-'可调参数'!$C$19)^(1/MAX(1,O17)))</x:f>
        <x:v>0.04870291331009746</x:v>
      </x:c>
      <x:c r="Q17" s="2" t="n">
        <x:f>SUM(AH17:AT17)</x:f>
        <x:v>67</x:v>
      </x:c>
      <x:c r="R17" s="14" t="n">
        <x:f>ROUNDUP(Q17*'可调参数'!$C$21,0)+ROUNDUP((Q17-ROUNDUP(Q17*'可调参数'!$C$21,0))*'可调参数'!$C$22,0)</x:f>
        <x:v>19</x:v>
      </x:c>
      <x:c r="S17" s="14" t="n">
        <x:f>ROUNDUP(G17*'可调参数'!$C$36,0)</x:f>
        <x:v>17</x:v>
      </x:c>
      <x:c r="T17" s="14" t="n">
        <x:f>ROUNDUP(G17*'可调参数'!$C$37,0)</x:f>
        <x:v>45</x:v>
      </x:c>
      <x:c r="U17" s="14" t="n">
        <x:f>MIN('可调参数'!$C$23*'可调参数'!$C$24,MAX(0,N17-Q17))</x:f>
        <x:v>40</x:v>
      </x:c>
      <x:c r="V17" s="2" t="n">
        <x:f>SUM(M17,Q17,S17,T17,U17)</x:f>
        <x:v>420</x:v>
      </x:c>
      <x:c r="W17" s="2" t="n">
        <x:f>R17+U17</x:f>
        <x:v>59</x:v>
      </x:c>
      <x:c r="X17" s="14" t="n">
        <x:f>V17*'可调参数'!$C$16/60</x:f>
        <x:v>14</x:v>
      </x:c>
      <x:c r="Y17" s="14" t="n">
        <x:f>(W17*'可调参数'!$C$17+'可调参数'!$C$23*'可调参数'!$C$25)/60</x:f>
        <x:v>6.916666666666667</x:v>
      </x:c>
      <x:c r="Z17" s="2" t="n">
        <x:f>X17+Y17</x:f>
        <x:v>20.916666666666668</x:v>
      </x:c>
      <x:c r="AA17" s="14" t="n">
        <x:f>'可调参数'!$C$26*'可调参数'!$C$27*(F17+G17+2*(G17+H17))</x:f>
        <x:v>17454</x:v>
      </x:c>
      <x:c r="AB17" s="14" t="n">
        <x:f>(AE17+AF17)*'可调参数'!$C$28*'可调参数'!$C$29</x:f>
        <x:v>252</x:v>
      </x:c>
      <x:c r="AC17" s="14" t="n">
        <x:f>'可调参数'!$C$26*'可调参数'!$C$27*(F17*('可调参数'!$C$32+'可调参数'!$C$30)+G17*('可调参数'!$C$33+'可调参数'!$C$30)+2*G17*('可调参数'!$C$34+'可调参数'!$C$30)+2*H17*('可调参数'!$C$35+'可调参数'!$C$30))+'可调参数'!$C$28*'可调参数'!$C$29*(AE17*('可调参数'!$C$34+'可调参数'!$C$30+2*'可调参数'!$C$31)+AF17*('可调参数'!$C$35+'可调参数'!$C$30+2*'可调参数'!$C$31))</x:f>
        <x:v>70338896.36689763</x:v>
      </x:c>
      <x:c r="AD17" s="14" t="n">
        <x:f>(AA17+AB17)*'可调参数'!$C$31</x:f>
        <x:v>7082400</x:v>
      </x:c>
      <x:c r="AE17" s="2" t="n">
        <x:f>ROUNDUP(G17*I17,0)+ROUNDUP(G17*J17,0)</x:f>
        <x:v>158</x:v>
      </x:c>
      <x:c r="AF17" s="2" t="n">
        <x:f>ROUNDUP(H17*I17,0)+ROUNDUP(H17*J17,0)</x:f>
        <x:v>94</x:v>
      </x:c>
      <x:c r="AG17" s="2"/>
      <x:c r="AH17" s="14" t="n">
        <x:f>MIN(BG17,MAX(ROUNDUP(BG17*P17,0),'可调参数'!$C$20))</x:f>
        <x:v>17</x:v>
      </x:c>
      <x:c r="AI17" s="14" t="n">
        <x:f>MIN(AU17,MAX(ROUNDUP(AU17*P17,0),'可调参数'!$C$20))</x:f>
        <x:v>11</x:v>
      </x:c>
      <x:c r="AJ17" s="14" t="n">
        <x:f>MIN(AV17,MAX(ROUNDUP(AV17*P17,0),'可调参数'!$C$20))</x:f>
        <x:v>8</x:v>
      </x:c>
      <x:c r="AK17" s="14" t="n">
        <x:f>MIN(AW17,MAX(ROUNDUP(AW17*P17,0),'可调参数'!$C$20))</x:f>
        <x:v>6</x:v>
      </x:c>
      <x:c r="AL17" s="14" t="n">
        <x:f>MIN(AX17,MAX(ROUNDUP(AX17*P17,0),'可调参数'!$C$20))</x:f>
        <x:v>4</x:v>
      </x:c>
      <x:c r="AM17" s="14" t="n">
        <x:f>MIN(AY17,MAX(ROUNDUP(AY17*P17,0),'可调参数'!$C$20))</x:f>
        <x:v>4</x:v>
      </x:c>
      <x:c r="AN17" s="14" t="n">
        <x:f>MIN(AZ17,MAX(ROUNDUP(AZ17*P17,0),'可调参数'!$C$20))</x:f>
        <x:v>3</x:v>
      </x:c>
      <x:c r="AO17" s="14" t="n">
        <x:f>MIN(BA17,MAX(ROUNDUP(BA17*P17,0),'可调参数'!$C$20))</x:f>
        <x:v>3</x:v>
      </x:c>
      <x:c r="AP17" s="14" t="n">
        <x:f>MIN(BB17,MAX(ROUNDUP(BB17*P17,0),'可调参数'!$C$20))</x:f>
        <x:v>3</x:v>
      </x:c>
      <x:c r="AQ17" s="14" t="n">
        <x:f>MIN(BC17,MAX(ROUNDUP(BC17*P17,0),'可调参数'!$C$20))</x:f>
        <x:v>2</x:v>
      </x:c>
      <x:c r="AR17" s="14" t="n">
        <x:f>MIN(BD17,MAX(ROUNDUP(BD17*P17,0),'可调参数'!$C$20))</x:f>
        <x:v>2</x:v>
      </x:c>
      <x:c r="AS17" s="14" t="n">
        <x:f>MIN(BE17,MAX(ROUNDUP(BE17*P17,0),'可调参数'!$C$20))</x:f>
        <x:v>2</x:v>
      </x:c>
      <x:c r="AT17" s="14" t="n">
        <x:f>MIN(BF17,MAX(ROUNDUP(BF17*P17,0),'可调参数'!$C$20))</x:f>
        <x:v>2</x:v>
      </x:c>
      <x:c r="AU17" s="14" t="n">
        <x:f>ROUNDDOWN(N17*'抽样与口径'!C7/SUM('抽样与口径'!C$6:C$18),0)</x:f>
        <x:v>214</x:v>
      </x:c>
      <x:c r="AV17" s="14" t="n">
        <x:f>ROUNDDOWN(N17*'抽样与口径'!C8/SUM('抽样与口径'!C$6:C$18),0)</x:f>
        <x:v>148</x:v>
      </x:c>
      <x:c r="AW17" s="14" t="n">
        <x:f>ROUNDDOWN(N17*'抽样与口径'!C9/SUM('抽样与口径'!C$6:C$18),0)</x:f>
        <x:v>114</x:v>
      </x:c>
      <x:c r="AX17" s="14" t="n">
        <x:f>ROUNDDOWN(N17*'抽样与口径'!C10/SUM('抽样与口径'!C$6:C$18),0)</x:f>
        <x:v>79</x:v>
      </x:c>
      <x:c r="AY17" s="14" t="n">
        <x:f>ROUNDDOWN(N17*'抽样与口径'!C11/SUM('抽样与口径'!C$6:C$18),0)</x:f>
        <x:v>75</x:v>
      </x:c>
      <x:c r="AZ17" s="14" t="n">
        <x:f>ROUNDDOWN(N17*'抽样与口径'!C12/SUM('抽样与口径'!C$6:C$18),0)</x:f>
        <x:v>60</x:v>
      </x:c>
      <x:c r="BA17" s="16" t="n">
        <x:f>ROUNDDOWN(N17*'抽样与口径'!C13/SUM('抽样与口径'!C$6:C$18),0)</x:f>
        <x:v>54</x:v>
      </x:c>
      <x:c r="BB17" s="16" t="n">
        <x:f>ROUNDDOWN(N17*'抽样与口径'!C14/SUM('抽样与口径'!C$6:C$18),0)</x:f>
        <x:v>47</x:v>
      </x:c>
      <x:c r="BC17" s="16" t="n">
        <x:f>ROUNDDOWN(N17*'抽样与口径'!C15/SUM('抽样与口径'!C$6:C$18),0)</x:f>
        <x:v>40</x:v>
      </x:c>
      <x:c r="BD17" s="16" t="n">
        <x:f>ROUNDDOWN(N17*'抽样与口径'!C16/SUM('抽样与口径'!C$6:C$18),0)</x:f>
        <x:v>21</x:v>
      </x:c>
      <x:c r="BE17" s="16" t="n">
        <x:f>ROUNDDOWN(N17*'抽样与口径'!C17/SUM('抽样与口径'!C$6:C$18),0)</x:f>
        <x:v>5</x:v>
      </x:c>
      <x:c r="BF17" s="16" t="n">
        <x:f>ROUNDDOWN(N17*'抽样与口径'!C18/SUM('抽样与口径'!C$6:C$18),0)</x:f>
        <x:v>5</x:v>
      </x:c>
      <x:c r="BG17" s="15" t="n">
        <x:f>N17-SUM(AU17:BF17)</x:f>
        <x:v>333</x:v>
      </x:c>
    </x:row>
    <x:row r="18" ht="26" customHeight="1">
      <x:c r="A18" s="2"/>
      <x:c r="B18" s="2" t="str">
        <x:v>增长×4 / α0.6</x:v>
      </x:c>
      <x:c r="C18" s="2" t="n">
        <x:f>4</x:f>
        <x:v>4</x:v>
      </x:c>
      <x:c r="D18" s="2" t="n">
        <x:f>0.6</x:f>
        <x:v>0.6</x:v>
      </x:c>
      <x:c r="E18" s="2" t="n">
        <x:f>0.6</x:f>
        <x:v>0.6</x:v>
      </x:c>
      <x:c r="F18" s="14" t="n">
        <x:f>ROUND('可调参数'!$C$5*'可调参数'!$C$6/'可调参数'!$C$7*C18,0)</x:f>
        <x:v>3538</x:v>
      </x:c>
      <x:c r="G18" s="14" t="n">
        <x:f>ROUND('可调参数'!$C$5*'可调参数'!$C$6/'可调参数'!$C$7*C18*'可调参数'!$C$10,0)</x:f>
        <x:v>1928</x:v>
      </x:c>
      <x:c r="H18" s="14" t="n">
        <x:f>ROUND('可调参数'!$C$5*'可调参数'!$C$6/'可调参数'!$C$7*C18*'可调参数'!$C$10*'可调参数'!$C$11,0)</x:f>
        <x:v>1157</x:v>
      </x:c>
      <x:c r="I18" s="14" t="n">
        <x:f>(1-D18)*'可调参数'!$C$14</x:f>
        <x:v>0.21642410812321577</x:v>
      </x:c>
      <x:c r="J18" s="14" t="n">
        <x:f>(1-E18)*'可调参数'!$C$15</x:f>
        <x:v>0.21606795631949854</x:v>
      </x:c>
      <x:c r="K18" s="2" t="n">
        <x:f>MIN(G18-H18,ROUNDUP((G18-H18)*(I18+J18),0))</x:f>
        <x:v>334</x:v>
      </x:c>
      <x:c r="L18" s="2" t="n">
        <x:f>MIN(H18,ROUNDUP(H18*MIN(1,2*(I18+J18)),0))</x:f>
        <x:v>1001</x:v>
      </x:c>
      <x:c r="M18" s="14" t="n">
        <x:f>ROUNDUP((K18+L18)*'可调参数'!$C$38,0)</x:f>
        <x:v>1335</x:v>
      </x:c>
      <x:c r="N18" s="2" t="n">
        <x:f>G18-M18</x:f>
        <x:v>593</x:v>
      </x:c>
      <x:c r="O18" s="14" t="n">
        <x:f>ROUNDUP(N18*'可调参数'!$C$18,0)</x:f>
        <x:v>30</x:v>
      </x:c>
      <x:c r="P18" s="14" t="n">
        <x:f>IF(N18=0,0,1-(1-'可调参数'!$C$19)^(1/MAX(1,O18)))</x:f>
        <x:v>0.09503385285530408</x:v>
      </x:c>
      <x:c r="Q18" s="2" t="n">
        <x:f>SUM(AH18:AT18)</x:f>
        <x:v>66</x:v>
      </x:c>
      <x:c r="R18" s="14" t="n">
        <x:f>ROUNDUP(Q18*'可调参数'!$C$21,0)+ROUNDUP((Q18-ROUNDUP(Q18*'可调参数'!$C$21,0))*'可调参数'!$C$22,0)</x:f>
        <x:v>19</x:v>
      </x:c>
      <x:c r="S18" s="14" t="n">
        <x:f>ROUNDUP(G18*'可调参数'!$C$36,0)</x:f>
        <x:v>22</x:v>
      </x:c>
      <x:c r="T18" s="14" t="n">
        <x:f>ROUNDUP(G18*'可调参数'!$C$37,0)</x:f>
        <x:v>60</x:v>
      </x:c>
      <x:c r="U18" s="14" t="n">
        <x:f>MIN('可调参数'!$C$23*'可调参数'!$C$24,MAX(0,N18-Q18))</x:f>
        <x:v>40</x:v>
      </x:c>
      <x:c r="V18" s="2" t="n">
        <x:f>SUM(M18,Q18,S18,T18,U18)</x:f>
        <x:v>1523</x:v>
      </x:c>
      <x:c r="W18" s="2" t="n">
        <x:f>R18+U18</x:f>
        <x:v>59</x:v>
      </x:c>
      <x:c r="X18" s="14" t="n">
        <x:f>V18*'可调参数'!$C$16/60</x:f>
        <x:v>50.766666666666666</x:v>
      </x:c>
      <x:c r="Y18" s="14" t="n">
        <x:f>(W18*'可调参数'!$C$17+'可调参数'!$C$23*'可调参数'!$C$25)/60</x:f>
        <x:v>6.916666666666667</x:v>
      </x:c>
      <x:c r="Z18" s="2" t="n">
        <x:f>X18+Y18</x:f>
        <x:v>57.68333333333333</x:v>
      </x:c>
      <x:c r="AA18" s="14" t="n">
        <x:f>'可调参数'!$C$26*'可调参数'!$C$27*(F18+G18+2*(G18+H18))</x:f>
        <x:v>23272</x:v>
      </x:c>
      <x:c r="AB18" s="14" t="n">
        <x:f>(AE18+AF18)*'可调参数'!$C$28*'可调参数'!$C$29</x:f>
        <x:v>1336</x:v>
      </x:c>
      <x:c r="AC18" s="14" t="n">
        <x:f>'可调参数'!$C$26*'可调参数'!$C$27*(F18*('可调参数'!$C$32+'可调参数'!$C$30)+G18*('可调参数'!$C$33+'可调参数'!$C$30)+2*G18*('可调参数'!$C$34+'可调参数'!$C$30)+2*H18*('可调参数'!$C$35+'可调参数'!$C$30))+'可调参数'!$C$28*'可调参数'!$C$29*(AE18*('可调参数'!$C$34+'可调参数'!$C$30+2*'可调参数'!$C$31)+AF18*('可调参数'!$C$35+'可调参数'!$C$30+2*'可调参数'!$C$31))</x:f>
        <x:v>98023556.07712147</x:v>
      </x:c>
      <x:c r="AD18" s="14" t="n">
        <x:f>(AA18+AB18)*'可调参数'!$C$31</x:f>
        <x:v>9843200</x:v>
      </x:c>
      <x:c r="AE18" s="2" t="n">
        <x:f>ROUNDUP(G18*I18,0)+ROUNDUP(G18*J18,0)</x:f>
        <x:v>835</x:v>
      </x:c>
      <x:c r="AF18" s="2" t="n">
        <x:f>ROUNDUP(H18*I18,0)+ROUNDUP(H18*J18,0)</x:f>
        <x:v>501</x:v>
      </x:c>
      <x:c r="AG18" s="2"/>
      <x:c r="AH18" s="14" t="n">
        <x:f>MIN(BG18,MAX(ROUNDUP(BG18*P18,0),'可调参数'!$C$20))</x:f>
        <x:v>17</x:v>
      </x:c>
      <x:c r="AI18" s="14" t="n">
        <x:f>MIN(AU18,MAX(ROUNDUP(AU18*P18,0),'可调参数'!$C$20))</x:f>
        <x:v>11</x:v>
      </x:c>
      <x:c r="AJ18" s="14" t="n">
        <x:f>MIN(AV18,MAX(ROUNDUP(AV18*P18,0),'可调参数'!$C$20))</x:f>
        <x:v>7</x:v>
      </x:c>
      <x:c r="AK18" s="14" t="n">
        <x:f>MIN(AW18,MAX(ROUNDUP(AW18*P18,0),'可调参数'!$C$20))</x:f>
        <x:v>6</x:v>
      </x:c>
      <x:c r="AL18" s="14" t="n">
        <x:f>MIN(AX18,MAX(ROUNDUP(AX18*P18,0),'可调参数'!$C$20))</x:f>
        <x:v>4</x:v>
      </x:c>
      <x:c r="AM18" s="14" t="n">
        <x:f>MIN(AY18,MAX(ROUNDUP(AY18*P18,0),'可调参数'!$C$20))</x:f>
        <x:v>4</x:v>
      </x:c>
      <x:c r="AN18" s="14" t="n">
        <x:f>MIN(AZ18,MAX(ROUNDUP(AZ18*P18,0),'可调参数'!$C$20))</x:f>
        <x:v>3</x:v>
      </x:c>
      <x:c r="AO18" s="14" t="n">
        <x:f>MIN(BA18,MAX(ROUNDUP(BA18*P18,0),'可调参数'!$C$20))</x:f>
        <x:v>3</x:v>
      </x:c>
      <x:c r="AP18" s="14" t="n">
        <x:f>MIN(BB18,MAX(ROUNDUP(BB18*P18,0),'可调参数'!$C$20))</x:f>
        <x:v>3</x:v>
      </x:c>
      <x:c r="AQ18" s="14" t="n">
        <x:f>MIN(BC18,MAX(ROUNDUP(BC18*P18,0),'可调参数'!$C$20))</x:f>
        <x:v>2</x:v>
      </x:c>
      <x:c r="AR18" s="14" t="n">
        <x:f>MIN(BD18,MAX(ROUNDUP(BD18*P18,0),'可调参数'!$C$20))</x:f>
        <x:v>2</x:v>
      </x:c>
      <x:c r="AS18" s="14" t="n">
        <x:f>MIN(BE18,MAX(ROUNDUP(BE18*P18,0),'可调参数'!$C$20))</x:f>
        <x:v>2</x:v>
      </x:c>
      <x:c r="AT18" s="14" t="n">
        <x:f>MIN(BF18,MAX(ROUNDUP(BF18*P18,0),'可调参数'!$C$20))</x:f>
        <x:v>2</x:v>
      </x:c>
      <x:c r="AU18" s="14" t="n">
        <x:f>ROUNDDOWN(N18*'抽样与口径'!C7/SUM('抽样与口径'!C$6:C$18),0)</x:f>
        <x:v>106</x:v>
      </x:c>
      <x:c r="AV18" s="14" t="n">
        <x:f>ROUNDDOWN(N18*'抽样与口径'!C8/SUM('抽样与口径'!C$6:C$18),0)</x:f>
        <x:v>73</x:v>
      </x:c>
      <x:c r="AW18" s="14" t="n">
        <x:f>ROUNDDOWN(N18*'抽样与口径'!C9/SUM('抽样与口径'!C$6:C$18),0)</x:f>
        <x:v>56</x:v>
      </x:c>
      <x:c r="AX18" s="14" t="n">
        <x:f>ROUNDDOWN(N18*'抽样与口径'!C10/SUM('抽样与口径'!C$6:C$18),0)</x:f>
        <x:v>39</x:v>
      </x:c>
      <x:c r="AY18" s="14" t="n">
        <x:f>ROUNDDOWN(N18*'抽样与口径'!C11/SUM('抽样与口径'!C$6:C$18),0)</x:f>
        <x:v>37</x:v>
      </x:c>
      <x:c r="AZ18" s="14" t="n">
        <x:f>ROUNDDOWN(N18*'抽样与口径'!C12/SUM('抽样与口径'!C$6:C$18),0)</x:f>
        <x:v>30</x:v>
      </x:c>
      <x:c r="BA18" s="16" t="n">
        <x:f>ROUNDDOWN(N18*'抽样与口径'!C13/SUM('抽样与口径'!C$6:C$18),0)</x:f>
        <x:v>26</x:v>
      </x:c>
      <x:c r="BB18" s="16" t="n">
        <x:f>ROUNDDOWN(N18*'抽样与口径'!C14/SUM('抽样与口径'!C$6:C$18),0)</x:f>
        <x:v>23</x:v>
      </x:c>
      <x:c r="BC18" s="16" t="n">
        <x:f>ROUNDDOWN(N18*'抽样与口径'!C15/SUM('抽样与口径'!C$6:C$18),0)</x:f>
        <x:v>20</x:v>
      </x:c>
      <x:c r="BD18" s="16" t="n">
        <x:f>ROUNDDOWN(N18*'抽样与口径'!C16/SUM('抽样与口径'!C$6:C$18),0)</x:f>
        <x:v>10</x:v>
      </x:c>
      <x:c r="BE18" s="16" t="n">
        <x:f>ROUNDDOWN(N18*'抽样与口径'!C17/SUM('抽样与口径'!C$6:C$18),0)</x:f>
        <x:v>2</x:v>
      </x:c>
      <x:c r="BF18" s="16" t="n">
        <x:f>ROUNDDOWN(N18*'抽样与口径'!C18/SUM('抽样与口径'!C$6:C$18),0)</x:f>
        <x:v>2</x:v>
      </x:c>
      <x:c r="BG18" s="15" t="n">
        <x:f>N18-SUM(AU18:BF18)</x:f>
        <x:v>169</x:v>
      </x:c>
    </x:row>
    <x:row r="19" ht="26" customHeight="1">
      <x:c r="A19" s="2"/>
      <x:c r="B19" s="2" t="str">
        <x:v>增长×4 / α0.7</x:v>
      </x:c>
      <x:c r="C19" s="2" t="n">
        <x:f>4</x:f>
        <x:v>4</x:v>
      </x:c>
      <x:c r="D19" s="2" t="n">
        <x:f>0.7</x:f>
        <x:v>0.7</x:v>
      </x:c>
      <x:c r="E19" s="2" t="n">
        <x:f>0.7</x:f>
        <x:v>0.7</x:v>
      </x:c>
      <x:c r="F19" s="14" t="n">
        <x:f>ROUND('可调参数'!$C$5*'可调参数'!$C$6/'可调参数'!$C$7*C19,0)</x:f>
        <x:v>3538</x:v>
      </x:c>
      <x:c r="G19" s="14" t="n">
        <x:f>ROUND('可调参数'!$C$5*'可调参数'!$C$6/'可调参数'!$C$7*C19*'可调参数'!$C$10,0)</x:f>
        <x:v>1928</x:v>
      </x:c>
      <x:c r="H19" s="14" t="n">
        <x:f>ROUND('可调参数'!$C$5*'可调参数'!$C$6/'可调参数'!$C$7*C19*'可调参数'!$C$10*'可调参数'!$C$11,0)</x:f>
        <x:v>1157</x:v>
      </x:c>
      <x:c r="I19" s="14" t="n">
        <x:f>(1-D19)*'可调参数'!$C$14</x:f>
        <x:v>0.16231808109241183</x:v>
      </x:c>
      <x:c r="J19" s="14" t="n">
        <x:f>(1-E19)*'可调参数'!$C$15</x:f>
        <x:v>0.16205096723962392</x:v>
      </x:c>
      <x:c r="K19" s="2" t="n">
        <x:f>MIN(G19-H19,ROUNDUP((G19-H19)*(I19+J19),0))</x:f>
        <x:v>251</x:v>
      </x:c>
      <x:c r="L19" s="2" t="n">
        <x:f>MIN(H19,ROUNDUP(H19*MIN(1,2*(I19+J19)),0))</x:f>
        <x:v>751</x:v>
      </x:c>
      <x:c r="M19" s="14" t="n">
        <x:f>ROUNDUP((K19+L19)*'可调参数'!$C$38,0)</x:f>
        <x:v>1002</x:v>
      </x:c>
      <x:c r="N19" s="2" t="n">
        <x:f>G19-M19</x:f>
        <x:v>926</x:v>
      </x:c>
      <x:c r="O19" s="14" t="n">
        <x:f>ROUNDUP(N19*'可调参数'!$C$18,0)</x:f>
        <x:v>47</x:v>
      </x:c>
      <x:c r="P19" s="14" t="n">
        <x:f>IF(N19=0,0,1-(1-'可调参数'!$C$19)^(1/MAX(1,O19)))</x:f>
        <x:v>0.06175013471082447</x:v>
      </x:c>
      <x:c r="Q19" s="2" t="n">
        <x:f>SUM(AH19:AT19)</x:f>
        <x:v>67</x:v>
      </x:c>
      <x:c r="R19" s="14" t="n">
        <x:f>ROUNDUP(Q19*'可调参数'!$C$21,0)+ROUNDUP((Q19-ROUNDUP(Q19*'可调参数'!$C$21,0))*'可调参数'!$C$22,0)</x:f>
        <x:v>19</x:v>
      </x:c>
      <x:c r="S19" s="14" t="n">
        <x:f>ROUNDUP(G19*'可调参数'!$C$36,0)</x:f>
        <x:v>22</x:v>
      </x:c>
      <x:c r="T19" s="14" t="n">
        <x:f>ROUNDUP(G19*'可调参数'!$C$37,0)</x:f>
        <x:v>60</x:v>
      </x:c>
      <x:c r="U19" s="14" t="n">
        <x:f>MIN('可调参数'!$C$23*'可调参数'!$C$24,MAX(0,N19-Q19))</x:f>
        <x:v>40</x:v>
      </x:c>
      <x:c r="V19" s="2" t="n">
        <x:f>SUM(M19,Q19,S19,T19,U19)</x:f>
        <x:v>1191</x:v>
      </x:c>
      <x:c r="W19" s="2" t="n">
        <x:f>R19+U19</x:f>
        <x:v>59</x:v>
      </x:c>
      <x:c r="X19" s="14" t="n">
        <x:f>V19*'可调参数'!$C$16/60</x:f>
        <x:v>39.7</x:v>
      </x:c>
      <x:c r="Y19" s="14" t="n">
        <x:f>(W19*'可调参数'!$C$17+'可调参数'!$C$23*'可调参数'!$C$25)/60</x:f>
        <x:v>6.916666666666667</x:v>
      </x:c>
      <x:c r="Z19" s="2" t="n">
        <x:f>X19+Y19</x:f>
        <x:v>46.61666666666667</x:v>
      </x:c>
      <x:c r="AA19" s="14" t="n">
        <x:f>'可调参数'!$C$26*'可调参数'!$C$27*(F19+G19+2*(G19+H19))</x:f>
        <x:v>23272</x:v>
      </x:c>
      <x:c r="AB19" s="14" t="n">
        <x:f>(AE19+AF19)*'可调参数'!$C$28*'可调参数'!$C$29</x:f>
        <x:v>1002</x:v>
      </x:c>
      <x:c r="AC19" s="14" t="n">
        <x:f>'可调参数'!$C$26*'可调参数'!$C$27*(F19*('可调参数'!$C$32+'可调参数'!$C$30)+G19*('可调参数'!$C$33+'可调参数'!$C$30)+2*G19*('可调参数'!$C$34+'可调参数'!$C$30)+2*H19*('可调参数'!$C$35+'可调参数'!$C$30))+'可调参数'!$C$28*'可调参数'!$C$29*(AE19*('可调参数'!$C$34+'可调参数'!$C$30+2*'可调参数'!$C$31)+AF19*('可调参数'!$C$35+'可调参数'!$C$30+2*'可调参数'!$C$31))</x:f>
        <x:v>96608995.89309022</x:v>
      </x:c>
      <x:c r="AD19" s="14" t="n">
        <x:f>(AA19+AB19)*'可调参数'!$C$31</x:f>
        <x:v>9709600</x:v>
      </x:c>
      <x:c r="AE19" s="2" t="n">
        <x:f>ROUNDUP(G19*I19,0)+ROUNDUP(G19*J19,0)</x:f>
        <x:v>626</x:v>
      </x:c>
      <x:c r="AF19" s="2" t="n">
        <x:f>ROUNDUP(H19*I19,0)+ROUNDUP(H19*J19,0)</x:f>
        <x:v>376</x:v>
      </x:c>
      <x:c r="AG19" s="2"/>
      <x:c r="AH19" s="14" t="n">
        <x:f>MIN(BG19,MAX(ROUNDUP(BG19*P19,0),'可调参数'!$C$20))</x:f>
        <x:v>17</x:v>
      </x:c>
      <x:c r="AI19" s="14" t="n">
        <x:f>MIN(AU19,MAX(ROUNDUP(AU19*P19,0),'可调参数'!$C$20))</x:f>
        <x:v>11</x:v>
      </x:c>
      <x:c r="AJ19" s="14" t="n">
        <x:f>MIN(AV19,MAX(ROUNDUP(AV19*P19,0),'可调参数'!$C$20))</x:f>
        <x:v>8</x:v>
      </x:c>
      <x:c r="AK19" s="14" t="n">
        <x:f>MIN(AW19,MAX(ROUNDUP(AW19*P19,0),'可调参数'!$C$20))</x:f>
        <x:v>6</x:v>
      </x:c>
      <x:c r="AL19" s="14" t="n">
        <x:f>MIN(AX19,MAX(ROUNDUP(AX19*P19,0),'可调参数'!$C$20))</x:f>
        <x:v>4</x:v>
      </x:c>
      <x:c r="AM19" s="14" t="n">
        <x:f>MIN(AY19,MAX(ROUNDUP(AY19*P19,0),'可调参数'!$C$20))</x:f>
        <x:v>4</x:v>
      </x:c>
      <x:c r="AN19" s="14" t="n">
        <x:f>MIN(AZ19,MAX(ROUNDUP(AZ19*P19,0),'可调参数'!$C$20))</x:f>
        <x:v>3</x:v>
      </x:c>
      <x:c r="AO19" s="14" t="n">
        <x:f>MIN(BA19,MAX(ROUNDUP(BA19*P19,0),'可调参数'!$C$20))</x:f>
        <x:v>3</x:v>
      </x:c>
      <x:c r="AP19" s="14" t="n">
        <x:f>MIN(BB19,MAX(ROUNDUP(BB19*P19,0),'可调参数'!$C$20))</x:f>
        <x:v>3</x:v>
      </x:c>
      <x:c r="AQ19" s="14" t="n">
        <x:f>MIN(BC19,MAX(ROUNDUP(BC19*P19,0),'可调参数'!$C$20))</x:f>
        <x:v>2</x:v>
      </x:c>
      <x:c r="AR19" s="14" t="n">
        <x:f>MIN(BD19,MAX(ROUNDUP(BD19*P19,0),'可调参数'!$C$20))</x:f>
        <x:v>2</x:v>
      </x:c>
      <x:c r="AS19" s="14" t="n">
        <x:f>MIN(BE19,MAX(ROUNDUP(BE19*P19,0),'可调参数'!$C$20))</x:f>
        <x:v>2</x:v>
      </x:c>
      <x:c r="AT19" s="14" t="n">
        <x:f>MIN(BF19,MAX(ROUNDUP(BF19*P19,0),'可调参数'!$C$20))</x:f>
        <x:v>2</x:v>
      </x:c>
      <x:c r="AU19" s="14" t="n">
        <x:f>ROUNDDOWN(N19*'抽样与口径'!C7/SUM('抽样与口径'!C$6:C$18),0)</x:f>
        <x:v>166</x:v>
      </x:c>
      <x:c r="AV19" s="14" t="n">
        <x:f>ROUNDDOWN(N19*'抽样与口径'!C8/SUM('抽样与口径'!C$6:C$18),0)</x:f>
        <x:v>115</x:v>
      </x:c>
      <x:c r="AW19" s="14" t="n">
        <x:f>ROUNDDOWN(N19*'抽样与口径'!C9/SUM('抽样与口径'!C$6:C$18),0)</x:f>
        <x:v>88</x:v>
      </x:c>
      <x:c r="AX19" s="14" t="n">
        <x:f>ROUNDDOWN(N19*'抽样与口径'!C10/SUM('抽样与口径'!C$6:C$18),0)</x:f>
        <x:v>61</x:v>
      </x:c>
      <x:c r="AY19" s="14" t="n">
        <x:f>ROUNDDOWN(N19*'抽样与口径'!C11/SUM('抽样与口径'!C$6:C$18),0)</x:f>
        <x:v>58</x:v>
      </x:c>
      <x:c r="AZ19" s="14" t="n">
        <x:f>ROUNDDOWN(N19*'抽样与口径'!C12/SUM('抽样与口径'!C$6:C$18),0)</x:f>
        <x:v>47</x:v>
      </x:c>
      <x:c r="BA19" s="16" t="n">
        <x:f>ROUNDDOWN(N19*'抽样与口径'!C13/SUM('抽样与口径'!C$6:C$18),0)</x:f>
        <x:v>41</x:v>
      </x:c>
      <x:c r="BB19" s="16" t="n">
        <x:f>ROUNDDOWN(N19*'抽样与口径'!C14/SUM('抽样与口径'!C$6:C$18),0)</x:f>
        <x:v>36</x:v>
      </x:c>
      <x:c r="BC19" s="16" t="n">
        <x:f>ROUNDDOWN(N19*'抽样与口径'!C15/SUM('抽样与口径'!C$6:C$18),0)</x:f>
        <x:v>31</x:v>
      </x:c>
      <x:c r="BD19" s="16" t="n">
        <x:f>ROUNDDOWN(N19*'抽样与口径'!C16/SUM('抽样与口径'!C$6:C$18),0)</x:f>
        <x:v>17</x:v>
      </x:c>
      <x:c r="BE19" s="16" t="n">
        <x:f>ROUNDDOWN(N19*'抽样与口径'!C17/SUM('抽样与口径'!C$6:C$18),0)</x:f>
        <x:v>3</x:v>
      </x:c>
      <x:c r="BF19" s="16" t="n">
        <x:f>ROUNDDOWN(N19*'抽样与口径'!C18/SUM('抽样与口径'!C$6:C$18),0)</x:f>
        <x:v>3</x:v>
      </x:c>
      <x:c r="BG19" s="15" t="n">
        <x:f>N19-SUM(AU19:BF19)</x:f>
        <x:v>260</x:v>
      </x:c>
    </x:row>
    <x:row r="20" ht="26" customHeight="1">
      <x:c r="A20" s="2"/>
      <x:c r="B20" s="2" t="str">
        <x:v>增长×4 / α0.8</x:v>
      </x:c>
      <x:c r="C20" s="2" t="n">
        <x:f>4</x:f>
        <x:v>4</x:v>
      </x:c>
      <x:c r="D20" s="2" t="n">
        <x:f>0.8</x:f>
        <x:v>0.8</x:v>
      </x:c>
      <x:c r="E20" s="2" t="n">
        <x:f>0.8</x:f>
        <x:v>0.8</x:v>
      </x:c>
      <x:c r="F20" s="14" t="n">
        <x:f>ROUND('可调参数'!$C$5*'可调参数'!$C$6/'可调参数'!$C$7*C20,0)</x:f>
        <x:v>3538</x:v>
      </x:c>
      <x:c r="G20" s="14" t="n">
        <x:f>ROUND('可调参数'!$C$5*'可调参数'!$C$6/'可调参数'!$C$7*C20*'可调参数'!$C$10,0)</x:f>
        <x:v>1928</x:v>
      </x:c>
      <x:c r="H20" s="14" t="n">
        <x:f>ROUND('可调参数'!$C$5*'可调参数'!$C$6/'可调参数'!$C$7*C20*'可调参数'!$C$10*'可调参数'!$C$11,0)</x:f>
        <x:v>1157</x:v>
      </x:c>
      <x:c r="I20" s="14" t="n">
        <x:f>(1-D20)*'可调参数'!$C$14</x:f>
        <x:v>0.10821205406160785</x:v>
      </x:c>
      <x:c r="J20" s="14" t="n">
        <x:f>(1-E20)*'可调参数'!$C$15</x:f>
        <x:v>0.10803397815974924</x:v>
      </x:c>
      <x:c r="K20" s="2" t="n">
        <x:f>MIN(G20-H20,ROUNDUP((G20-H20)*(I20+J20),0))</x:f>
        <x:v>167</x:v>
      </x:c>
      <x:c r="L20" s="2" t="n">
        <x:f>MIN(H20,ROUNDUP(H20*MIN(1,2*(I20+J20)),0))</x:f>
        <x:v>501</x:v>
      </x:c>
      <x:c r="M20" s="14" t="n">
        <x:f>ROUNDUP((K20+L20)*'可调参数'!$C$38,0)</x:f>
        <x:v>668</x:v>
      </x:c>
      <x:c r="N20" s="2" t="n">
        <x:f>G20-M20</x:f>
        <x:v>1260</x:v>
      </x:c>
      <x:c r="O20" s="14" t="n">
        <x:f>ROUNDUP(N20*'可调参数'!$C$18,0)</x:f>
        <x:v>63</x:v>
      </x:c>
      <x:c r="P20" s="14" t="n">
        <x:f>IF(N20=0,0,1-(1-'可调参数'!$C$19)^(1/MAX(1,O20)))</x:f>
        <x:v>0.046438451483938215</x:v>
      </x:c>
      <x:c r="Q20" s="2" t="n">
        <x:f>SUM(AH20:AT20)</x:f>
        <x:v>67</x:v>
      </x:c>
      <x:c r="R20" s="14" t="n">
        <x:f>ROUNDUP(Q20*'可调参数'!$C$21,0)+ROUNDUP((Q20-ROUNDUP(Q20*'可调参数'!$C$21,0))*'可调参数'!$C$22,0)</x:f>
        <x:v>19</x:v>
      </x:c>
      <x:c r="S20" s="14" t="n">
        <x:f>ROUNDUP(G20*'可调参数'!$C$36,0)</x:f>
        <x:v>22</x:v>
      </x:c>
      <x:c r="T20" s="14" t="n">
        <x:f>ROUNDUP(G20*'可调参数'!$C$37,0)</x:f>
        <x:v>60</x:v>
      </x:c>
      <x:c r="U20" s="14" t="n">
        <x:f>MIN('可调参数'!$C$23*'可调参数'!$C$24,MAX(0,N20-Q20))</x:f>
        <x:v>40</x:v>
      </x:c>
      <x:c r="V20" s="2" t="n">
        <x:f>SUM(M20,Q20,S20,T20,U20)</x:f>
        <x:v>857</x:v>
      </x:c>
      <x:c r="W20" s="2" t="n">
        <x:f>R20+U20</x:f>
        <x:v>59</x:v>
      </x:c>
      <x:c r="X20" s="14" t="n">
        <x:f>V20*'可调参数'!$C$16/60</x:f>
        <x:v>28.566666666666666</x:v>
      </x:c>
      <x:c r="Y20" s="14" t="n">
        <x:f>(W20*'可调参数'!$C$17+'可调参数'!$C$23*'可调参数'!$C$25)/60</x:f>
        <x:v>6.916666666666667</x:v>
      </x:c>
      <x:c r="Z20" s="2" t="n">
        <x:f>X20+Y20</x:f>
        <x:v>35.483333333333334</x:v>
      </x:c>
      <x:c r="AA20" s="14" t="n">
        <x:f>'可调参数'!$C$26*'可调参数'!$C$27*(F20+G20+2*(G20+H20))</x:f>
        <x:v>23272</x:v>
      </x:c>
      <x:c r="AB20" s="14" t="n">
        <x:f>(AE20+AF20)*'可调参数'!$C$28*'可调参数'!$C$29</x:f>
        <x:v>669</x:v>
      </x:c>
      <x:c r="AC20" s="14" t="n">
        <x:f>'可调参数'!$C$26*'可调参数'!$C$27*(F20*('可调参数'!$C$32+'可调参数'!$C$30)+G20*('可调参数'!$C$33+'可调参数'!$C$30)+2*G20*('可调参数'!$C$34+'可调参数'!$C$30)+2*H20*('可调参数'!$C$35+'可调参数'!$C$30))+'可调参数'!$C$28*'可调参数'!$C$29*(AE20*('可调参数'!$C$34+'可调参数'!$C$30+2*'可调参数'!$C$31)+AF20*('可调参数'!$C$35+'可调参数'!$C$30+2*'可调参数'!$C$31))</x:f>
        <x:v>95197176.71894598</x:v>
      </x:c>
      <x:c r="AD20" s="14" t="n">
        <x:f>(AA20+AB20)*'可调参数'!$C$31</x:f>
        <x:v>9576400</x:v>
      </x:c>
      <x:c r="AE20" s="2" t="n">
        <x:f>ROUNDUP(G20*I20,0)+ROUNDUP(G20*J20,0)</x:f>
        <x:v>418</x:v>
      </x:c>
      <x:c r="AF20" s="2" t="n">
        <x:f>ROUNDUP(H20*I20,0)+ROUNDUP(H20*J20,0)</x:f>
        <x:v>251</x:v>
      </x:c>
      <x:c r="AG20" s="2"/>
      <x:c r="AH20" s="14" t="n">
        <x:f>MIN(BG20,MAX(ROUNDUP(BG20*P20,0),'可调参数'!$C$20))</x:f>
        <x:v>17</x:v>
      </x:c>
      <x:c r="AI20" s="14" t="n">
        <x:f>MIN(AU20,MAX(ROUNDUP(AU20*P20,0),'可调参数'!$C$20))</x:f>
        <x:v>11</x:v>
      </x:c>
      <x:c r="AJ20" s="14" t="n">
        <x:f>MIN(AV20,MAX(ROUNDUP(AV20*P20,0),'可调参数'!$C$20))</x:f>
        <x:v>8</x:v>
      </x:c>
      <x:c r="AK20" s="14" t="n">
        <x:f>MIN(AW20,MAX(ROUNDUP(AW20*P20,0),'可调参数'!$C$20))</x:f>
        <x:v>6</x:v>
      </x:c>
      <x:c r="AL20" s="14" t="n">
        <x:f>MIN(AX20,MAX(ROUNDUP(AX20*P20,0),'可调参数'!$C$20))</x:f>
        <x:v>4</x:v>
      </x:c>
      <x:c r="AM20" s="14" t="n">
        <x:f>MIN(AY20,MAX(ROUNDUP(AY20*P20,0),'可调参数'!$C$20))</x:f>
        <x:v>4</x:v>
      </x:c>
      <x:c r="AN20" s="14" t="n">
        <x:f>MIN(AZ20,MAX(ROUNDUP(AZ20*P20,0),'可调参数'!$C$20))</x:f>
        <x:v>3</x:v>
      </x:c>
      <x:c r="AO20" s="14" t="n">
        <x:f>MIN(BA20,MAX(ROUNDUP(BA20*P20,0),'可调参数'!$C$20))</x:f>
        <x:v>3</x:v>
      </x:c>
      <x:c r="AP20" s="14" t="n">
        <x:f>MIN(BB20,MAX(ROUNDUP(BB20*P20,0),'可调参数'!$C$20))</x:f>
        <x:v>3</x:v>
      </x:c>
      <x:c r="AQ20" s="14" t="n">
        <x:f>MIN(BC20,MAX(ROUNDUP(BC20*P20,0),'可调参数'!$C$20))</x:f>
        <x:v>2</x:v>
      </x:c>
      <x:c r="AR20" s="14" t="n">
        <x:f>MIN(BD20,MAX(ROUNDUP(BD20*P20,0),'可调参数'!$C$20))</x:f>
        <x:v>2</x:v>
      </x:c>
      <x:c r="AS20" s="14" t="n">
        <x:f>MIN(BE20,MAX(ROUNDUP(BE20*P20,0),'可调参数'!$C$20))</x:f>
        <x:v>2</x:v>
      </x:c>
      <x:c r="AT20" s="14" t="n">
        <x:f>MIN(BF20,MAX(ROUNDUP(BF20*P20,0),'可调参数'!$C$20))</x:f>
        <x:v>2</x:v>
      </x:c>
      <x:c r="AU20" s="14" t="n">
        <x:f>ROUNDDOWN(N20*'抽样与口径'!C7/SUM('抽样与口径'!C$6:C$18),0)</x:f>
        <x:v>226</x:v>
      </x:c>
      <x:c r="AV20" s="14" t="n">
        <x:f>ROUNDDOWN(N20*'抽样与口径'!C8/SUM('抽样与口径'!C$6:C$18),0)</x:f>
        <x:v>156</x:v>
      </x:c>
      <x:c r="AW20" s="14" t="n">
        <x:f>ROUNDDOWN(N20*'抽样与口径'!C9/SUM('抽样与口径'!C$6:C$18),0)</x:f>
        <x:v>121</x:v>
      </x:c>
      <x:c r="AX20" s="14" t="n">
        <x:f>ROUNDDOWN(N20*'抽样与口径'!C10/SUM('抽样与口径'!C$6:C$18),0)</x:f>
        <x:v>83</x:v>
      </x:c>
      <x:c r="AY20" s="14" t="n">
        <x:f>ROUNDDOWN(N20*'抽样与口径'!C11/SUM('抽样与口径'!C$6:C$18),0)</x:f>
        <x:v>80</x:v>
      </x:c>
      <x:c r="AZ20" s="14" t="n">
        <x:f>ROUNDDOWN(N20*'抽样与口径'!C12/SUM('抽样与口径'!C$6:C$18),0)</x:f>
        <x:v>64</x:v>
      </x:c>
      <x:c r="BA20" s="16" t="n">
        <x:f>ROUNDDOWN(N20*'抽样与口径'!C13/SUM('抽样与口径'!C$6:C$18),0)</x:f>
        <x:v>56</x:v>
      </x:c>
      <x:c r="BB20" s="16" t="n">
        <x:f>ROUNDDOWN(N20*'抽样与口径'!C14/SUM('抽样与口径'!C$6:C$18),0)</x:f>
        <x:v>49</x:v>
      </x:c>
      <x:c r="BC20" s="16" t="n">
        <x:f>ROUNDDOWN(N20*'抽样与口径'!C15/SUM('抽样与口径'!C$6:C$18),0)</x:f>
        <x:v>42</x:v>
      </x:c>
      <x:c r="BD20" s="16" t="n">
        <x:f>ROUNDDOWN(N20*'抽样与口径'!C16/SUM('抽样与口径'!C$6:C$18),0)</x:f>
        <x:v>23</x:v>
      </x:c>
      <x:c r="BE20" s="16" t="n">
        <x:f>ROUNDDOWN(N20*'抽样与口径'!C17/SUM('抽样与口径'!C$6:C$18),0)</x:f>
        <x:v>5</x:v>
      </x:c>
      <x:c r="BF20" s="16" t="n">
        <x:f>ROUNDDOWN(N20*'抽样与口径'!C18/SUM('抽样与口径'!C$6:C$18),0)</x:f>
        <x:v>5</x:v>
      </x:c>
      <x:c r="BG20" s="15" t="n">
        <x:f>N20-SUM(AU20:BF20)</x:f>
        <x:v>350</x:v>
      </x:c>
    </x:row>
    <x:row r="21" ht="26" customHeight="1">
      <x:c r="A21" s="2"/>
      <x:c r="B21" s="2" t="str">
        <x:v>增长×4 / α0.9</x:v>
      </x:c>
      <x:c r="C21" s="2" t="n">
        <x:f>4</x:f>
        <x:v>4</x:v>
      </x:c>
      <x:c r="D21" s="2" t="n">
        <x:f>0.9</x:f>
        <x:v>0.9</x:v>
      </x:c>
      <x:c r="E21" s="2" t="n">
        <x:f>0.9</x:f>
        <x:v>0.9</x:v>
      </x:c>
      <x:c r="F21" s="14" t="n">
        <x:f>ROUND('可调参数'!$C$5*'可调参数'!$C$6/'可调参数'!$C$7*C21,0)</x:f>
        <x:v>3538</x:v>
      </x:c>
      <x:c r="G21" s="14" t="n">
        <x:f>ROUND('可调参数'!$C$5*'可调参数'!$C$6/'可调参数'!$C$7*C21*'可调参数'!$C$10,0)</x:f>
        <x:v>1928</x:v>
      </x:c>
      <x:c r="H21" s="14" t="n">
        <x:f>ROUND('可调参数'!$C$5*'可调参数'!$C$6/'可调参数'!$C$7*C21*'可调参数'!$C$10*'可调参数'!$C$11,0)</x:f>
        <x:v>1157</x:v>
      </x:c>
      <x:c r="I21" s="14" t="n">
        <x:f>(1-D21)*'可调参数'!$C$14</x:f>
        <x:v>0.05410602703080392</x:v>
      </x:c>
      <x:c r="J21" s="14" t="n">
        <x:f>(1-E21)*'可调参数'!$C$15</x:f>
        <x:v>0.05401698907987462</x:v>
      </x:c>
      <x:c r="K21" s="2" t="n">
        <x:f>MIN(G21-H21,ROUNDUP((G21-H21)*(I21+J21),0))</x:f>
        <x:v>84</x:v>
      </x:c>
      <x:c r="L21" s="2" t="n">
        <x:f>MIN(H21,ROUNDUP(H21*MIN(1,2*(I21+J21)),0))</x:f>
        <x:v>251</x:v>
      </x:c>
      <x:c r="M21" s="14" t="n">
        <x:f>ROUNDUP((K21+L21)*'可调参数'!$C$38,0)</x:f>
        <x:v>335</x:v>
      </x:c>
      <x:c r="N21" s="2" t="n">
        <x:f>G21-M21</x:f>
        <x:v>1593</x:v>
      </x:c>
      <x:c r="O21" s="14" t="n">
        <x:f>ROUNDUP(N21*'可调参数'!$C$18,0)</x:f>
        <x:v>80</x:v>
      </x:c>
      <x:c r="P21" s="14" t="n">
        <x:f>IF(N21=0,0,1-(1-'可调参数'!$C$19)^(1/MAX(1,O21)))</x:f>
        <x:v>0.036754197779982345</x:v>
      </x:c>
      <x:c r="Q21" s="2" t="n">
        <x:f>SUM(AH21:AT21)</x:f>
        <x:v>67</x:v>
      </x:c>
      <x:c r="R21" s="14" t="n">
        <x:f>ROUNDUP(Q21*'可调参数'!$C$21,0)+ROUNDUP((Q21-ROUNDUP(Q21*'可调参数'!$C$21,0))*'可调参数'!$C$22,0)</x:f>
        <x:v>19</x:v>
      </x:c>
      <x:c r="S21" s="14" t="n">
        <x:f>ROUNDUP(G21*'可调参数'!$C$36,0)</x:f>
        <x:v>22</x:v>
      </x:c>
      <x:c r="T21" s="14" t="n">
        <x:f>ROUNDUP(G21*'可调参数'!$C$37,0)</x:f>
        <x:v>60</x:v>
      </x:c>
      <x:c r="U21" s="14" t="n">
        <x:f>MIN('可调参数'!$C$23*'可调参数'!$C$24,MAX(0,N21-Q21))</x:f>
        <x:v>40</x:v>
      </x:c>
      <x:c r="V21" s="2" t="n">
        <x:f>SUM(M21,Q21,S21,T21,U21)</x:f>
        <x:v>524</x:v>
      </x:c>
      <x:c r="W21" s="2" t="n">
        <x:f>R21+U21</x:f>
        <x:v>59</x:v>
      </x:c>
      <x:c r="X21" s="14" t="n">
        <x:f>V21*'可调参数'!$C$16/60</x:f>
        <x:v>17.466666666666665</x:v>
      </x:c>
      <x:c r="Y21" s="14" t="n">
        <x:f>(W21*'可调参数'!$C$17+'可调参数'!$C$23*'可调参数'!$C$25)/60</x:f>
        <x:v>6.916666666666667</x:v>
      </x:c>
      <x:c r="Z21" s="2" t="n">
        <x:f>X21+Y21</x:f>
        <x:v>24.383333333333333</x:v>
      </x:c>
      <x:c r="AA21" s="14" t="n">
        <x:f>'可调参数'!$C$26*'可调参数'!$C$27*(F21+G21+2*(G21+H21))</x:f>
        <x:v>23272</x:v>
      </x:c>
      <x:c r="AB21" s="14" t="n">
        <x:f>(AE21+AF21)*'可调参数'!$C$28*'可调参数'!$C$29</x:f>
        <x:v>336</x:v>
      </x:c>
      <x:c r="AC21" s="14" t="n">
        <x:f>'可调参数'!$C$26*'可调参数'!$C$27*(F21*('可调参数'!$C$32+'可调参数'!$C$30)+G21*('可调参数'!$C$33+'可调参数'!$C$30)+2*G21*('可调参数'!$C$34+'可调参数'!$C$30)+2*H21*('可调参数'!$C$35+'可调参数'!$C$30))+'可调参数'!$C$28*'可调参数'!$C$29*(AE21*('可调参数'!$C$34+'可调参数'!$C$30+2*'可调参数'!$C$31)+AF21*('可调参数'!$C$35+'可调参数'!$C$30+2*'可调参数'!$C$31))</x:f>
        <x:v>93785357.54480176</x:v>
      </x:c>
      <x:c r="AD21" s="14" t="n">
        <x:f>(AA21+AB21)*'可调参数'!$C$31</x:f>
        <x:v>9443200</x:v>
      </x:c>
      <x:c r="AE21" s="2" t="n">
        <x:f>ROUNDUP(G21*I21,0)+ROUNDUP(G21*J21,0)</x:f>
        <x:v>210</x:v>
      </x:c>
      <x:c r="AF21" s="2" t="n">
        <x:f>ROUNDUP(H21*I21,0)+ROUNDUP(H21*J21,0)</x:f>
        <x:v>126</x:v>
      </x:c>
      <x:c r="AG21" s="2"/>
      <x:c r="AH21" s="14" t="n">
        <x:f>MIN(BG21,MAX(ROUNDUP(BG21*P21,0),'可调参数'!$C$20))</x:f>
        <x:v>17</x:v>
      </x:c>
      <x:c r="AI21" s="14" t="n">
        <x:f>MIN(AU21,MAX(ROUNDUP(AU21*P21,0),'可调参数'!$C$20))</x:f>
        <x:v>11</x:v>
      </x:c>
      <x:c r="AJ21" s="14" t="n">
        <x:f>MIN(AV21,MAX(ROUNDUP(AV21*P21,0),'可调参数'!$C$20))</x:f>
        <x:v>8</x:v>
      </x:c>
      <x:c r="AK21" s="14" t="n">
        <x:f>MIN(AW21,MAX(ROUNDUP(AW21*P21,0),'可调参数'!$C$20))</x:f>
        <x:v>6</x:v>
      </x:c>
      <x:c r="AL21" s="14" t="n">
        <x:f>MIN(AX21,MAX(ROUNDUP(AX21*P21,0),'可调参数'!$C$20))</x:f>
        <x:v>4</x:v>
      </x:c>
      <x:c r="AM21" s="14" t="n">
        <x:f>MIN(AY21,MAX(ROUNDUP(AY21*P21,0),'可调参数'!$C$20))</x:f>
        <x:v>4</x:v>
      </x:c>
      <x:c r="AN21" s="14" t="n">
        <x:f>MIN(AZ21,MAX(ROUNDUP(AZ21*P21,0),'可调参数'!$C$20))</x:f>
        <x:v>3</x:v>
      </x:c>
      <x:c r="AO21" s="14" t="n">
        <x:f>MIN(BA21,MAX(ROUNDUP(BA21*P21,0),'可调参数'!$C$20))</x:f>
        <x:v>3</x:v>
      </x:c>
      <x:c r="AP21" s="14" t="n">
        <x:f>MIN(BB21,MAX(ROUNDUP(BB21*P21,0),'可调参数'!$C$20))</x:f>
        <x:v>3</x:v>
      </x:c>
      <x:c r="AQ21" s="14" t="n">
        <x:f>MIN(BC21,MAX(ROUNDUP(BC21*P21,0),'可调参数'!$C$20))</x:f>
        <x:v>2</x:v>
      </x:c>
      <x:c r="AR21" s="14" t="n">
        <x:f>MIN(BD21,MAX(ROUNDUP(BD21*P21,0),'可调参数'!$C$20))</x:f>
        <x:v>2</x:v>
      </x:c>
      <x:c r="AS21" s="14" t="n">
        <x:f>MIN(BE21,MAX(ROUNDUP(BE21*P21,0),'可调参数'!$C$20))</x:f>
        <x:v>2</x:v>
      </x:c>
      <x:c r="AT21" s="14" t="n">
        <x:f>MIN(BF21,MAX(ROUNDUP(BF21*P21,0),'可调参数'!$C$20))</x:f>
        <x:v>2</x:v>
      </x:c>
      <x:c r="AU21" s="14" t="n">
        <x:f>ROUNDDOWN(N21*'抽样与口径'!C7/SUM('抽样与口径'!C$6:C$18),0)</x:f>
        <x:v>285</x:v>
      </x:c>
      <x:c r="AV21" s="14" t="n">
        <x:f>ROUNDDOWN(N21*'抽样与口径'!C8/SUM('抽样与口径'!C$6:C$18),0)</x:f>
        <x:v>198</x:v>
      </x:c>
      <x:c r="AW21" s="14" t="n">
        <x:f>ROUNDDOWN(N21*'抽样与口径'!C9/SUM('抽样与口径'!C$6:C$18),0)</x:f>
        <x:v>153</x:v>
      </x:c>
      <x:c r="AX21" s="14" t="n">
        <x:f>ROUNDDOWN(N21*'抽样与口径'!C10/SUM('抽样与口径'!C$6:C$18),0)</x:f>
        <x:v>105</x:v>
      </x:c>
      <x:c r="AY21" s="14" t="n">
        <x:f>ROUNDDOWN(N21*'抽样与口径'!C11/SUM('抽样与口径'!C$6:C$18),0)</x:f>
        <x:v>101</x:v>
      </x:c>
      <x:c r="AZ21" s="14" t="n">
        <x:f>ROUNDDOWN(N21*'抽样与口径'!C12/SUM('抽样与口径'!C$6:C$18),0)</x:f>
        <x:v>81</x:v>
      </x:c>
      <x:c r="BA21" s="16" t="n">
        <x:f>ROUNDDOWN(N21*'抽样与口径'!C13/SUM('抽样与口径'!C$6:C$18),0)</x:f>
        <x:v>72</x:v>
      </x:c>
      <x:c r="BB21" s="16" t="n">
        <x:f>ROUNDDOWN(N21*'抽样与口径'!C14/SUM('抽样与口径'!C$6:C$18),0)</x:f>
        <x:v>63</x:v>
      </x:c>
      <x:c r="BC21" s="16" t="n">
        <x:f>ROUNDDOWN(N21*'抽样与口径'!C15/SUM('抽样与口径'!C$6:C$18),0)</x:f>
        <x:v>54</x:v>
      </x:c>
      <x:c r="BD21" s="16" t="n">
        <x:f>ROUNDDOWN(N21*'抽样与口径'!C16/SUM('抽样与口径'!C$6:C$18),0)</x:f>
        <x:v>29</x:v>
      </x:c>
      <x:c r="BE21" s="16" t="n">
        <x:f>ROUNDDOWN(N21*'抽样与口径'!C17/SUM('抽样与口径'!C$6:C$18),0)</x:f>
        <x:v>6</x:v>
      </x:c>
      <x:c r="BF21" s="16" t="n">
        <x:f>ROUNDDOWN(N21*'抽样与口径'!C18/SUM('抽样与口径'!C$6:C$18),0)</x:f>
        <x:v>6</x:v>
      </x:c>
      <x:c r="BG21" s="15" t="n">
        <x:f>N21-SUM(AU21:BF21)</x:f>
        <x:v>440</x:v>
      </x:c>
    </x:row>
    <x:row r="22" ht="26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 ht="26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 ht="26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 ht="26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 ht="26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 ht="26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 ht="26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 ht="26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 ht="26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 ht="26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 ht="26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 ht="26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 ht="26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 ht="26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 ht="26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 ht="26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 ht="26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 ht="26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 ht="26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 ht="26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 ht="26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 ht="26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 ht="26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 ht="26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 ht="26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 ht="26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 ht="26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 ht="26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 ht="26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 ht="26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 ht="26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 ht="26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 ht="26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 ht="26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 ht="26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 ht="26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 ht="26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 ht="26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 ht="26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 ht="26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 ht="26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 ht="26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 ht="26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 ht="26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 ht="26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 ht="26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 ht="26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 ht="26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 ht="26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 ht="26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 ht="26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 ht="26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 ht="26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13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</x:row>
    <x:row r="2" ht="26" customHeight="1">
      <x:c r="A2" s="2"/>
      <x:c r="B2" s="48" t="str">
        <x:v>抽样方案｜先分层，再在层内随机抽取</x:v>
      </x:c>
      <x:c r="C2" s="48"/>
      <x:c r="D2" s="48"/>
      <x:c r="E2" s="48"/>
      <x:c r="F2" s="48"/>
      <x:c r="G2" s="48"/>
      <x:c r="H2" s="48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 ht="26" customHeight="1">
      <x:c r="A5" s="2"/>
      <x:c r="B5" s="12" t="str">
        <x:v>主领域（互斥）</x:v>
      </x:c>
      <x:c r="C5" s="12" t="str">
        <x:v>历史QA3数</x:v>
      </x:c>
      <x:c r="D5" s="12" t="str">
        <x:v>预计共识池</x:v>
      </x:c>
      <x:c r="E5" s="12" t="str">
        <x:v>抽检场数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 ht="26" customHeight="1">
      <x:c r="A6" s="2"/>
      <x:c r="B6" s="2" t="str">
        <x:v>优化与运筹</x:v>
      </x:c>
      <x:c r="C6" s="2" t="n">
        <x:v>194</x:v>
      </x:c>
      <x:c r="D6" s="14" t="n">
        <x:f>'测算明细'!BG5</x:f>
        <x:v>113</x:v>
      </x:c>
      <x:c r="E6" s="14" t="n">
        <x:f>'测算明细'!AH5</x:f>
        <x:v>16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 ht="26" customHeight="1">
      <x:c r="A7" s="2"/>
      <x:c r="B7" s="2" t="str">
        <x:v>机器学习与人工智能</x:v>
      </x:c>
      <x:c r="C7" s="2" t="n">
        <x:v>127</x:v>
      </x:c>
      <x:c r="D7" s="14" t="n">
        <x:f>'测算明细'!AU5</x:f>
        <x:v>69</x:v>
      </x:c>
      <x:c r="E7" s="14" t="n">
        <x:f>'测算明细'!AI5</x:f>
        <x:v>10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 ht="26" customHeight="1">
      <x:c r="A8" s="2"/>
      <x:c r="B8" s="2" t="str">
        <x:v>数学建模综合与案例</x:v>
      </x:c>
      <x:c r="C8" s="2" t="n">
        <x:v>88</x:v>
      </x:c>
      <x:c r="D8" s="14" t="n">
        <x:f>'测算明细'!AV5</x:f>
        <x:v>48</x:v>
      </x:c>
      <x:c r="E8" s="14" t="n">
        <x:f>'测算明细'!AJ5</x:f>
        <x:v>7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 ht="26" customHeight="1">
      <x:c r="A9" s="2"/>
      <x:c r="B9" s="2" t="str">
        <x:v>概率统计与随机过程</x:v>
      </x:c>
      <x:c r="C9" s="2" t="n">
        <x:v>68</x:v>
      </x:c>
      <x:c r="D9" s="14" t="n">
        <x:f>'测算明细'!AW5</x:f>
        <x:v>37</x:v>
      </x:c>
      <x:c r="E9" s="14" t="n">
        <x:f>'测算明细'!AK5</x:f>
        <x:v>6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 ht="26" customHeight="1">
      <x:c r="A10" s="2"/>
      <x:c r="B10" s="2" t="str">
        <x:v>图论与网络</x:v>
      </x:c>
      <x:c r="C10" s="2" t="n">
        <x:v>47</x:v>
      </x:c>
      <x:c r="D10" s="14" t="n">
        <x:f>'测算明细'!AX5</x:f>
        <x:v>25</x:v>
      </x:c>
      <x:c r="E10" s="14" t="n">
        <x:f>'测算明细'!AL5</x:f>
        <x:v>4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 ht="26" customHeight="1">
      <x:c r="A11" s="2"/>
      <x:c r="B11" s="2" t="str">
        <x:v>其他与待判定</x:v>
      </x:c>
      <x:c r="C11" s="2" t="n">
        <x:v>45</x:v>
      </x:c>
      <x:c r="D11" s="14" t="n">
        <x:f>'测算明细'!AY5</x:f>
        <x:v>24</x:v>
      </x:c>
      <x:c r="E11" s="14" t="n">
        <x:f>'测算明细'!AM5</x:f>
        <x:v>4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 ht="26" customHeight="1">
      <x:c r="A12" s="2"/>
      <x:c r="B12" s="2" t="str">
        <x:v>学习过程与工具使用</x:v>
      </x:c>
      <x:c r="C12" s="2" t="n">
        <x:v>36</x:v>
      </x:c>
      <x:c r="D12" s="14" t="n">
        <x:f>'测算明细'!AZ5</x:f>
        <x:v>19</x:v>
      </x:c>
      <x:c r="E12" s="14" t="n">
        <x:f>'测算明细'!AN5</x:f>
        <x:v>3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 ht="26" customHeight="1">
      <x:c r="A13" s="2"/>
      <x:c r="B13" s="2" t="str">
        <x:v>微分方程与动态系统</x:v>
      </x:c>
      <x:c r="C13" s="2" t="n">
        <x:v>32</x:v>
      </x:c>
      <x:c r="D13" s="14" t="n">
        <x:f>'测算明细'!BA5</x:f>
        <x:v>17</x:v>
      </x:c>
      <x:c r="E13" s="14" t="n">
        <x:f>'测算明细'!AO5</x:f>
        <x:v>3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 ht="26" customHeight="1">
      <x:c r="A14" s="2"/>
      <x:c r="B14" s="2" t="str">
        <x:v>数值计算与科学计算</x:v>
      </x:c>
      <x:c r="C14" s="2" t="n">
        <x:v>28</x:v>
      </x:c>
      <x:c r="D14" s="14" t="n">
        <x:f>'测算明细'!BB5</x:f>
        <x:v>15</x:v>
      </x:c>
      <x:c r="E14" s="14" t="n">
        <x:f>'测算明细'!AP5</x:f>
        <x:v>3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 ht="26" customHeight="1">
      <x:c r="A15" s="2"/>
      <x:c r="B15" s="2" t="str">
        <x:v>数据处理与可视化</x:v>
      </x:c>
      <x:c r="C15" s="2" t="n">
        <x:v>24</x:v>
      </x:c>
      <x:c r="D15" s="14" t="n">
        <x:f>'测算明细'!BC5</x:f>
        <x:v>13</x:v>
      </x:c>
      <x:c r="E15" s="14" t="n">
        <x:f>'测算明细'!AQ5</x:f>
        <x:v>2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 ht="26" customHeight="1">
      <x:c r="A16" s="2"/>
      <x:c r="B16" s="2" t="str">
        <x:v>数学基础</x:v>
      </x:c>
      <x:c r="C16" s="2" t="n">
        <x:v>13</x:v>
      </x:c>
      <x:c r="D16" s="14" t="n">
        <x:f>'测算明细'!BD5</x:f>
        <x:v>7</x:v>
      </x:c>
      <x:c r="E16" s="14" t="n">
        <x:f>'测算明细'!AR5</x:f>
        <x:v>2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 ht="26" customHeight="1">
      <x:c r="A17" s="2"/>
      <x:c r="B17" s="2" t="str">
        <x:v>评价与决策</x:v>
      </x:c>
      <x:c r="C17" s="2" t="n">
        <x:v>3</x:v>
      </x:c>
      <x:c r="D17" s="14" t="n">
        <x:f>'测算明细'!BE5</x:f>
        <x:v>1</x:v>
      </x:c>
      <x:c r="E17" s="14" t="n">
        <x:f>'测算明细'!AS5</x:f>
        <x:v>1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 ht="26" customHeight="1">
      <x:c r="A18" s="2"/>
      <x:c r="B18" s="2" t="str">
        <x:v>领域待补</x:v>
      </x:c>
      <x:c r="C18" s="2" t="n">
        <x:v>3</x:v>
      </x:c>
      <x:c r="D18" s="14" t="n">
        <x:f>'测算明细'!BF5</x:f>
        <x:v>1</x:v>
      </x:c>
      <x:c r="E18" s="14" t="n">
        <x:f>'测算明细'!AT5</x:f>
        <x:v>1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 ht="26" customHeight="1">
      <x:c r="A19" s="2"/>
      <x:c r="B19" s="2" t="str">
        <x:v>合计</x:v>
      </x:c>
      <x:c r="C19" s="2"/>
      <x:c r="D19" s="2" t="n">
        <x:f>SUM(D6:D18)</x:f>
        <x:v>389</x:v>
      </x:c>
      <x:c r="E19" s="2" t="n">
        <x:f>SUM(E6:E18)</x:f>
        <x:v>62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 ht="26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 ht="26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 ht="48" customHeight="1">
      <x:c r="A22" s="2"/>
      <x:c r="B22" s="11" t="str">
        <x:v>抽样单位为一场完整会话；任一适用的认知标签错误即该场错误。人工分歧全审后，对其余机器共识池A抽检。</x:v>
      </x:c>
      <x:c r="C22" s="11"/>
      <x:c r="D22" s="11"/>
      <x:c r="E22" s="11"/>
      <x:c r="F22" s="11"/>
      <x:c r="G22" s="11"/>
      <x:c r="H22" s="11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 ht="48" customHeight="1">
      <x:c r="A23" s="2"/>
      <x:c r="B23" s="11" t="str">
        <x:v>主分层：首个QA3任务领域；跨领域按该主领域唯一归属，未知单列。以冻结名单的真实层规模Ah替换本表历史比例投影。</x:v>
      </x:c>
      <x:c r="C23" s="11"/>
      <x:c r="D23" s="11"/>
      <x:c r="E23" s="11"/>
      <x:c r="F23" s="11"/>
      <x:c r="G23" s="11"/>
      <x:c r="H23" s="11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 ht="48" customHeight="1">
      <x:c r="A24" s="2"/>
      <x:c r="B24" s="11" t="str">
        <x:v>辅助检查：QA3/QA Pro、低/中/高/U（或六级/U）、学生独立前测层级、长对话/跨领域。避免所有特征完全交叉形成过小样本格。</x:v>
      </x:c>
      <x:c r="C24" s="11"/>
      <x:c r="D24" s="11"/>
      <x:c r="E24" s="11"/>
      <x:c r="F24" s="11"/>
      <x:c r="G24" s="11"/>
      <x:c r="H24" s="11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 ht="48" customHeight="1">
      <x:c r="A25" s="2"/>
      <x:c r="B25" s="11" t="str">
        <x:v>每层nh=min{Ah,max[ceil(r×Ah),Xh]}，默认Xh=2。重点领域可提高Xh；这只是覆盖要求，不是每层95%证明。</x:v>
      </x:c>
      <x:c r="C25" s="11"/>
      <x:c r="D25" s="11"/>
      <x:c r="E25" s="11"/>
      <x:c r="F25" s="11"/>
      <x:c r="G25" s="11"/>
      <x:c r="H25" s="11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 ht="48" customHeight="1">
      <x:c r="A26" s="2"/>
      <x:c r="B26" s="11" t="str">
        <x:v>K=ceil(p₀A)，r=1−(1−q)^(1/K)。K≥1时各非空层满足nh/Ah≥r；空池不抽。</x:v>
      </x:c>
      <x:c r="C26" s="11"/>
      <x:c r="D26" s="11"/>
      <x:c r="E26" s="11"/>
      <x:c r="F26" s="11"/>
      <x:c r="G26" s="11"/>
      <x:c r="H26" s="11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 ht="48" customHeight="1">
      <x:c r="A27" s="2"/>
      <x:c r="B27" s="11" t="str">
        <x:v>若错误分布为Kh且ΣKh≥K，漏检概率Πh C(Ah−Kh,nh)/C(Ah,nh) ≤ Πh(1−nh/Ah)^Kh ≤ (1−r)^K ≤ 1−q。</x:v>
      </x:c>
      <x:c r="C27" s="11"/>
      <x:c r="D27" s="11"/>
      <x:c r="E27" s="11"/>
      <x:c r="F27" s="11"/>
      <x:c r="G27" s="11"/>
      <x:c r="H27" s="11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 ht="48" customHeight="1">
      <x:c r="A28" s="2"/>
      <x:c r="B28" s="11" t="str">
        <x:v>因此p₀=5%、q=95%意为：若该共识池至少5%有错，发现至少一错的概率至少95%。它不是模型准确率95%，也不是每类都95%。</x:v>
      </x:c>
      <x:c r="C28" s="11"/>
      <x:c r="D28" s="11"/>
      <x:c r="E28" s="11"/>
      <x:c r="F28" s="11"/>
      <x:c r="G28" s="11"/>
      <x:c r="H28" s="11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 ht="48" customHeight="1">
      <x:c r="A29" s="2"/>
      <x:c r="B29" s="11" t="str">
        <x:v>层内会话ID排序，固定种子20260926，各层等概率不放回抽nh场；保存入样概率nh/Ah。当前表是预算，没有伪造真实抽样名单。</x:v>
      </x:c>
      <x:c r="C29" s="11"/>
      <x:c r="D29" s="11"/>
      <x:c r="E29" s="11"/>
      <x:c r="F29" s="11"/>
      <x:c r="G29" s="11"/>
      <x:c r="H29" s="11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 ht="48" customHeight="1">
      <x:c r="A30" s="2"/>
      <x:c r="B30" s="11" t="str">
        <x:v>助教独立盲标全部样本。疑难100%交老师；普通样本随机20%交老师盲标。保证依赖人工参考可靠，教师20%本身不承担95%保证。</x:v>
      </x:c>
      <x:c r="C30" s="11"/>
      <x:c r="D30" s="11"/>
      <x:c r="E30" s="11"/>
      <x:c r="F30" s="11"/>
      <x:c r="G30" s="11"/>
      <x:c r="H30" s="11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 ht="48" customHeight="1">
      <x:c r="A31" s="2"/>
      <x:c r="B31" s="11" t="str">
        <x:v>零错误才按本方案验收；发现一错即暂停对应批次验收、定位规则并重跑，重抽必须使用修复后的独立新样本。返工不在基准预算。</x:v>
      </x:c>
      <x:c r="C31" s="11"/>
      <x:c r="D31" s="11"/>
      <x:c r="E31" s="11"/>
      <x:c r="F31" s="11"/>
      <x:c r="G31" s="11"/>
      <x:c r="H31" s="11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 ht="48" customHeight="1">
      <x:c r="A32" s="2"/>
      <x:c r="B32" s="11" t="str">
        <x:v>名义α=1−Do/De；双模型、无缺失时，Do为标签项分歧率。De=Σc nc(n−nc)/[n(n−1)]，n是池化标签数，U按独立类别。</x:v>
      </x:c>
      <x:c r="C32" s="11"/>
      <x:c r="D32" s="11"/>
      <x:c r="E32" s="11"/>
      <x:c r="F32" s="11"/>
      <x:c r="G32" s="11"/>
      <x:c r="H32" s="11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 ht="48" customHeight="1">
      <x:c r="A33" s="2"/>
      <x:c r="B33" s="11" t="str">
        <x:v>多项标签的会话分歧率≤min(1,Σj(1−αj)Dej)。只QA3有两项，QA Pro有四项；本表按此上界预留人工，执行时按ID并集合并。</x:v>
      </x:c>
      <x:c r="C33" s="11"/>
      <x:c r="D33" s="11"/>
      <x:c r="E33" s="11"/>
      <x:c r="F33" s="11"/>
      <x:c r="G33" s="11"/>
      <x:c r="H33" s="11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 ht="48" customHeight="1">
      <x:c r="A34" s="2"/>
      <x:c r="B34" s="11" t="str">
        <x:v>最高两项尚未完整完成，暂沿用对应基线α/De。敏感性分析让四项共同α取0.6/0.7/0.8/0.9，不以1−α当会话分歧率。</x:v>
      </x:c>
      <x:c r="C34" s="11"/>
      <x:c r="D34" s="11"/>
      <x:c r="E34" s="11"/>
      <x:c r="F34" s="11"/>
      <x:c r="G34" s="11"/>
      <x:c r="H34" s="11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 ht="48" customHeight="1">
      <x:c r="A35" s="2"/>
      <x:c r="B35" s="11" t="str">
        <x:v>模型：两主模型每标签项各一遍，第三模型仅分歧项一遍。规则质量、QA Pro筛选各独立双模型一次；校准重跑与运行重试另计。</x:v>
      </x:c>
      <x:c r="C35" s="11"/>
      <x:c r="D35" s="11"/>
      <x:c r="E35" s="11"/>
      <x:c r="F35" s="11"/>
      <x:c r="G35" s="11"/>
      <x:c r="H35" s="11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 ht="48" customHeight="1">
      <x:c r="A36" s="2"/>
      <x:c r="B36" s="11" t="str">
        <x:v>NIST接受抽样：https://www.itl.nist.gov/div898/handbook/pmc/section2/pmc232.htm</x:v>
      </x:c>
      <x:c r="C36" s="11"/>
      <x:c r="D36" s="11"/>
      <x:c r="E36" s="11"/>
      <x:c r="F36" s="11"/>
      <x:c r="G36" s="11"/>
      <x:c r="H36" s="11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 ht="48" customHeight="1">
      <x:c r="A37" s="2"/>
      <x:c r="B37" s="11" t="str">
        <x:v>Krippendorff原始方法：https://www.asc.upenn.edu/sites/default/files/2021-03/Computing%20Krippendorff%27s%20Alpha-Reliability.pdf</x:v>
      </x:c>
      <x:c r="C37" s="11"/>
      <x:c r="D37" s="11"/>
      <x:c r="E37" s="11"/>
      <x:c r="F37" s="11"/>
      <x:c r="G37" s="11"/>
      <x:c r="H37" s="11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 ht="26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 ht="26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 ht="26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 ht="26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 ht="26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 ht="26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 ht="26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 ht="26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 ht="26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 ht="26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 ht="26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 ht="26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 ht="26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 ht="26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 ht="26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 ht="26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 ht="26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 ht="26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 ht="26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 ht="26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 ht="26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 ht="26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 ht="26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 ht="26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 ht="26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 ht="26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 ht="26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 ht="26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 ht="26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 ht="26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 ht="26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 ht="26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 ht="26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 ht="26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 ht="26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 ht="26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 ht="26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 ht="26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 ht="26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 ht="26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 ht="26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 ht="26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 ht="26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 ht="26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 ht="26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 ht="26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 ht="26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 ht="26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</x:sheetData>
  <x:mergeCells>
    <x:mergeCell ref="B2:H2"/>
    <x:mergeCell ref="B22:H22"/>
    <x:mergeCell ref="B23:H23"/>
    <x:mergeCell ref="B24:H24"/>
    <x:mergeCell ref="B25:H25"/>
    <x:mergeCell ref="B26:H26"/>
    <x:mergeCell ref="B27:H27"/>
    <x:mergeCell ref="B28:H28"/>
    <x:mergeCell ref="B29:H29"/>
    <x:mergeCell ref="B30:H30"/>
    <x:mergeCell ref="B31:H31"/>
    <x:mergeCell ref="B32:H32"/>
    <x:mergeCell ref="B33:H33"/>
    <x:mergeCell ref="B34:H34"/>
    <x:mergeCell ref="B35:H35"/>
    <x:mergeCell ref="B36:H36"/>
    <x:mergeCell ref="B37:H37"/>
  </x:mergeCells>
  <x:pageMargins left="0.7" right="0.7" top="0.75" bottom="0.75" header="0.3" footer="0.3"/>
</x:worksheet>
</file>