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d2f000690849ec" /></Relationships>
</file>

<file path=xl/workbook.xml><?xml version="1.0" encoding="utf-8"?>
<x:workbook xmlns:x="http://schemas.openxmlformats.org/spreadsheetml/2006/main">
  <x:sheets>
    <x:sheet xmlns:r="http://schemas.openxmlformats.org/officeDocument/2006/relationships" name="总览与权重" sheetId="1" r:id="R62a4f0853040441c"/>
    <x:sheet xmlns:r="http://schemas.openxmlformats.org/officeDocument/2006/relationships" name="观察进展" sheetId="2" r:id="R470bee60a87a44fd"/>
    <x:sheet xmlns:r="http://schemas.openxmlformats.org/officeDocument/2006/relationships" name="基线调整" sheetId="3" r:id="Rb47b73c6a71444d2"/>
    <x:sheet xmlns:r="http://schemas.openxmlformats.org/officeDocument/2006/relationships" name="指标计算" sheetId="4" r:id="R151a62ff1ff24c2d"/>
    <x:sheet xmlns:r="http://schemas.openxmlformats.org/officeDocument/2006/relationships" name="稳健性快照" sheetId="5" r:id="Re76aefd622fc462d"/>
    <x:sheet xmlns:r="http://schemas.openxmlformats.org/officeDocument/2006/relationships" name="前后20复核" sheetId="6" r:id="R2fe3259b2c824752"/>
    <x:sheet xmlns:r="http://schemas.openxmlformats.org/officeDocument/2006/relationships" name="有效对话" sheetId="7" r:id="R8bd8dd31d84e459b"/>
    <x:sheet xmlns:r="http://schemas.openxmlformats.org/officeDocument/2006/relationships" name="概念与基线" sheetId="8" r:id="R4baf70ad6047472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
    <x:numFmt numFmtId="202" formatCode="0"/>
    <x:numFmt numFmtId="203" formatCode="0.0%"/>
    <x:numFmt numFmtId="204" formatCode="0.00"/>
    <x:numFmt numFmtId="205" formatCode="0.0"/>
  </x:numFmts>
  <x:fonts count="6">
    <x:font>
      <x:sz val="11"/>
      <x:name val="Carlito"/>
    </x:font>
    <x:font>
      <x:sz val="10"/>
      <x:color rgb="FF243247"/>
      <x:name val="Arial"/>
    </x:font>
    <x:font>
      <x:b/>
      <x:sz val="14"/>
      <x:color rgb="FF17365D"/>
      <x:name val="Arial"/>
    </x:font>
    <x:font>
      <x:sz val="10"/>
      <x:color rgb="FF53657A"/>
      <x:name val="Arial"/>
    </x:font>
    <x:font>
      <x:b/>
      <x:sz val="10"/>
      <x:color rgb="FFFFFFFF"/>
      <x:name val="Arial"/>
    </x:font>
    <x:font>
      <x:sz val="10"/>
      <x:name val="Arial"/>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6ECF3"/>
      </x:patternFill>
    </x:fill>
    <x:fill>
      <x:patternFill patternType="solid">
        <x:fgColor rgb="FFFFFFFF"/>
      </x:patternFill>
    </x:fill>
  </x:fills>
  <x:borders count="1">
    <x:border/>
  </x:borders>
  <x:cellStyleXfs count="1">
    <x:xf numFmtId="0" fontId="0" fillId="0" borderId="0"/>
  </x:cellStyleXfs>
  <x:cellXfs count="3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0" fontId="4" fillId="2" borderId="0" xfId="0" applyNumberFormat="1" applyFont="1" applyFill="1" applyBorder="1" applyAlignment="1">
      <x:alignment vertical="center" wrapText="1"/>
    </x:xf>
    <x:xf numFmtId="200" fontId="4" fillId="2"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3" fontId="1" fillId="3" borderId="0" xfId="0" applyNumberFormat="1" applyFont="1" applyFill="1" applyBorder="1" applyAlignment="1">
      <x:alignment vertical="center"/>
    </x:xf>
    <x:xf numFmtId="0" fontId="5" fillId="0" borderId="0" xfId="0" applyNumberFormat="1" applyFont="1" applyFill="1" applyBorder="1"/>
    <x:xf numFmtId="0" fontId="5" fillId="4" borderId="0" xfId="0" applyNumberFormat="1" applyFont="1" applyFill="1" applyBorder="1"/>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201"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3" fontId="1" fillId="5" borderId="0" xfId="0" applyNumberFormat="1" applyFont="1" applyFill="1" applyBorder="1" applyAlignment="1">
      <x:alignment vertical="center"/>
    </x:xf>
    <x:xf numFmtId="202" fontId="1" fillId="5" borderId="0" xfId="0" applyNumberFormat="1" applyFont="1" applyFill="1" applyBorder="1" applyAlignment="1">
      <x:alignment vertical="center"/>
    </x:xf>
    <x:xf numFmtId="204" fontId="1" fillId="5" borderId="0" xfId="0" applyNumberFormat="1" applyFont="1" applyFill="1" applyBorder="1" applyAlignment="1">
      <x:alignment vertical="center"/>
    </x:xf>
    <x:xf numFmtId="205" fontId="1" fillId="5" borderId="0" xfId="0" applyNumberFormat="1" applyFont="1" applyFill="1" applyBorder="1" applyAlignment="1">
      <x:alignment vertical="center"/>
    </x:xf>
    <x:xf numFmtId="20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top" wrapText="1"/>
    </x:xf>
    <x:xf numFmtId="203" fontId="1" fillId="5" borderId="0" xfId="0" applyNumberFormat="1" applyFont="1" applyFill="1" applyBorder="1" applyAlignment="1">
      <x:alignment horizontal="right" vertical="center"/>
    </x:xf>
    <x:xf numFmtId="204" fontId="1" fillId="5" borderId="0" xfId="0" applyNumberFormat="1" applyFont="1" applyFill="1" applyBorder="1" applyAlignment="1">
      <x:alignment horizontal="right" vertical="center"/>
    </x:xf>
    <x:xf numFmtId="205"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3cb65d664e499f" /><Relationship Type="http://schemas.openxmlformats.org/officeDocument/2006/relationships/theme" Target="/xl/theme/theme1.xml" Id="Rc7b8555b24c14855" /><Relationship Type="http://schemas.openxmlformats.org/officeDocument/2006/relationships/sharedStrings" Target="/xl/sharedStrings.xml" Id="Ra75b5485b42d4159" /><Relationship Type="http://schemas.openxmlformats.org/officeDocument/2006/relationships/worksheet" Target="/xl/worksheets/sheet1.xml" Id="R62a4f0853040441c" /><Relationship Type="http://schemas.openxmlformats.org/officeDocument/2006/relationships/worksheet" Target="/xl/worksheets/sheet2.xml" Id="R470bee60a87a44fd" /><Relationship Type="http://schemas.openxmlformats.org/officeDocument/2006/relationships/worksheet" Target="/xl/worksheets/sheet3.xml" Id="Rb47b73c6a71444d2" /><Relationship Type="http://schemas.openxmlformats.org/officeDocument/2006/relationships/worksheet" Target="/xl/worksheets/sheet4.xml" Id="R151a62ff1ff24c2d" /><Relationship Type="http://schemas.openxmlformats.org/officeDocument/2006/relationships/worksheet" Target="/xl/worksheets/sheet5.xml" Id="Re76aefd622fc462d" /><Relationship Type="http://schemas.openxmlformats.org/officeDocument/2006/relationships/worksheet" Target="/xl/worksheets/sheet6.xml" Id="R2fe3259b2c824752" /><Relationship Type="http://schemas.openxmlformats.org/officeDocument/2006/relationships/worksheet" Target="/xl/worksheets/sheet7.xml" Id="R8bd8dd31d84e459b" /><Relationship Type="http://schemas.openxmlformats.org/officeDocument/2006/relationships/worksheet" Target="/xl/worksheets/sheet8.xml" Id="R4baf70ad6047472d" /></Relationships>
</file>

<file path=xl/tables/table1.xml><?xml version="1.0" encoding="utf-8"?>
<x:table xmlns:x="http://schemas.openxmlformats.org/spreadsheetml/2006/main" id="2" name="WeightSchemes" displayName="WeightSchemes" ref="A5:K15" headerRowCount="1" totalsRowCount="0" totalsRowShown="0">
  <x:autoFilter ref="A5:K15"/>
  <x:tableColumns count="11">
    <x:tableColumn id="1" name="榜单"/>
    <x:tableColumn id="2" name="方案"/>
    <x:tableColumn id="3" name="合计输入"/>
    <x:tableColumn id="4" name="均值输入"/>
    <x:tableColumn id="5" name="最高输入"/>
    <x:tableColumn id="6" name="质量输入"/>
    <x:tableColumn id="7" name="输入合计"/>
    <x:tableColumn id="8" name="合计有效权重"/>
    <x:tableColumn id="9" name="均值有效权重"/>
    <x:tableColumn id="10" name="最高有效权重"/>
    <x:tableColumn id="11" name="质量有效权重"/>
  </x:tableColumns>
  <x:tableStyleInfo name="TableStyleMedium2" showFirstColumn="0" showLastColumn="0" showRowStripes="1" showColumnStripes="0"/>
</x:table>
</file>

<file path=xl/tables/table2.xml><?xml version="1.0" encoding="utf-8"?>
<x:table xmlns:x="http://schemas.openxmlformats.org/spreadsheetml/2006/main" id="3" name="ObservedRankings" displayName="ObservedRankings" ref="A5:AC179" headerRowCount="1" totalsRowCount="0" totalsRowShown="0">
  <x:autoFilter ref="A5:AC179"/>
  <x:tableColumns count="29">
    <x:tableColumn id="1" name="学生ID"/>
    <x:tableColumn id="2" name="量尺"/>
    <x:tableColumn id="3" name="有效对话"/>
    <x:tableColumn id="4" name="概念数"/>
    <x:tableColumn id="5" name="合计标准分"/>
    <x:tableColumn id="6" name="均值标准分"/>
    <x:tableColumn id="7" name="最高标准分"/>
    <x:tableColumn id="8" name="质量标准分"/>
    <x:tableColumn id="9" name="均衡分数"/>
    <x:tableColumn id="10" name="均衡名次"/>
    <x:tableColumn id="11" name="突破分数"/>
    <x:tableColumn id="12" name="突破名次"/>
    <x:tableColumn id="13" name="质量分数"/>
    <x:tableColumn id="14" name="质量名次"/>
    <x:tableColumn id="15" name="分组熵权分数"/>
    <x:tableColumn id="16" name="分组熵权名次"/>
    <x:tableColumn id="17" name="纯熵权分数"/>
    <x:tableColumn id="18" name="纯熵权名次"/>
    <x:tableColumn id="19" name="均衡量尺内名次"/>
    <x:tableColumn id="20" name="均衡前20%"/>
    <x:tableColumn id="21" name="均衡后20%"/>
    <x:tableColumn id="22" name="基线分数"/>
    <x:tableColumn id="23" name="基线名次"/>
    <x:tableColumn id="24" name="有效对话短ID JSON"/>
    <x:tableColumn id="25" name="证据JSONL定位"/>
    <x:tableColumn id="26" name="突破量尺内名次"/>
    <x:tableColumn id="27" name="质量量尺内名次"/>
    <x:tableColumn id="28" name="分组熵权量尺内名次"/>
    <x:tableColumn id="29" name="纯熵权量尺内名次"/>
  </x:tableColumns>
  <x:tableStyleInfo name="TableStyleMedium2" showFirstColumn="0" showLastColumn="0" showRowStripes="1" showColumnStripes="0"/>
</x:table>
</file>

<file path=xl/tables/table3.xml><?xml version="1.0" encoding="utf-8"?>
<x:table xmlns:x="http://schemas.openxmlformats.org/spreadsheetml/2006/main" id="4" name="BaselineRankings" displayName="BaselineRankings" ref="A5:AG151" headerRowCount="1" totalsRowCount="0" totalsRowShown="0">
  <x:autoFilter ref="A5:AG151"/>
  <x:tableColumns count="33">
    <x:tableColumn id="1" name="学生ID"/>
    <x:tableColumn id="2" name="量尺"/>
    <x:tableColumn id="3" name="有效对话"/>
    <x:tableColumn id="4" name="概念数"/>
    <x:tableColumn id="5" name="合计标准分"/>
    <x:tableColumn id="6" name="均值标准分"/>
    <x:tableColumn id="7" name="最高标准分"/>
    <x:tableColumn id="8" name="质量标准分"/>
    <x:tableColumn id="9" name="均衡分数"/>
    <x:tableColumn id="10" name="均衡名次"/>
    <x:tableColumn id="11" name="突破分数"/>
    <x:tableColumn id="12" name="突破名次"/>
    <x:tableColumn id="13" name="质量分数"/>
    <x:tableColumn id="14" name="质量名次"/>
    <x:tableColumn id="15" name="分组熵权分数"/>
    <x:tableColumn id="16" name="分组熵权名次"/>
    <x:tableColumn id="17" name="纯熵权分数"/>
    <x:tableColumn id="18" name="纯熵权名次"/>
    <x:tableColumn id="19" name="均衡量尺内名次"/>
    <x:tableColumn id="20" name="均衡前20%"/>
    <x:tableColumn id="21" name="均衡后20%"/>
    <x:tableColumn id="22" name="净CTQ合计原值"/>
    <x:tableColumn id="23" name="净CTQ均值原值"/>
    <x:tableColumn id="24" name="有效对话短ID JSON"/>
    <x:tableColumn id="25" name="证据JSONL定位"/>
    <x:tableColumn id="26" name="突破量尺内名次"/>
    <x:tableColumn id="27" name="质量量尺内名次"/>
    <x:tableColumn id="28" name="分组熵权量尺内名次"/>
    <x:tableColumn id="29" name="纯熵权量尺内名次"/>
    <x:tableColumn id="30" name="均衡q48分(快照)"/>
    <x:tableColumn id="31" name="q48全局秩(快照)"/>
    <x:tableColumn id="32" name="q48量尺内秩(快照)"/>
    <x:tableColumn id="33" name="q48-23秩差(快照)"/>
  </x:tableColumns>
  <x:tableStyleInfo name="TableStyleMedium2" showFirstColumn="0" showLastColumn="0" showRowStripes="1" showColumnStripes="0"/>
</x:table>
</file>

<file path=xl/tables/table4.xml><?xml version="1.0" encoding="utf-8"?>
<x:table xmlns:x="http://schemas.openxmlformats.org/spreadsheetml/2006/main" id="1" name="IndicatorInputs" displayName="IndicatorInputs" ref="A5:AH179" headerRowCount="1" totalsRowCount="0" totalsRowShown="0">
  <x:autoFilter ref="A5:AH179"/>
  <x:tableColumns count="34">
    <x:tableColumn id="1" name="学生ID"/>
    <x:tableColumn id="2" name="量尺"/>
    <x:tableColumn id="3" name="有效对话数"/>
    <x:tableColumn id="4" name="有效概念数"/>
    <x:tableColumn id="5" name="观察CTQ合计"/>
    <x:tableColumn id="6" name="观察CTQ均值"/>
    <x:tableColumn id="7" name="观察CTQ最高"/>
    <x:tableColumn id="8" name="QAPro数"/>
    <x:tableColumn id="9" name="QA3含Pro数"/>
    <x:tableColumn id="10" name="质量比例"/>
    <x:tableColumn id="11" name="观察合计标准分"/>
    <x:tableColumn id="12" name="观察均值标准分"/>
    <x:tableColumn id="13" name="观察最高标准分"/>
    <x:tableColumn id="14" name="质量标准分"/>
    <x:tableColumn id="15" name="基线榜资格"/>
    <x:tableColumn id="16" name="净CTQ合计"/>
    <x:tableColumn id="17" name="净CTQ均值"/>
    <x:tableColumn id="18" name="净CTQ最高"/>
    <x:tableColumn id="19" name="净合计标准分"/>
    <x:tableColumn id="20" name="净均值标准分"/>
    <x:tableColumn id="21" name="净最高标准分"/>
    <x:tableColumn id="22" name="质量标准分(净榜)"/>
    <x:tableColumn id="23" name="缺基线原因"/>
    <x:tableColumn id="24" name="MAB去重数"/>
    <x:tableColumn id="25" name="MAB饱和分"/>
    <x:tableColumn id="26" name="DHI对称变化"/>
    <x:tableColumn id="27" name="DHI非对称变化"/>
    <x:tableColumn id="28" name="学生自述状态"/>
    <x:tableColumn id="29" name="纠错率"/>
    <x:tableColumn id="30" name="自主推理率"/>
    <x:tableColumn id="31" name="有效对话短ID JSON"/>
    <x:tableColumn id="32" name="有效对话完整ID JSON"/>
    <x:tableColumn id="33" name="证据JSONL定位"/>
    <x:tableColumn id="34" name="证据提示（含6例目的性复核）"/>
  </x:tableColumns>
  <x:tableStyleInfo name="TableStyleMedium2" showFirstColumn="0" showLastColumn="0" showRowStripes="1" showColumnStripes="0"/>
</x:table>
</file>

<file path=xl/tables/table5.xml><?xml version="1.0" encoding="utf-8"?>
<x:table xmlns:x="http://schemas.openxmlformats.org/spreadsheetml/2006/main" id="5" name="RobustnessSnapshot" displayName="RobustnessSnapshot" ref="A5:M312" headerRowCount="1" totalsRowCount="0" totalsRowShown="0">
  <x:autoFilter ref="A5:M312"/>
  <x:tableColumns count="13">
    <x:tableColumn id="1" name="范围"/>
    <x:tableColumn id="2" name="检验"/>
    <x:tableColumn id="3" name="方案/因素"/>
    <x:tableColumn id="4" name="对照/扰动"/>
    <x:tableColumn id="5" name="共同N"/>
    <x:tableColumn id="6" name="Spearman"/>
    <x:tableColumn id="7" name="Kendall τ-b"/>
    <x:tableColumn id="8" name="前20严格J"/>
    <x:tableColumn id="9" name="前20含边界J"/>
    <x:tableColumn id="10" name="后20严格J"/>
    <x:tableColumn id="11" name="后20含边界J"/>
    <x:tableColumn id="12" name="Pearson"/>
    <x:tableColumn id="13" name="解释"/>
  </x:tableColumns>
  <x:tableStyleInfo name="TableStyleMedium2" showFirstColumn="0" showLastColumn="0" showRowStripes="1" showColumnStripes="0"/>
</x:table>
</file>

<file path=xl/tables/table6.xml><?xml version="1.0" encoding="utf-8"?>
<x:table xmlns:x="http://schemas.openxmlformats.org/spreadsheetml/2006/main" id="6" name="BoundaryReview" displayName="BoundaryReview" ref="A5:S692" headerRowCount="1" totalsRowCount="0" totalsRowShown="0">
  <x:autoFilter ref="A5:S692"/>
  <x:tableColumns count="19">
    <x:tableColumn id="1" name="范围"/>
    <x:tableColumn id="2" name="方案"/>
    <x:tableColumn id="3" name="组别"/>
    <x:tableColumn id="4" name="边界状态"/>
    <x:tableColumn id="5" name="学生ID"/>
    <x:tableColumn id="6" name="量尺"/>
    <x:tableColumn id="7" name="平均秩"/>
    <x:tableColumn id="8" name="分数"/>
    <x:tableColumn id="9" name="有效对话"/>
    <x:tableColumn id="10" name="概念数"/>
    <x:tableColumn id="11" name="基线完整"/>
    <x:tableColumn id="12" name="CTQ合计贡献"/>
    <x:tableColumn id="13" name="CTQ均值贡献"/>
    <x:tableColumn id="14" name="CTQ最高贡献"/>
    <x:tableColumn id="15" name="质量贡献"/>
    <x:tableColumn id="16" name="四主方案保留次数"/>
    <x:tableColumn id="17" name="有效对话JSON"/>
    <x:tableColumn id="18" name="证据JSONL定位"/>
    <x:tableColumn id="19" name="证据提示（含6例目的性复核）"/>
  </x:tableColumns>
  <x:tableStyleInfo name="TableStyleMedium2" showFirstColumn="0" showLastColumn="0" showRowStripes="1" showColumnStripes="0"/>
</x:table>
</file>

<file path=xl/tables/table7.xml><?xml version="1.0" encoding="utf-8"?>
<x:table xmlns:x="http://schemas.openxmlformats.org/spreadsheetml/2006/main" id="7" name="DialogueEvidence" displayName="DialogueEvidence" ref="A5:Q200" headerRowCount="1" totalsRowCount="0" totalsRowShown="0">
  <x:autoFilter ref="A5:Q200"/>
  <x:tableColumns count="17">
    <x:tableColumn id="1" name="学生ID"/>
    <x:tableColumn id="2" name="对话ID"/>
    <x:tableColumn id="3" name="概念分析单元"/>
    <x:tableColumn id="4" name="量尺"/>
    <x:tableColumn id="5" name="before模块"/>
    <x:tableColumn id="6" name="after模块"/>
    <x:tableColumn id="7" name="before标签"/>
    <x:tableColumn id="8" name="after标签"/>
    <x:tableColumn id="9" name="before分"/>
    <x:tableColumn id="10" name="after分"/>
    <x:tableColumn id="11" name="观察差"/>
    <x:tableColumn id="12" name="before回合JSON"/>
    <x:tableColumn id="13" name="after回合JSON"/>
    <x:tableColumn id="14" name="before摘录"/>
    <x:tableColumn id="15" name="after摘录"/>
    <x:tableColumn id="16" name="完整对话ID"/>
    <x:tableColumn id="17" name="JSONL定位"/>
  </x:tableColumns>
  <x:tableStyleInfo name="TableStyleMedium2" showFirstColumn="0" showLastColumn="0" showRowStripes="1" showColumnStripes="0"/>
</x:table>
</file>

<file path=xl/tables/table8.xml><?xml version="1.0" encoding="utf-8"?>
<x:table xmlns:x="http://schemas.openxmlformats.org/spreadsheetml/2006/main" id="8" name="ConceptBaseline" displayName="ConceptBaseline" ref="A5:N159" headerRowCount="1" totalsRowCount="0" totalsRowShown="0">
  <x:autoFilter ref="A5:N159"/>
  <x:tableColumns count="14">
    <x:tableColumn id="1" name="学生ID"/>
    <x:tableColumn id="2" name="概念分析单元"/>
    <x:tableColumn id="3" name="量尺"/>
    <x:tableColumn id="4" name="课程模块"/>
    <x:tableColumn id="5" name="before分"/>
    <x:tableColumn id="6" name="after分"/>
    <x:tableColumn id="7" name="实际CTQ"/>
    <x:tableColumn id="8" name="自然CTQ"/>
    <x:tableColumn id="9" name="重要性权重"/>
    <x:tableColumn id="10" name="净CTQ"/>
    <x:tableColumn id="11" name="自然基线分组"/>
    <x:tableColumn id="12" name="分组n"/>
    <x:tableColumn id="13" name="证据对话JSON"/>
    <x:tableColumn id="14" name="同任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cbdf8a0cd343c1" /></Relationships>
</file>

<file path=xl/worksheets/_rels/sheet2.xml.rels>&#65279;<?xml version="1.0" encoding="utf-8"?><Relationships xmlns="http://schemas.openxmlformats.org/package/2006/relationships"><Relationship Type="http://schemas.openxmlformats.org/officeDocument/2006/relationships/table" Target="/xl/tables/table2.xml" Id="Rbb4b02e767c34092" /></Relationships>
</file>

<file path=xl/worksheets/_rels/sheet3.xml.rels>&#65279;<?xml version="1.0" encoding="utf-8"?><Relationships xmlns="http://schemas.openxmlformats.org/package/2006/relationships"><Relationship Type="http://schemas.openxmlformats.org/officeDocument/2006/relationships/table" Target="/xl/tables/table3.xml" Id="Re2d752933be04921" /></Relationships>
</file>

<file path=xl/worksheets/_rels/sheet4.xml.rels>&#65279;<?xml version="1.0" encoding="utf-8"?><Relationships xmlns="http://schemas.openxmlformats.org/package/2006/relationships"><Relationship Type="http://schemas.openxmlformats.org/officeDocument/2006/relationships/table" Target="/xl/tables/table4.xml" Id="R916cf8c009504d61" /></Relationships>
</file>

<file path=xl/worksheets/_rels/sheet5.xml.rels>&#65279;<?xml version="1.0" encoding="utf-8"?><Relationships xmlns="http://schemas.openxmlformats.org/package/2006/relationships"><Relationship Type="http://schemas.openxmlformats.org/officeDocument/2006/relationships/table" Target="/xl/tables/table5.xml" Id="R6309899247ec4a3d" /></Relationships>
</file>

<file path=xl/worksheets/_rels/sheet6.xml.rels>&#65279;<?xml version="1.0" encoding="utf-8"?><Relationships xmlns="http://schemas.openxmlformats.org/package/2006/relationships"><Relationship Type="http://schemas.openxmlformats.org/officeDocument/2006/relationships/table" Target="/xl/tables/table6.xml" Id="Re6742834126f4a2f" /></Relationships>
</file>

<file path=xl/worksheets/_rels/sheet7.xml.rels>&#65279;<?xml version="1.0" encoding="utf-8"?><Relationships xmlns="http://schemas.openxmlformats.org/package/2006/relationships"><Relationship Type="http://schemas.openxmlformats.org/officeDocument/2006/relationships/table" Target="/xl/tables/table7.xml" Id="R91d70b05a0ae4a48" /></Relationships>
</file>

<file path=xl/worksheets/_rels/sheet8.xml.rels>&#65279;<?xml version="1.0" encoding="utf-8"?><Relationships xmlns="http://schemas.openxmlformats.org/package/2006/relationships"><Relationship Type="http://schemas.openxmlformats.org/officeDocument/2006/relationships/table" Target="/xl/tables/table8.xml" Id="Rd12db99b64fe4b2c"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15" hidden="0" customWidth="1"/>
    <x:col min="2" max="2" width="22"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6" hidden="0" customWidth="1"/>
  </x:cols>
  <x:sheetData>
    <x:row r="1">
      <x:c r="A1" s="1"/>
      <x:c r="B1" s="1"/>
      <x:c r="C1" s="1"/>
      <x:c r="D1" s="1"/>
      <x:c r="E1" s="1"/>
      <x:c r="F1" s="1"/>
      <x:c r="G1" s="1"/>
      <x:c r="H1" s="1"/>
      <x:c r="I1" s="1"/>
      <x:c r="J1" s="1"/>
    </x:row>
    <x:row r="2">
      <x:c r="A2" s="2" t="str">
        <x:v>AIV多方案评分与排名</x:v>
      </x:c>
      <x:c r="B2" s="1"/>
      <x:c r="C2" s="1"/>
      <x:c r="D2" s="1"/>
      <x:c r="E2" s="1"/>
      <x:c r="F2" s="1"/>
      <x:c r="G2" s="1"/>
      <x:c r="H2" s="1"/>
      <x:c r="I2" s="1"/>
      <x:c r="J2" s="1"/>
    </x:row>
    <x:row r="3">
      <x:c r="A3" s="3" t="str">
        <x:v>174人观察进展；146人基线调整。观察跨量尺全局序仅探索，s3/s6分层名次优先。</x:v>
      </x:c>
      <x:c r="B3" s="1"/>
      <x:c r="C3" s="1"/>
      <x:c r="D3" s="1"/>
      <x:c r="E3" s="1"/>
      <x:c r="F3" s="1"/>
      <x:c r="G3" s="1"/>
      <x:c r="H3" s="1"/>
      <x:c r="I3" s="1"/>
      <x:c r="J3" s="1"/>
    </x:row>
    <x:row r="4">
      <x:c r="A4" s="3" t="str">
        <x:v>均衡方案为推荐基准。方案权重为研究设定，熵权反映样本离散度，不代表教育价值最优。</x:v>
      </x:c>
    </x:row>
    <x:row r="5" ht="42" customHeight="1">
      <x:c r="A5" s="9" t="str">
        <x:v>榜单</x:v>
      </x:c>
      <x:c r="B5" s="9" t="str">
        <x:v>方案</x:v>
      </x:c>
      <x:c r="C5" s="9" t="str">
        <x:v>合计输入</x:v>
      </x:c>
      <x:c r="D5" s="9" t="str">
        <x:v>均值输入</x:v>
      </x:c>
      <x:c r="E5" s="9" t="str">
        <x:v>最高输入</x:v>
      </x:c>
      <x:c r="F5" s="9" t="str">
        <x:v>质量输入</x:v>
      </x:c>
      <x:c r="G5" s="9" t="str">
        <x:v>输入合计</x:v>
      </x:c>
      <x:c r="H5" s="9" t="str">
        <x:v>合计有效权重</x:v>
      </x:c>
      <x:c r="I5" s="9" t="str">
        <x:v>均值有效权重</x:v>
      </x:c>
      <x:c r="J5" s="9" t="str">
        <x:v>最高有效权重</x:v>
      </x:c>
      <x:c r="K5" s="9" t="str">
        <x:v>质量有效权重</x:v>
      </x:c>
    </x:row>
    <x:row r="6" ht="23" customHeight="1">
      <x:c r="A6" s="21" t="str">
        <x:v>174观察</x:v>
      </x:c>
      <x:c r="B6" s="22" t="str">
        <x:v>均衡型</x:v>
      </x:c>
      <x:c r="C6" s="15" t="n">
        <x:v>0.3</x:v>
      </x:c>
      <x:c r="D6" s="15" t="n">
        <x:v>0.25</x:v>
      </x:c>
      <x:c r="E6" s="15" t="n">
        <x:v>0.15</x:v>
      </x:c>
      <x:c r="F6" s="15" t="n">
        <x:v>0.3</x:v>
      </x:c>
      <x:c r="G6" s="23" t="n">
        <x:f>SUM(C6:F6)</x:f>
        <x:v>1</x:v>
      </x:c>
      <x:c r="H6" s="23" t="n">
        <x:f>IF(AND(COUNT(C6:F6)=4,MIN(C6:F6)&gt;=0,G6&gt;0),C6/G6,"NA")</x:f>
        <x:v>0.3</x:v>
      </x:c>
      <x:c r="I6" s="23" t="n">
        <x:f>IF(AND(COUNT(C6:F6)=4,MIN(C6:F6)&gt;=0,G6&gt;0),D6/G6,"NA")</x:f>
        <x:v>0.25</x:v>
      </x:c>
      <x:c r="J6" s="23" t="n">
        <x:f>IF(AND(COUNT(C6:F6)=4,MIN(C6:F6)&gt;=0,G6&gt;0),E6/G6,"NA")</x:f>
        <x:v>0.15</x:v>
      </x:c>
      <x:c r="K6" s="23" t="n">
        <x:f>IF(AND(COUNT(C6:F6)=4,MIN(C6:F6)&gt;=0,G6&gt;0),F6/G6,"NA")</x:f>
        <x:v>0.3</x:v>
      </x:c>
    </x:row>
    <x:row r="7" ht="23" customHeight="1">
      <x:c r="A7" s="21" t="str">
        <x:v>174观察</x:v>
      </x:c>
      <x:c r="B7" s="22" t="str">
        <x:v>突破优先型</x:v>
      </x:c>
      <x:c r="C7" s="15" t="n">
        <x:v>0.2</x:v>
      </x:c>
      <x:c r="D7" s="15" t="n">
        <x:v>0.2</x:v>
      </x:c>
      <x:c r="E7" s="15" t="n">
        <x:v>0.4</x:v>
      </x:c>
      <x:c r="F7" s="15" t="n">
        <x:v>0.2</x:v>
      </x:c>
      <x:c r="G7" s="23" t="n">
        <x:f>SUM(C7:F7)</x:f>
        <x:v>1</x:v>
      </x:c>
      <x:c r="H7" s="23" t="n">
        <x:f>IF(AND(COUNT(C7:F7)=4,MIN(C7:F7)&gt;=0,G7&gt;0),C7/G7,"NA")</x:f>
        <x:v>0.2</x:v>
      </x:c>
      <x:c r="I7" s="23" t="n">
        <x:f>IF(AND(COUNT(C7:F7)=4,MIN(C7:F7)&gt;=0,G7&gt;0),D7/G7,"NA")</x:f>
        <x:v>0.2</x:v>
      </x:c>
      <x:c r="J7" s="23" t="n">
        <x:f>IF(AND(COUNT(C7:F7)=4,MIN(C7:F7)&gt;=0,G7&gt;0),E7/G7,"NA")</x:f>
        <x:v>0.4</x:v>
      </x:c>
      <x:c r="K7" s="23" t="n">
        <x:f>IF(AND(COUNT(C7:F7)=4,MIN(C7:F7)&gt;=0,G7&gt;0),F7/G7,"NA")</x:f>
        <x:v>0.2</x:v>
      </x:c>
    </x:row>
    <x:row r="8" ht="23" customHeight="1">
      <x:c r="A8" s="21" t="str">
        <x:v>174观察</x:v>
      </x:c>
      <x:c r="B8" s="22" t="str">
        <x:v>质量导向型（教学诊断对照）</x:v>
      </x:c>
      <x:c r="C8" s="15" t="n">
        <x:v>0.25</x:v>
      </x:c>
      <x:c r="D8" s="15" t="n">
        <x:v>0.3</x:v>
      </x:c>
      <x:c r="E8" s="15" t="n">
        <x:v>0.1</x:v>
      </x:c>
      <x:c r="F8" s="15" t="n">
        <x:v>0.35</x:v>
      </x:c>
      <x:c r="G8" s="23" t="n">
        <x:f>SUM(C8:F8)</x:f>
        <x:v>1</x:v>
      </x:c>
      <x:c r="H8" s="23" t="n">
        <x:f>IF(AND(COUNT(C8:F8)=4,MIN(C8:F8)&gt;=0,G8&gt;0),C8/G8,"NA")</x:f>
        <x:v>0.25</x:v>
      </x:c>
      <x:c r="I8" s="23" t="n">
        <x:f>IF(AND(COUNT(C8:F8)=4,MIN(C8:F8)&gt;=0,G8&gt;0),D8/G8,"NA")</x:f>
        <x:v>0.3</x:v>
      </x:c>
      <x:c r="J8" s="23" t="n">
        <x:f>IF(AND(COUNT(C8:F8)=4,MIN(C8:F8)&gt;=0,G8&gt;0),E8/G8,"NA")</x:f>
        <x:v>0.1</x:v>
      </x:c>
      <x:c r="K8" s="23" t="n">
        <x:f>IF(AND(COUNT(C8:F8)=4,MIN(C8:F8)&gt;=0,G8&gt;0),F8/G8,"NA")</x:f>
        <x:v>0.35</x:v>
      </x:c>
    </x:row>
    <x:row r="9" ht="23" customHeight="1">
      <x:c r="A9" s="21" t="str">
        <x:v>174观察</x:v>
      </x:c>
      <x:c r="B9" s="22" t="str">
        <x:v>分组熵权型</x:v>
      </x:c>
      <x:c r="C9" s="15" t="n">
        <x:v>0.2337247914377055</x:v>
      </x:c>
      <x:c r="D9" s="15" t="n">
        <x:v>0.23504251918182084</x:v>
      </x:c>
      <x:c r="E9" s="15" t="n">
        <x:v>0.2312326893804736</x:v>
      </x:c>
      <x:c r="F9" s="15" t="n">
        <x:v>0.3</x:v>
      </x:c>
      <x:c r="G9" s="23" t="n">
        <x:f>SUM(C9:F9)</x:f>
        <x:v>1</x:v>
      </x:c>
      <x:c r="H9" s="23" t="n">
        <x:f>IF(AND(COUNT(C9:F9)=4,MIN(C9:F9)&gt;=0,G9&gt;0),C9/G9,"NA")</x:f>
        <x:v>0.2337247914377055</x:v>
      </x:c>
      <x:c r="I9" s="23" t="n">
        <x:f>IF(AND(COUNT(C9:F9)=4,MIN(C9:F9)&gt;=0,G9&gt;0),D9/G9,"NA")</x:f>
        <x:v>0.23504251918182084</x:v>
      </x:c>
      <x:c r="J9" s="23" t="n">
        <x:f>IF(AND(COUNT(C9:F9)=4,MIN(C9:F9)&gt;=0,G9&gt;0),E9/G9,"NA")</x:f>
        <x:v>0.2312326893804736</x:v>
      </x:c>
      <x:c r="K9" s="23" t="n">
        <x:f>IF(AND(COUNT(C9:F9)=4,MIN(C9:F9)&gt;=0,G9&gt;0),F9/G9,"NA")</x:f>
        <x:v>0.3</x:v>
      </x:c>
    </x:row>
    <x:row r="10" ht="23" customHeight="1">
      <x:c r="A10" s="21" t="str">
        <x:v>174观察</x:v>
      </x:c>
      <x:c r="B10" s="22" t="str">
        <x:v>四项原始熵权对照</x:v>
      </x:c>
      <x:c r="C10" s="15" t="n">
        <x:v>0.3224601951143173</x:v>
      </x:c>
      <x:c r="D10" s="15" t="n">
        <x:v>0.3242782082692814</x:v>
      </x:c>
      <x:c r="E10" s="15" t="n">
        <x:v>0.31902194746126944</x:v>
      </x:c>
      <x:c r="F10" s="15" t="n">
        <x:v>0.03423964915513189</x:v>
      </x:c>
      <x:c r="G10" s="23" t="n">
        <x:f>SUM(C10:F10)</x:f>
        <x:v>1</x:v>
      </x:c>
      <x:c r="H10" s="23" t="n">
        <x:f>IF(AND(COUNT(C10:F10)=4,MIN(C10:F10)&gt;=0,G10&gt;0),C10/G10,"NA")</x:f>
        <x:v>0.3224601951143173</x:v>
      </x:c>
      <x:c r="I10" s="23" t="n">
        <x:f>IF(AND(COUNT(C10:F10)=4,MIN(C10:F10)&gt;=0,G10&gt;0),D10/G10,"NA")</x:f>
        <x:v>0.3242782082692814</x:v>
      </x:c>
      <x:c r="J10" s="23" t="n">
        <x:f>IF(AND(COUNT(C10:F10)=4,MIN(C10:F10)&gt;=0,G10&gt;0),E10/G10,"NA")</x:f>
        <x:v>0.31902194746126944</x:v>
      </x:c>
      <x:c r="K10" s="23" t="n">
        <x:f>IF(AND(COUNT(C10:F10)=4,MIN(C10:F10)&gt;=0,G10&gt;0),F10/G10,"NA")</x:f>
        <x:v>0.03423964915513189</x:v>
      </x:c>
    </x:row>
    <x:row r="11" ht="23" customHeight="1">
      <x:c r="A11" s="21" t="str">
        <x:v>146基线</x:v>
      </x:c>
      <x:c r="B11" s="22" t="str">
        <x:v>均衡型</x:v>
      </x:c>
      <x:c r="C11" s="15" t="n">
        <x:v>0.3</x:v>
      </x:c>
      <x:c r="D11" s="15" t="n">
        <x:v>0.25</x:v>
      </x:c>
      <x:c r="E11" s="15" t="n">
        <x:v>0.15</x:v>
      </x:c>
      <x:c r="F11" s="15" t="n">
        <x:v>0.3</x:v>
      </x:c>
      <x:c r="G11" s="23" t="n">
        <x:f>SUM(C11:F11)</x:f>
        <x:v>1</x:v>
      </x:c>
      <x:c r="H11" s="23" t="n">
        <x:f>IF(AND(COUNT(C11:F11)=4,MIN(C11:F11)&gt;=0,G11&gt;0),C11/G11,"NA")</x:f>
        <x:v>0.3</x:v>
      </x:c>
      <x:c r="I11" s="23" t="n">
        <x:f>IF(AND(COUNT(C11:F11)=4,MIN(C11:F11)&gt;=0,G11&gt;0),D11/G11,"NA")</x:f>
        <x:v>0.25</x:v>
      </x:c>
      <x:c r="J11" s="23" t="n">
        <x:f>IF(AND(COUNT(C11:F11)=4,MIN(C11:F11)&gt;=0,G11&gt;0),E11/G11,"NA")</x:f>
        <x:v>0.15</x:v>
      </x:c>
      <x:c r="K11" s="23" t="n">
        <x:f>IF(AND(COUNT(C11:F11)=4,MIN(C11:F11)&gt;=0,G11&gt;0),F11/G11,"NA")</x:f>
        <x:v>0.3</x:v>
      </x:c>
    </x:row>
    <x:row r="12" ht="23" customHeight="1">
      <x:c r="A12" s="21" t="str">
        <x:v>146基线</x:v>
      </x:c>
      <x:c r="B12" s="22" t="str">
        <x:v>突破优先型</x:v>
      </x:c>
      <x:c r="C12" s="15" t="n">
        <x:v>0.2</x:v>
      </x:c>
      <x:c r="D12" s="15" t="n">
        <x:v>0.2</x:v>
      </x:c>
      <x:c r="E12" s="15" t="n">
        <x:v>0.4</x:v>
      </x:c>
      <x:c r="F12" s="15" t="n">
        <x:v>0.2</x:v>
      </x:c>
      <x:c r="G12" s="23" t="n">
        <x:f>SUM(C12:F12)</x:f>
        <x:v>1</x:v>
      </x:c>
      <x:c r="H12" s="23" t="n">
        <x:f>IF(AND(COUNT(C12:F12)=4,MIN(C12:F12)&gt;=0,G12&gt;0),C12/G12,"NA")</x:f>
        <x:v>0.2</x:v>
      </x:c>
      <x:c r="I12" s="23" t="n">
        <x:f>IF(AND(COUNT(C12:F12)=4,MIN(C12:F12)&gt;=0,G12&gt;0),D12/G12,"NA")</x:f>
        <x:v>0.2</x:v>
      </x:c>
      <x:c r="J12" s="23" t="n">
        <x:f>IF(AND(COUNT(C12:F12)=4,MIN(C12:F12)&gt;=0,G12&gt;0),E12/G12,"NA")</x:f>
        <x:v>0.4</x:v>
      </x:c>
      <x:c r="K12" s="23" t="n">
        <x:f>IF(AND(COUNT(C12:F12)=4,MIN(C12:F12)&gt;=0,G12&gt;0),F12/G12,"NA")</x:f>
        <x:v>0.2</x:v>
      </x:c>
    </x:row>
    <x:row r="13" ht="23" customHeight="1">
      <x:c r="A13" s="21" t="str">
        <x:v>146基线</x:v>
      </x:c>
      <x:c r="B13" s="22" t="str">
        <x:v>质量导向型（教学诊断对照）</x:v>
      </x:c>
      <x:c r="C13" s="15" t="n">
        <x:v>0.25</x:v>
      </x:c>
      <x:c r="D13" s="15" t="n">
        <x:v>0.3</x:v>
      </x:c>
      <x:c r="E13" s="15" t="n">
        <x:v>0.1</x:v>
      </x:c>
      <x:c r="F13" s="15" t="n">
        <x:v>0.35</x:v>
      </x:c>
      <x:c r="G13" s="23" t="n">
        <x:f>SUM(C13:F13)</x:f>
        <x:v>1</x:v>
      </x:c>
      <x:c r="H13" s="23" t="n">
        <x:f>IF(AND(COUNT(C13:F13)=4,MIN(C13:F13)&gt;=0,G13&gt;0),C13/G13,"NA")</x:f>
        <x:v>0.25</x:v>
      </x:c>
      <x:c r="I13" s="23" t="n">
        <x:f>IF(AND(COUNT(C13:F13)=4,MIN(C13:F13)&gt;=0,G13&gt;0),D13/G13,"NA")</x:f>
        <x:v>0.3</x:v>
      </x:c>
      <x:c r="J13" s="23" t="n">
        <x:f>IF(AND(COUNT(C13:F13)=4,MIN(C13:F13)&gt;=0,G13&gt;0),E13/G13,"NA")</x:f>
        <x:v>0.1</x:v>
      </x:c>
      <x:c r="K13" s="23" t="n">
        <x:f>IF(AND(COUNT(C13:F13)=4,MIN(C13:F13)&gt;=0,G13&gt;0),F13/G13,"NA")</x:f>
        <x:v>0.35</x:v>
      </x:c>
    </x:row>
    <x:row r="14" ht="23" customHeight="1">
      <x:c r="A14" s="21" t="str">
        <x:v>146基线</x:v>
      </x:c>
      <x:c r="B14" s="22" t="str">
        <x:v>分组熵权型</x:v>
      </x:c>
      <x:c r="C14" s="15" t="n">
        <x:v>0.0027886707179618376</x:v>
      </x:c>
      <x:c r="D14" s="15" t="n">
        <x:v>0.3470620242893808</x:v>
      </x:c>
      <x:c r="E14" s="15" t="n">
        <x:v>0.3501493049926573</x:v>
      </x:c>
      <x:c r="F14" s="15" t="n">
        <x:v>0.3</x:v>
      </x:c>
      <x:c r="G14" s="23" t="n">
        <x:f>SUM(C14:F14)</x:f>
        <x:v>1</x:v>
      </x:c>
      <x:c r="H14" s="23" t="n">
        <x:f>IF(AND(COUNT(C14:F14)=4,MIN(C14:F14)&gt;=0,G14&gt;0),C14/G14,"NA")</x:f>
        <x:v>0.0027886707179618376</x:v>
      </x:c>
      <x:c r="I14" s="23" t="n">
        <x:f>IF(AND(COUNT(C14:F14)=4,MIN(C14:F14)&gt;=0,G14&gt;0),D14/G14,"NA")</x:f>
        <x:v>0.3470620242893808</x:v>
      </x:c>
      <x:c r="J14" s="23" t="n">
        <x:f>IF(AND(COUNT(C14:F14)=4,MIN(C14:F14)&gt;=0,G14&gt;0),E14/G14,"NA")</x:f>
        <x:v>0.3501493049926573</x:v>
      </x:c>
      <x:c r="K14" s="23" t="n">
        <x:f>IF(AND(COUNT(C14:F14)=4,MIN(C14:F14)&gt;=0,G14&gt;0),F14/G14,"NA")</x:f>
        <x:v>0.3</x:v>
      </x:c>
    </x:row>
    <x:row r="15" ht="23" customHeight="1">
      <x:c r="A15" s="21" t="str">
        <x:v>146基线</x:v>
      </x:c>
      <x:c r="B15" s="22" t="str">
        <x:v>四项原始熵权对照</x:v>
      </x:c>
      <x:c r="C15" s="15" t="n">
        <x:v>0.0014897664976297482</x:v>
      </x:c>
      <x:c r="D15" s="15" t="n">
        <x:v>0.1854078264083372</x:v>
      </x:c>
      <x:c r="E15" s="15" t="n">
        <x:v>0.18705711663500177</x:v>
      </x:c>
      <x:c r="F15" s="15" t="n">
        <x:v>0.6260452904590313</x:v>
      </x:c>
      <x:c r="G15" s="23" t="n">
        <x:f>SUM(C15:F15)</x:f>
        <x:v>1</x:v>
      </x:c>
      <x:c r="H15" s="23" t="n">
        <x:f>IF(AND(COUNT(C15:F15)=4,MIN(C15:F15)&gt;=0,G15&gt;0),C15/G15,"NA")</x:f>
        <x:v>0.0014897664976297482</x:v>
      </x:c>
      <x:c r="I15" s="23" t="n">
        <x:f>IF(AND(COUNT(C15:F15)=4,MIN(C15:F15)&gt;=0,G15&gt;0),D15/G15,"NA")</x:f>
        <x:v>0.1854078264083372</x:v>
      </x:c>
      <x:c r="J15" s="23" t="n">
        <x:f>IF(AND(COUNT(C15:F15)=4,MIN(C15:F15)&gt;=0,G15&gt;0),E15/G15,"NA")</x:f>
        <x:v>0.18705711663500177</x:v>
      </x:c>
      <x:c r="K15" s="23" t="n">
        <x:f>IF(AND(COUNT(C15:F15)=4,MIN(C15:F15)&gt;=0,G15&gt;0),F15/G15,"NA")</x:f>
        <x:v>0.6260452904590313</x:v>
      </x:c>
    </x:row>
    <x:row r="17">
      <x:c r="A17" s="17" t="str">
        <x:v>归一参数</x:v>
      </x:c>
      <x:c r="B17" s="17" t="str">
        <x:v>固定下界</x:v>
      </x:c>
      <x:c r="C17" s="17" t="str">
        <x:v>固定上界</x:v>
      </x:c>
      <x:c r="D17" s="17" t="str">
        <x:v>含义</x:v>
      </x:c>
    </x:row>
    <x:row r="18">
      <x:c r="A18" s="16" t="str">
        <x:v>观察合计</x:v>
      </x:c>
      <x:c r="B18" s="16" t="n">
        <x:v>0</x:v>
      </x:c>
      <x:c r="C18" s="16" t="n">
        <x:v>12</x:v>
      </x:c>
      <x:c r="D18" s="16" t="str">
        <x:v>12个领域固定范围</x:v>
      </x:c>
    </x:row>
    <x:row r="19">
      <x:c r="A19" s="16" t="str">
        <x:v>观察均值</x:v>
      </x:c>
      <x:c r="B19" s="16" t="n">
        <x:v>0</x:v>
      </x:c>
      <x:c r="C19" s="16" t="n">
        <x:v>1</x:v>
      </x:c>
      <x:c r="D19" s="16" t="str">
        <x:v>标准化CTQ</x:v>
      </x:c>
    </x:row>
    <x:row r="20">
      <x:c r="A20" s="16" t="str">
        <x:v>观察最高</x:v>
      </x:c>
      <x:c r="B20" s="16" t="n">
        <x:v>0</x:v>
      </x:c>
      <x:c r="C20" s="16" t="n">
        <x:v>1</x:v>
      </x:c>
      <x:c r="D20" s="16" t="str">
        <x:v>标准化CTQ</x:v>
      </x:c>
    </x:row>
    <x:row r="21">
      <x:c r="A21" s="16" t="str">
        <x:v>净合计</x:v>
      </x:c>
      <x:c r="B21" s="16" t="n">
        <x:v>-12</x:v>
      </x:c>
      <x:c r="C21" s="16" t="n">
        <x:v>12</x:v>
      </x:c>
      <x:c r="D21" s="16" t="str">
        <x:v>保留负净差</x:v>
      </x:c>
    </x:row>
    <x:row r="22">
      <x:c r="A22" s="16" t="str">
        <x:v>净均值</x:v>
      </x:c>
      <x:c r="B22" s="16" t="n">
        <x:v>-1</x:v>
      </x:c>
      <x:c r="C22" s="16" t="n">
        <x:v>1</x:v>
      </x:c>
      <x:c r="D22" s="16" t="str">
        <x:v>保留负净差</x:v>
      </x:c>
    </x:row>
    <x:row r="23">
      <x:c r="A23" s="16" t="str">
        <x:v>净最高</x:v>
      </x:c>
      <x:c r="B23" s="16" t="n">
        <x:v>-1</x:v>
      </x:c>
      <x:c r="C23" s="16" t="n">
        <x:v>1</x:v>
      </x:c>
      <x:c r="D23" s="16" t="str">
        <x:v>保留负净差</x:v>
      </x:c>
    </x:row>
    <x:row r="24">
      <x:c r="A24" s="16" t="str">
        <x:v>质量</x:v>
      </x:c>
      <x:c r="B24" s="16" t="n">
        <x:v>0</x:v>
      </x:c>
      <x:c r="C24" s="16" t="n">
        <x:v>1</x:v>
      </x:c>
      <x:c r="D24" s="16" t="str">
        <x:v>QAPro / QA3(含Pro)</x:v>
      </x:c>
    </x:row>
    <x:row r="26" ht="23" customHeight="1">
      <x:c r="A26" s="3" t="str">
        <x:v>分数=100×SUMPRODUCT(四项标准分,有效权重)。净榜零净进展的认知项映射为0.5。</x:v>
      </x:c>
    </x:row>
    <x:row r="27" ht="23" customHeight="1">
      <x:c r="A27" s="3" t="str">
        <x:v>质量项未扣无AI基线；基线榜是条件基线校正的综合分，不是已识别的因果净效应。</x:v>
      </x:c>
    </x:row>
    <x:row r="28" ht="23" customHeight="1">
      <x:c r="A28" s="3" t="str">
        <x:v>调权重后分数、名次、前后20%标记更新；行次初始按均衡排序，需用筛选重排。</x:v>
      </x:c>
    </x:row>
    <x:row r="29" ht="23" customHeight="1">
      <x:c r="A29" s="3" t="str">
        <x:v>前后20%取ceil(0.2N)位置。边界同分全体标注，不按学号硬拆。</x:v>
      </x:c>
    </x:row>
    <x:row r="30" ht="23" customHeight="1">
      <x:c r="A30" s="3" t="str">
        <x:v>q48对照、稳健性及前后20复核为当前权重快照；调权后须重新运行分析。</x:v>
      </x:c>
    </x:row>
    <x:row r="31" ht="23" customHeight="1">
      <x:c r="A31" s="3" t="str">
        <x:v>DHI、MAB、自述的主权重为0；纠错/自主推理未编码，均保留NA。</x:v>
      </x:c>
    </x:row>
    <x:row r="32" ht="23" customHeight="1">
      <x:c r="A32" s="3" t="str">
        <x:v>已用计算引擎逐行核对Python结果并导出回读；未做原生Excel运行。</x:v>
      </x:c>
    </x:row>
    <x:row r="34">
      <x:c r="A34" s="3" t="str">
        <x:v>主q=23%，对照q=48%，均为跨研究迁移情景，非本班实测无AI自然增长。</x:v>
      </x:c>
    </x:row>
    <x:row r="35">
      <x:c r="A35" s="3" t="str">
        <x:v>36/195条起止为同一证据锚点，涉及35名学生，未形成独立重复测量。</x:v>
      </x:c>
    </x:row>
    <x:row r="36">
      <x:c r="A36" s="3" t="str">
        <x:v>6例目的性证据复核保留原标签，不等同全量人工复核。高CTQ三例均为s6，跨量尺排序需谨慎。</x:v>
      </x:c>
    </x:row>
  </x:sheetData>
  <x:pageMargins left="0.7" right="0.7" top="0.75" bottom="0.75" header="0.3" footer="0.3"/>
  <x:tableParts count="1">
    <x:tablePart xmlns:r="http://schemas.openxmlformats.org/officeDocument/2006/relationships" r:id="R9bcbdf8a0cd343c1"/>
  </x:tableParts>
</x:worksheet>
</file>

<file path=xl/worksheets/sheet2.xml><?xml version="1.0" encoding="utf-8"?>
<x:worksheet xmlns:x="http://schemas.openxmlformats.org/spreadsheetml/2006/main">
  <x:sheetPr>
    <x:tabColor rgb="FF17365D"/>
  </x:sheetPr>
  <x:sheetViews>
    <x:sheetView showGridLines="0" workbookViewId="0">
      <x:pane xSplit="1" ySplit="5" topLeftCell="B6" activePane="bottomRight" state="frozen"/>
    </x:sheetView>
  </x:sheetViews>
  <x:sheetFormatPr defaultRowHeight="15"/>
  <x:cols>
    <x:col min="1" max="1" width="22" hidden="0" customWidth="1"/>
    <x:col min="2" max="2" width="12" hidden="0" customWidth="1"/>
    <x:col min="3" max="3" width="11" hidden="0" customWidth="1"/>
    <x:col min="4" max="4" width="11" hidden="0" customWidth="1"/>
    <x:col min="5" max="5" width="15" hidden="0" customWidth="1"/>
    <x:col min="6" max="6" width="15" hidden="0" customWidth="1"/>
    <x:col min="7" max="7" width="15" hidden="0" customWidth="1"/>
    <x:col min="8" max="8" width="1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8" hidden="0" customWidth="1"/>
    <x:col min="20" max="20" width="17" hidden="0" customWidth="1"/>
    <x:col min="21" max="21" width="17" hidden="0" customWidth="1"/>
    <x:col min="22" max="22" width="14" hidden="0" customWidth="1"/>
    <x:col min="23" max="23" width="14" hidden="0" customWidth="1"/>
    <x:col min="24" max="24" width="42" hidden="0" customWidth="1"/>
    <x:col min="25" max="25" width="65" hidden="0" customWidth="1"/>
    <x:col min="26" max="26" width="19" hidden="0" customWidth="1"/>
    <x:col min="27" max="27" width="19" hidden="0" customWidth="1"/>
    <x:col min="28" max="28" width="19" hidden="0" customWidth="1"/>
    <x:col min="29" max="29" width="19"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x:c r="A2" s="2" t="str">
        <x:v>学生观察进展</x:v>
      </x:c>
      <x:c r="B2" s="1"/>
      <x:c r="C2" s="1"/>
      <x:c r="D2" s="1"/>
      <x:c r="E2" s="1"/>
      <x:c r="F2" s="1"/>
      <x:c r="G2" s="1"/>
      <x:c r="H2" s="1"/>
      <x:c r="I2" s="1"/>
      <x:c r="J2" s="1"/>
      <x:c r="K2" s="1"/>
      <x:c r="L2" s="1"/>
      <x:c r="M2" s="1"/>
      <x:c r="N2" s="1"/>
      <x:c r="O2" s="1"/>
      <x:c r="P2" s="1"/>
      <x:c r="Q2" s="1"/>
      <x:c r="R2" s="1"/>
      <x:c r="S2" s="1"/>
      <x:c r="T2" s="1"/>
      <x:c r="U2" s="1"/>
      <x:c r="V2" s="1"/>
      <x:c r="W2" s="1"/>
      <x:c r="X2" s="1"/>
      <x:c r="Y2" s="1"/>
    </x:row>
    <x:row r="3">
      <x:c r="A3" s="3" t="str">
        <x:v>全局序仅探索。量尺s3为独立三级经验折算，s6为六级标签；mixed不列量尺内排名。</x:v>
      </x:c>
      <x:c r="B3" s="1"/>
      <x:c r="C3" s="1"/>
      <x:c r="D3" s="1"/>
      <x:c r="E3" s="1"/>
      <x:c r="F3" s="1"/>
      <x:c r="G3" s="1"/>
      <x:c r="H3" s="1"/>
      <x:c r="I3" s="1"/>
      <x:c r="J3" s="1"/>
      <x:c r="K3" s="1"/>
      <x:c r="L3" s="1"/>
      <x:c r="M3" s="1"/>
      <x:c r="N3" s="1"/>
      <x:c r="O3" s="1"/>
      <x:c r="P3" s="1"/>
      <x:c r="Q3" s="1"/>
      <x:c r="R3" s="1"/>
      <x:c r="S3" s="1"/>
      <x:c r="T3" s="1"/>
      <x:c r="U3" s="1"/>
      <x:c r="V3" s="1"/>
      <x:c r="W3" s="1"/>
      <x:c r="X3" s="1"/>
      <x:c r="Y3" s="1"/>
    </x:row>
    <x:row r="4">
      <x:c r="A4" s="3" t="str">
        <x:v>均衡方案初始排序；权重调整后名次公式更新。并列使用平均秩，前后20%保留边界同分。</x:v>
      </x:c>
    </x:row>
    <x:row r="5" ht="42" customHeight="1">
      <x:c r="A5" s="9" t="str">
        <x:v>学生ID</x:v>
      </x:c>
      <x:c r="B5" s="9" t="str">
        <x:v>量尺</x:v>
      </x:c>
      <x:c r="C5" s="9" t="str">
        <x:v>有效对话</x:v>
      </x:c>
      <x:c r="D5" s="9" t="str">
        <x:v>概念数</x:v>
      </x:c>
      <x:c r="E5" s="9" t="str">
        <x:v>合计标准分</x:v>
      </x:c>
      <x:c r="F5" s="9" t="str">
        <x:v>均值标准分</x:v>
      </x:c>
      <x:c r="G5" s="9" t="str">
        <x:v>最高标准分</x:v>
      </x:c>
      <x:c r="H5" s="9" t="str">
        <x:v>质量标准分</x:v>
      </x:c>
      <x:c r="I5" s="9" t="str">
        <x:v>均衡分数</x:v>
      </x:c>
      <x:c r="J5" s="9" t="str">
        <x:v>均衡名次</x:v>
      </x:c>
      <x:c r="K5" s="9" t="str">
        <x:v>突破分数</x:v>
      </x:c>
      <x:c r="L5" s="9" t="str">
        <x:v>突破名次</x:v>
      </x:c>
      <x:c r="M5" s="9" t="str">
        <x:v>质量分数</x:v>
      </x:c>
      <x:c r="N5" s="9" t="str">
        <x:v>质量名次</x:v>
      </x:c>
      <x:c r="O5" s="9" t="str">
        <x:v>分组熵权分数</x:v>
      </x:c>
      <x:c r="P5" s="9" t="str">
        <x:v>分组熵权名次</x:v>
      </x:c>
      <x:c r="Q5" s="9" t="str">
        <x:v>纯熵权分数</x:v>
      </x:c>
      <x:c r="R5" s="9" t="str">
        <x:v>纯熵权名次</x:v>
      </x:c>
      <x:c r="S5" s="9" t="str">
        <x:v>均衡量尺内名次</x:v>
      </x:c>
      <x:c r="T5" s="9" t="str">
        <x:v>均衡前20%</x:v>
      </x:c>
      <x:c r="U5" s="9" t="str">
        <x:v>均衡后20%</x:v>
      </x:c>
      <x:c r="V5" s="9" t="str">
        <x:v>基线分数</x:v>
      </x:c>
      <x:c r="W5" s="9" t="str">
        <x:v>基线名次</x:v>
      </x:c>
      <x:c r="X5" s="9" t="str">
        <x:v>有效对话短ID JSON</x:v>
      </x:c>
      <x:c r="Y5" s="9" t="str">
        <x:v>证据JSONL定位</x:v>
      </x:c>
      <x:c r="Z5" s="9" t="str">
        <x:v>突破量尺内名次</x:v>
      </x:c>
      <x:c r="AA5" s="9" t="str">
        <x:v>质量量尺内名次</x:v>
      </x:c>
      <x:c r="AB5" s="9" t="str">
        <x:v>分组熵权量尺内名次</x:v>
      </x:c>
      <x:c r="AC5" s="9" t="str">
        <x:v>纯熵权量尺内名次</x:v>
      </x:c>
    </x:row>
    <x:row r="6" ht="23" customHeight="1">
      <x:c r="A6" s="21" t="str">
        <x:v>2025秋:259329</x:v>
      </x:c>
      <x:c r="B6" s="22" t="str">
        <x:v>s6</x:v>
      </x:c>
      <x:c r="C6" s="24" t="n">
        <x:v>1</x:v>
      </x:c>
      <x:c r="D6" s="24" t="n">
        <x:v>1</x:v>
      </x:c>
      <x:c r="E6" s="29" t="n">
        <x:f>'指标计算'!K87</x:f>
        <x:v>0.06666666666666667</x:v>
      </x:c>
      <x:c r="F6" s="29" t="n">
        <x:f>'指标计算'!L87</x:f>
        <x:v>0.8</x:v>
      </x:c>
      <x:c r="G6" s="29" t="n">
        <x:f>'指标计算'!M87</x:f>
        <x:v>0.8</x:v>
      </x:c>
      <x:c r="H6" s="29" t="n">
        <x:f>'指标计算'!N87</x:f>
        <x:v>1</x:v>
      </x:c>
      <x:c r="I6" s="30" t="n">
        <x:f>IF(COUNT('总览与权重'!$H$6:$K$6)=4,ROUND(100*SUMPRODUCT(E6:H6,'总览与权重'!$H$6:$K$6),12),"NA")</x:f>
        <x:v>64</x:v>
      </x:c>
      <x:c r="J6" s="30" t="n">
        <x:f>IF(ISNUMBER(I6),COUNTIFS($I$6:$I$179,"&gt;"&amp;I6)+(COUNTIFS($I$6:$I$179,I6)+1)/2,"NA")</x:f>
        <x:v>1</x:v>
      </x:c>
      <x:c r="K6" s="30" t="n">
        <x:f>IF(COUNT('总览与权重'!$H$7:$K$7)=4,ROUND(100*SUMPRODUCT(E6:H6,'总览与权重'!$H$7:$K$7),12),"NA")</x:f>
        <x:v>69.333333333333</x:v>
      </x:c>
      <x:c r="L6" s="30" t="n">
        <x:f>IF(ISNUMBER(K6),COUNTIFS($K$6:$K$179,"&gt;"&amp;K6)+(COUNTIFS($K$6:$K$179,K6)+1)/2,"NA")</x:f>
        <x:v>2</x:v>
      </x:c>
      <x:c r="M6" s="30" t="n">
        <x:f>IF(COUNT('总览与权重'!$H$8:$K$8)=4,ROUND(100*SUMPRODUCT(E6:H6,'总览与权重'!$H$8:$K$8),12),"NA")</x:f>
        <x:v>68.666666666667</x:v>
      </x:c>
      <x:c r="N6" s="30" t="n">
        <x:f>IF(ISNUMBER(M6),COUNTIFS($M$6:$M$179,"&gt;"&amp;M6)+(COUNTIFS($M$6:$M$179,M6)+1)/2,"NA")</x:f>
        <x:v>1</x:v>
      </x:c>
      <x:c r="O6" s="30" t="n">
        <x:f>IF(COUNT('总览与权重'!$H$9:$K$9)=4,ROUND(100*SUMPRODUCT(E6:H6,'总览与权重'!$H$9:$K$9),12),"NA")</x:f>
        <x:v>68.860181961235</x:v>
      </x:c>
      <x:c r="P6" s="30" t="n">
        <x:f>IF(ISNUMBER(O6),COUNTIFS($O$6:$O$179,"&gt;"&amp;O6)+(COUNTIFS($O$6:$O$179,O6)+1)/2,"NA")</x:f>
        <x:v>1</x:v>
      </x:c>
      <x:c r="Q6" s="30" t="n">
        <x:f>IF(COUNT('总览与权重'!$H$10:$K$10)=4,ROUND(100*SUMPRODUCT(E6:H6,'总览与权重'!$H$10:$K$10),12),"NA")</x:f>
        <x:v>57.037712008053</x:v>
      </x:c>
      <x:c r="R6" s="30" t="n">
        <x:f>IF(ISNUMBER(Q6),COUNTIFS($Q$6:$Q$179,"&gt;"&amp;Q6)+(COUNTIFS($Q$6:$Q$179,Q6)+1)/2,"NA")</x:f>
        <x:v>2</x:v>
      </x:c>
      <x:c r="S6" s="31" t="n">
        <x:f>IF(OR(B6="s3",B6="s6"),COUNTIFS($B$6:$B$179,B6,$I$6:$I$179,"&gt;"&amp;I6)+(COUNTIFS($B$6:$B$179,B6,$I$6:$I$179,I6)+1)/2,"NA")</x:f>
        <x:v>1</x:v>
      </x:c>
      <x:c r="T6" s="26" t="str">
        <x:f>IF(COUNTIFS($I$6:$I$179,"&gt;"&amp;I6)&gt;=35,"非前20%",IF(COUNTIFS($I$6:$I$179,"&gt;="&amp;I6)&gt;=35,"边界同分","严格前20%"))</x:f>
        <x:v>严格前20%</x:v>
      </x:c>
      <x:c r="U6" s="26" t="str">
        <x:f>IF(COUNTIFS($I$6:$I$179,"&lt;"&amp;I6)&gt;=35,"非后20%",IF(COUNTIFS($I$6:$I$179,"&lt;="&amp;I6)&gt;=35,"边界同分","严格后20%"))</x:f>
        <x:v>非后20%</x:v>
      </x:c>
      <x:c r="V6" s="26" t="n">
        <x:f>'基线调整'!I6</x:f>
        <x:v>78.648571428571</x:v>
      </x:c>
      <x:c r="W6" s="26" t="n">
        <x:f>'基线调整'!J6</x:f>
        <x:v>1</x:v>
      </x:c>
      <x:c r="X6" s="22" t="str">
        <x:v>["S0112"]</x:v>
      </x:c>
      <x:c r="Y6" s="22" t="str">
        <x:v>evidence/student_evidence.jsonl；student_key=2025秋:259329</x:v>
      </x:c>
      <x:c r="Z6" s="26" t="n">
        <x:f>IF(OR(B6="s3",B6="s6"),COUNTIFS($B$6:$B$179,B6,$K$6:$K$179,"&gt;"&amp;K6)+(COUNTIFS($B$6:$B$179,B6,$K$6:$K$179,K6)+1)/2,"NA")</x:f>
        <x:v>2</x:v>
      </x:c>
      <x:c r="AA6" s="26" t="n">
        <x:f>IF(OR(B6="s3",B6="s6"),COUNTIFS($B$6:$B$179,B6,$M$6:$M$179,"&gt;"&amp;M6)+(COUNTIFS($B$6:$B$179,B6,$M$6:$M$179,M6)+1)/2,"NA")</x:f>
        <x:v>1</x:v>
      </x:c>
      <x:c r="AB6" s="26" t="n">
        <x:f>IF(OR(B6="s3",B6="s6"),COUNTIFS($B$6:$B$179,B6,$O$6:$O$179,"&gt;"&amp;O6)+(COUNTIFS($B$6:$B$179,B6,$O$6:$O$179,O6)+1)/2,"NA")</x:f>
        <x:v>1</x:v>
      </x:c>
      <x:c r="AC6" s="26" t="n">
        <x:f>IF(OR(B6="s3",B6="s6"),COUNTIFS($B$6:$B$179,B6,$Q$6:$Q$179,"&gt;"&amp;Q6)+(COUNTIFS($B$6:$B$179,B6,$Q$6:$Q$179,Q6)+1)/2,"NA")</x:f>
        <x:v>2</x:v>
      </x:c>
    </x:row>
    <x:row r="7" ht="23" customHeight="1">
      <x:c r="A7" s="21" t="str">
        <x:v>2025秋:259869</x:v>
      </x:c>
      <x:c r="B7" s="22" t="str">
        <x:v>s6</x:v>
      </x:c>
      <x:c r="C7" s="24" t="n">
        <x:v>1</x:v>
      </x:c>
      <x:c r="D7" s="24" t="n">
        <x:v>1</x:v>
      </x:c>
      <x:c r="E7" s="29" t="n">
        <x:f>'指标计算'!K118</x:f>
        <x:v>0.08333333333333333</x:v>
      </x:c>
      <x:c r="F7" s="29" t="n">
        <x:f>'指标计算'!L118</x:f>
        <x:v>1</x:v>
      </x:c>
      <x:c r="G7" s="29" t="n">
        <x:f>'指标计算'!M118</x:f>
        <x:v>1</x:v>
      </x:c>
      <x:c r="H7" s="29" t="n">
        <x:f>'指标计算'!N118</x:f>
        <x:v>0.5</x:v>
      </x:c>
      <x:c r="I7" s="30" t="n">
        <x:f>IF(COUNT('总览与权重'!$H$6:$K$6)=4,ROUND(100*SUMPRODUCT(E7:H7,'总览与权重'!$H$6:$K$6),12),"NA")</x:f>
        <x:v>57.5</x:v>
      </x:c>
      <x:c r="J7" s="30" t="n">
        <x:f>IF(ISNUMBER(I7),COUNTIFS($I$6:$I$179,"&gt;"&amp;I7)+(COUNTIFS($I$6:$I$179,I7)+1)/2,"NA")</x:f>
        <x:v>2</x:v>
      </x:c>
      <x:c r="K7" s="30" t="n">
        <x:f>IF(COUNT('总览与权重'!$H$7:$K$7)=4,ROUND(100*SUMPRODUCT(E7:H7,'总览与权重'!$H$7:$K$7),12),"NA")</x:f>
        <x:v>71.666666666667</x:v>
      </x:c>
      <x:c r="L7" s="30" t="n">
        <x:f>IF(ISNUMBER(K7),COUNTIFS($K$6:$K$179,"&gt;"&amp;K7)+(COUNTIFS($K$6:$K$179,K7)+1)/2,"NA")</x:f>
        <x:v>1</x:v>
      </x:c>
      <x:c r="M7" s="30" t="n">
        <x:f>IF(COUNT('总览与权重'!$H$8:$K$8)=4,ROUND(100*SUMPRODUCT(E7:H7,'总览与权重'!$H$8:$K$8),12),"NA")</x:f>
        <x:v>59.583333333333</x:v>
      </x:c>
      <x:c r="N7" s="30" t="n">
        <x:f>IF(ISNUMBER(M7),COUNTIFS($M$6:$M$179,"&gt;"&amp;M7)+(COUNTIFS($M$6:$M$179,M7)+1)/2,"NA")</x:f>
        <x:v>2</x:v>
      </x:c>
      <x:c r="O7" s="30" t="n">
        <x:f>IF(COUNT('总览与权重'!$H$9:$K$9)=4,ROUND(100*SUMPRODUCT(E7:H7,'总览与权重'!$H$9:$K$9),12),"NA")</x:f>
        <x:v>63.575227451544</x:v>
      </x:c>
      <x:c r="P7" s="30" t="n">
        <x:f>IF(ISNUMBER(O7),COUNTIFS($O$6:$O$179,"&gt;"&amp;O7)+(COUNTIFS($O$6:$O$179,O7)+1)/2,"NA")</x:f>
        <x:v>2</x:v>
      </x:c>
      <x:c r="Q7" s="30" t="n">
        <x:f>IF(COUNT('总览与权重'!$H$10:$K$10)=4,ROUND(100*SUMPRODUCT(E7:H7,'总览与权重'!$H$10:$K$10),12),"NA")</x:f>
        <x:v>68.729166323431</x:v>
      </x:c>
      <x:c r="R7" s="30" t="n">
        <x:f>IF(ISNUMBER(Q7),COUNTIFS($Q$6:$Q$179,"&gt;"&amp;Q7)+(COUNTIFS($Q$6:$Q$179,Q7)+1)/2,"NA")</x:f>
        <x:v>1</x:v>
      </x:c>
      <x:c r="S7" s="31" t="n">
        <x:f>IF(OR(B7="s3",B7="s6"),COUNTIFS($B$6:$B$179,B7,$I$6:$I$179,"&gt;"&amp;I7)+(COUNTIFS($B$6:$B$179,B7,$I$6:$I$179,I7)+1)/2,"NA")</x:f>
        <x:v>2</x:v>
      </x:c>
      <x:c r="T7" s="26" t="str">
        <x:f>IF(COUNTIFS($I$6:$I$179,"&gt;"&amp;I7)&gt;=35,"非前20%",IF(COUNTIFS($I$6:$I$179,"&gt;="&amp;I7)&gt;=35,"边界同分","严格前20%"))</x:f>
        <x:v>严格前20%</x:v>
      </x:c>
      <x:c r="U7" s="26" t="str">
        <x:f>IF(COUNTIFS($I$6:$I$179,"&lt;"&amp;I7)&gt;=35,"非后20%",IF(COUNTIFS($I$6:$I$179,"&lt;="&amp;I7)&gt;=35,"边界同分","严格后20%"))</x:f>
        <x:v>非后20%</x:v>
      </x:c>
      <x:c r="V7" s="26" t="n">
        <x:f>'基线调整'!I46</x:f>
        <x:v>67.898571428571</x:v>
      </x:c>
      <x:c r="W7" s="26" t="n">
        <x:f>'基线调整'!J46</x:f>
        <x:v>41</x:v>
      </x:c>
      <x:c r="X7" s="22" t="str">
        <x:v>["S0220"]</x:v>
      </x:c>
      <x:c r="Y7" s="22" t="str">
        <x:v>evidence/student_evidence.jsonl；student_key=2025秋:259869</x:v>
      </x:c>
      <x:c r="Z7" s="26" t="n">
        <x:f>IF(OR(B7="s3",B7="s6"),COUNTIFS($B$6:$B$179,B7,$K$6:$K$179,"&gt;"&amp;K7)+(COUNTIFS($B$6:$B$179,B7,$K$6:$K$179,K7)+1)/2,"NA")</x:f>
        <x:v>1</x:v>
      </x:c>
      <x:c r="AA7" s="26" t="n">
        <x:f>IF(OR(B7="s3",B7="s6"),COUNTIFS($B$6:$B$179,B7,$M$6:$M$179,"&gt;"&amp;M7)+(COUNTIFS($B$6:$B$179,B7,$M$6:$M$179,M7)+1)/2,"NA")</x:f>
        <x:v>2</x:v>
      </x:c>
      <x:c r="AB7" s="26" t="n">
        <x:f>IF(OR(B7="s3",B7="s6"),COUNTIFS($B$6:$B$179,B7,$O$6:$O$179,"&gt;"&amp;O7)+(COUNTIFS($B$6:$B$179,B7,$O$6:$O$179,O7)+1)/2,"NA")</x:f>
        <x:v>2</x:v>
      </x:c>
      <x:c r="AC7" s="26" t="n">
        <x:f>IF(OR(B7="s3",B7="s6"),COUNTIFS($B$6:$B$179,B7,$Q$6:$Q$179,"&gt;"&amp;Q7)+(COUNTIFS($B$6:$B$179,B7,$Q$6:$Q$179,Q7)+1)/2,"NA")</x:f>
        <x:v>1</x:v>
      </x:c>
    </x:row>
    <x:row r="8" ht="23" customHeight="1">
      <x:c r="A8" s="21" t="str">
        <x:v>2025秋:258902</x:v>
      </x:c>
      <x:c r="B8" s="22" t="str">
        <x:v>s3</x:v>
      </x:c>
      <x:c r="C8" s="24" t="n">
        <x:v>1</x:v>
      </x:c>
      <x:c r="D8" s="24" t="n">
        <x:v>1</x:v>
      </x:c>
      <x:c r="E8" s="29" t="n">
        <x:f>'指标计算'!K34</x:f>
        <x:v>0.04189232488822653</x:v>
      </x:c>
      <x:c r="F8" s="29" t="n">
        <x:f>'指标计算'!L34</x:f>
        <x:v>0.5027078986587183</x:v>
      </x:c>
      <x:c r="G8" s="29" t="n">
        <x:f>'指标计算'!M34</x:f>
        <x:v>0.5027078986587183</x:v>
      </x:c>
      <x:c r="H8" s="29" t="n">
        <x:f>'指标计算'!N34</x:f>
        <x:v>1</x:v>
      </x:c>
      <x:c r="I8" s="30" t="n">
        <x:f>IF(COUNT('总览与权重'!$H$6:$K$6)=4,ROUND(100*SUMPRODUCT(E8:H8,'总览与权重'!$H$6:$K$6),12),"NA")</x:f>
        <x:v>51.365085692996</x:v>
      </x:c>
      <x:c r="J8" s="30" t="n">
        <x:f>IF(ISNUMBER(I8),COUNTIFS($I$6:$I$179,"&gt;"&amp;I8)+(COUNTIFS($I$6:$I$179,I8)+1)/2,"NA")</x:f>
        <x:v>3.5</x:v>
      </x:c>
      <x:c r="K8" s="30" t="n">
        <x:f>IF(COUNT('总览与权重'!$H$7:$K$7)=4,ROUND(100*SUMPRODUCT(E8:H8,'总览与权重'!$H$7:$K$7),12),"NA")</x:f>
        <x:v>51.000320417288</x:v>
      </x:c>
      <x:c r="L8" s="30" t="n">
        <x:f>IF(ISNUMBER(K8),COUNTIFS($K$6:$K$179,"&gt;"&amp;K8)+(COUNTIFS($K$6:$K$179,K8)+1)/2,"NA")</x:f>
        <x:v>4.5</x:v>
      </x:c>
      <x:c r="M8" s="30" t="n">
        <x:f>IF(COUNT('总览与权重'!$H$8:$K$8)=4,ROUND(100*SUMPRODUCT(E8:H8,'总览与权重'!$H$8:$K$8),12),"NA")</x:f>
        <x:v>56.155624068554</x:v>
      </x:c>
      <x:c r="N8" s="30" t="n">
        <x:f>IF(ISNUMBER(M8),COUNTIFS($M$6:$M$179,"&gt;"&amp;M8)+(COUNTIFS($M$6:$M$179,M8)+1)/2,"NA")</x:f>
        <x:v>3.5</x:v>
      </x:c>
      <x:c r="O8" s="30" t="n">
        <x:f>IF(COUNT('总览与权重'!$H$9:$K$9)=4,ROUND(100*SUMPRODUCT(E8:H8,'总览与权重'!$H$9:$K$9),12),"NA")</x:f>
        <x:v>54.419150519035</x:v>
      </x:c>
      <x:c r="P8" s="30" t="n">
        <x:f>IF(ISNUMBER(O8),COUNTIFS($O$6:$O$179,"&gt;"&amp;O8)+(COUNTIFS($O$6:$O$179,O8)+1)/2,"NA")</x:f>
        <x:v>3.5</x:v>
      </x:c>
      <x:c r="Q8" s="30" t="n">
        <x:f>IF(COUNT('总览与权重'!$H$10:$K$10)=4,ROUND(100*SUMPRODUCT(E8:H8,'总览与权重'!$H$10:$K$10),12),"NA")</x:f>
        <x:v>37.114032590651</x:v>
      </x:c>
      <x:c r="R8" s="30" t="n">
        <x:f>IF(ISNUMBER(Q8),COUNTIFS($Q$6:$Q$179,"&gt;"&amp;Q8)+(COUNTIFS($Q$6:$Q$179,Q8)+1)/2,"NA")</x:f>
        <x:v>4.5</x:v>
      </x:c>
      <x:c r="S8" s="31" t="n">
        <x:f>IF(OR(B8="s3",B8="s6"),COUNTIFS($B$6:$B$179,B8,$I$6:$I$179,"&gt;"&amp;I8)+(COUNTIFS($B$6:$B$179,B8,$I$6:$I$179,I8)+1)/2,"NA")</x:f>
        <x:v>1.5</x:v>
      </x:c>
      <x:c r="T8" s="26" t="str">
        <x:f>IF(COUNTIFS($I$6:$I$179,"&gt;"&amp;I8)&gt;=35,"非前20%",IF(COUNTIFS($I$6:$I$179,"&gt;="&amp;I8)&gt;=35,"边界同分","严格前20%"))</x:f>
        <x:v>严格前20%</x:v>
      </x:c>
      <x:c r="U8" s="26" t="str">
        <x:f>IF(COUNTIFS($I$6:$I$179,"&lt;"&amp;I8)&gt;=35,"非后20%",IF(COUNTIFS($I$6:$I$179,"&lt;="&amp;I8)&gt;=35,"边界同分","严格后20%"))</x:f>
        <x:v>非后20%</x:v>
      </x:c>
      <x:c r="V8" s="26" t="n">
        <x:f>'基线调整'!I7</x:f>
        <x:v>72.774856776385</x:v>
      </x:c>
      <x:c r="W8" s="26" t="n">
        <x:f>'基线调整'!J7</x:f>
        <x:v>2.5</x:v>
      </x:c>
      <x:c r="X8" s="22" t="str">
        <x:v>["S0149"]</x:v>
      </x:c>
      <x:c r="Y8" s="22" t="str">
        <x:v>evidence/student_evidence.jsonl；student_key=2025秋:258902</x:v>
      </x:c>
      <x:c r="Z8" s="26" t="n">
        <x:f>IF(OR(B8="s3",B8="s6"),COUNTIFS($B$6:$B$179,B8,$K$6:$K$179,"&gt;"&amp;K8)+(COUNTIFS($B$6:$B$179,B8,$K$6:$K$179,K8)+1)/2,"NA")</x:f>
        <x:v>1.5</x:v>
      </x:c>
      <x:c r="AA8" s="26" t="n">
        <x:f>IF(OR(B8="s3",B8="s6"),COUNTIFS($B$6:$B$179,B8,$M$6:$M$179,"&gt;"&amp;M8)+(COUNTIFS($B$6:$B$179,B8,$M$6:$M$179,M8)+1)/2,"NA")</x:f>
        <x:v>1.5</x:v>
      </x:c>
      <x:c r="AB8" s="26" t="n">
        <x:f>IF(OR(B8="s3",B8="s6"),COUNTIFS($B$6:$B$179,B8,$O$6:$O$179,"&gt;"&amp;O8)+(COUNTIFS($B$6:$B$179,B8,$O$6:$O$179,O8)+1)/2,"NA")</x:f>
        <x:v>1.5</x:v>
      </x:c>
      <x:c r="AC8" s="26" t="n">
        <x:f>IF(OR(B8="s3",B8="s6"),COUNTIFS($B$6:$B$179,B8,$Q$6:$Q$179,"&gt;"&amp;Q8)+(COUNTIFS($B$6:$B$179,B8,$Q$6:$Q$179,Q8)+1)/2,"NA")</x:f>
        <x:v>1.5</x:v>
      </x:c>
    </x:row>
    <x:row r="9" ht="23" customHeight="1">
      <x:c r="A9" s="21" t="str">
        <x:v>2025秋:259407</x:v>
      </x:c>
      <x:c r="B9" s="22" t="str">
        <x:v>s3</x:v>
      </x:c>
      <x:c r="C9" s="24" t="n">
        <x:v>1</x:v>
      </x:c>
      <x:c r="D9" s="24" t="n">
        <x:v>1</x:v>
      </x:c>
      <x:c r="E9" s="29" t="n">
        <x:f>'指标计算'!K100</x:f>
        <x:v>0.04189232488822653</x:v>
      </x:c>
      <x:c r="F9" s="29" t="n">
        <x:f>'指标计算'!L100</x:f>
        <x:v>0.5027078986587183</x:v>
      </x:c>
      <x:c r="G9" s="29" t="n">
        <x:f>'指标计算'!M100</x:f>
        <x:v>0.5027078986587183</x:v>
      </x:c>
      <x:c r="H9" s="29" t="n">
        <x:f>'指标计算'!N100</x:f>
        <x:v>1</x:v>
      </x:c>
      <x:c r="I9" s="30" t="n">
        <x:f>IF(COUNT('总览与权重'!$H$6:$K$6)=4,ROUND(100*SUMPRODUCT(E9:H9,'总览与权重'!$H$6:$K$6),12),"NA")</x:f>
        <x:v>51.365085692996</x:v>
      </x:c>
      <x:c r="J9" s="30" t="n">
        <x:f>IF(ISNUMBER(I9),COUNTIFS($I$6:$I$179,"&gt;"&amp;I9)+(COUNTIFS($I$6:$I$179,I9)+1)/2,"NA")</x:f>
        <x:v>3.5</x:v>
      </x:c>
      <x:c r="K9" s="30" t="n">
        <x:f>IF(COUNT('总览与权重'!$H$7:$K$7)=4,ROUND(100*SUMPRODUCT(E9:H9,'总览与权重'!$H$7:$K$7),12),"NA")</x:f>
        <x:v>51.000320417288</x:v>
      </x:c>
      <x:c r="L9" s="30" t="n">
        <x:f>IF(ISNUMBER(K9),COUNTIFS($K$6:$K$179,"&gt;"&amp;K9)+(COUNTIFS($K$6:$K$179,K9)+1)/2,"NA")</x:f>
        <x:v>4.5</x:v>
      </x:c>
      <x:c r="M9" s="30" t="n">
        <x:f>IF(COUNT('总览与权重'!$H$8:$K$8)=4,ROUND(100*SUMPRODUCT(E9:H9,'总览与权重'!$H$8:$K$8),12),"NA")</x:f>
        <x:v>56.155624068554</x:v>
      </x:c>
      <x:c r="N9" s="30" t="n">
        <x:f>IF(ISNUMBER(M9),COUNTIFS($M$6:$M$179,"&gt;"&amp;M9)+(COUNTIFS($M$6:$M$179,M9)+1)/2,"NA")</x:f>
        <x:v>3.5</x:v>
      </x:c>
      <x:c r="O9" s="30" t="n">
        <x:f>IF(COUNT('总览与权重'!$H$9:$K$9)=4,ROUND(100*SUMPRODUCT(E9:H9,'总览与权重'!$H$9:$K$9),12),"NA")</x:f>
        <x:v>54.419150519035</x:v>
      </x:c>
      <x:c r="P9" s="30" t="n">
        <x:f>IF(ISNUMBER(O9),COUNTIFS($O$6:$O$179,"&gt;"&amp;O9)+(COUNTIFS($O$6:$O$179,O9)+1)/2,"NA")</x:f>
        <x:v>3.5</x:v>
      </x:c>
      <x:c r="Q9" s="30" t="n">
        <x:f>IF(COUNT('总览与权重'!$H$10:$K$10)=4,ROUND(100*SUMPRODUCT(E9:H9,'总览与权重'!$H$10:$K$10),12),"NA")</x:f>
        <x:v>37.114032590651</x:v>
      </x:c>
      <x:c r="R9" s="30" t="n">
        <x:f>IF(ISNUMBER(Q9),COUNTIFS($Q$6:$Q$179,"&gt;"&amp;Q9)+(COUNTIFS($Q$6:$Q$179,Q9)+1)/2,"NA")</x:f>
        <x:v>4.5</x:v>
      </x:c>
      <x:c r="S9" s="31" t="n">
        <x:f>IF(OR(B9="s3",B9="s6"),COUNTIFS($B$6:$B$179,B9,$I$6:$I$179,"&gt;"&amp;I9)+(COUNTIFS($B$6:$B$179,B9,$I$6:$I$179,I9)+1)/2,"NA")</x:f>
        <x:v>1.5</x:v>
      </x:c>
      <x:c r="T9" s="26" t="str">
        <x:f>IF(COUNTIFS($I$6:$I$179,"&gt;"&amp;I9)&gt;=35,"非前20%",IF(COUNTIFS($I$6:$I$179,"&gt;="&amp;I9)&gt;=35,"边界同分","严格前20%"))</x:f>
        <x:v>严格前20%</x:v>
      </x:c>
      <x:c r="U9" s="26" t="str">
        <x:f>IF(COUNTIFS($I$6:$I$179,"&lt;"&amp;I9)&gt;=35,"非后20%",IF(COUNTIFS($I$6:$I$179,"&lt;="&amp;I9)&gt;=35,"边界同分","严格后20%"))</x:f>
        <x:v>非后20%</x:v>
      </x:c>
      <x:c r="V9" s="26" t="n">
        <x:f>'基线调整'!I8</x:f>
        <x:v>72.774856776385</x:v>
      </x:c>
      <x:c r="W9" s="26" t="n">
        <x:f>'基线调整'!J8</x:f>
        <x:v>2.5</x:v>
      </x:c>
      <x:c r="X9" s="22" t="str">
        <x:v>["S0036"]</x:v>
      </x:c>
      <x:c r="Y9" s="22" t="str">
        <x:v>evidence/student_evidence.jsonl；student_key=2025秋:259407</x:v>
      </x:c>
      <x:c r="Z9" s="26" t="n">
        <x:f>IF(OR(B9="s3",B9="s6"),COUNTIFS($B$6:$B$179,B9,$K$6:$K$179,"&gt;"&amp;K9)+(COUNTIFS($B$6:$B$179,B9,$K$6:$K$179,K9)+1)/2,"NA")</x:f>
        <x:v>1.5</x:v>
      </x:c>
      <x:c r="AA9" s="26" t="n">
        <x:f>IF(OR(B9="s3",B9="s6"),COUNTIFS($B$6:$B$179,B9,$M$6:$M$179,"&gt;"&amp;M9)+(COUNTIFS($B$6:$B$179,B9,$M$6:$M$179,M9)+1)/2,"NA")</x:f>
        <x:v>1.5</x:v>
      </x:c>
      <x:c r="AB9" s="26" t="n">
        <x:f>IF(OR(B9="s3",B9="s6"),COUNTIFS($B$6:$B$179,B9,$O$6:$O$179,"&gt;"&amp;O9)+(COUNTIFS($B$6:$B$179,B9,$O$6:$O$179,O9)+1)/2,"NA")</x:f>
        <x:v>1.5</x:v>
      </x:c>
      <x:c r="AC9" s="26" t="n">
        <x:f>IF(OR(B9="s3",B9="s6"),COUNTIFS($B$6:$B$179,B9,$Q$6:$Q$179,"&gt;"&amp;Q9)+(COUNTIFS($B$6:$B$179,B9,$Q$6:$Q$179,Q9)+1)/2,"NA")</x:f>
        <x:v>1.5</x:v>
      </x:c>
    </x:row>
    <x:row r="10" ht="23" customHeight="1">
      <x:c r="A10" s="21" t="str">
        <x:v>2025秋:259021</x:v>
      </x:c>
      <x:c r="B10" s="22" t="str">
        <x:v>s3</x:v>
      </x:c>
      <x:c r="C10" s="24" t="n">
        <x:v>1</x:v>
      </x:c>
      <x:c r="D10" s="24" t="n">
        <x:v>1</x:v>
      </x:c>
      <x:c r="E10" s="29" t="n">
        <x:f>'指标计算'!K64</x:f>
        <x:v>0.041345451592168646</x:v>
      </x:c>
      <x:c r="F10" s="29" t="n">
        <x:f>'指标计算'!L64</x:f>
        <x:v>0.4961454191060238</x:v>
      </x:c>
      <x:c r="G10" s="29" t="n">
        <x:f>'指标计算'!M64</x:f>
        <x:v>0.4961454191060238</x:v>
      </x:c>
      <x:c r="H10" s="29" t="n">
        <x:f>'指标计算'!N64</x:f>
        <x:v>1</x:v>
      </x:c>
      <x:c r="I10" s="30" t="n">
        <x:f>IF(COUNT('总览与权重'!$H$6:$K$6)=4,ROUND(100*SUMPRODUCT(E10:H10,'总览与权重'!$H$6:$K$6),12),"NA")</x:f>
        <x:v>51.086180312006</x:v>
      </x:c>
      <x:c r="J10" s="30" t="n">
        <x:f>IF(ISNUMBER(I10),COUNTIFS($I$6:$I$179,"&gt;"&amp;I10)+(COUNTIFS($I$6:$I$179,I10)+1)/2,"NA")</x:f>
        <x:v>5.5</x:v>
      </x:c>
      <x:c r="K10" s="30" t="n">
        <x:f>IF(COUNT('总览与权重'!$H$7:$K$7)=4,ROUND(100*SUMPRODUCT(E10:H10,'总览与权重'!$H$7:$K$7),12),"NA")</x:f>
        <x:v>50.595634178205</x:v>
      </x:c>
      <x:c r="L10" s="30" t="n">
        <x:f>IF(ISNUMBER(K10),COUNTIFS($K$6:$K$179,"&gt;"&amp;K10)+(COUNTIFS($K$6:$K$179,K10)+1)/2,"NA")</x:f>
        <x:v>6.5</x:v>
      </x:c>
      <x:c r="M10" s="30" t="n">
        <x:f>IF(COUNT('总览与权重'!$H$8:$K$8)=4,ROUND(100*SUMPRODUCT(E10:H10,'总览与权重'!$H$8:$K$8),12),"NA")</x:f>
        <x:v>55.879453054045</x:v>
      </x:c>
      <x:c r="N10" s="30" t="n">
        <x:f>IF(ISNUMBER(M10),COUNTIFS($M$6:$M$179,"&gt;"&amp;M10)+(COUNTIFS($M$6:$M$179,M10)+1)/2,"NA")</x:f>
        <x:v>5.5</x:v>
      </x:c>
      <x:c r="O10" s="30" t="n">
        <x:f>IF(COUNT('总览与权重'!$H$9:$K$9)=4,ROUND(100*SUMPRODUCT(E10:H10,'总览与权重'!$H$9:$K$9),12),"NA")</x:f>
        <x:v>54.100376582117</x:v>
      </x:c>
      <x:c r="P10" s="30" t="n">
        <x:f>IF(ISNUMBER(O10),COUNTIFS($O$6:$O$179,"&gt;"&amp;O10)+(COUNTIFS($O$6:$O$179,O10)+1)/2,"NA")</x:f>
        <x:v>5.5</x:v>
      </x:c>
      <x:c r="Q10" s="30" t="n">
        <x:f>IF(COUNT('总览与权重'!$H$10:$K$10)=4,ROUND(100*SUMPRODUCT(E10:H10,'总览与权重'!$H$10:$K$10),12),"NA")</x:f>
        <x:v>36.674233691854</x:v>
      </x:c>
      <x:c r="R10" s="30" t="n">
        <x:f>IF(ISNUMBER(Q10),COUNTIFS($Q$6:$Q$179,"&gt;"&amp;Q10)+(COUNTIFS($Q$6:$Q$179,Q10)+1)/2,"NA")</x:f>
        <x:v>6.5</x:v>
      </x:c>
      <x:c r="S10" s="31" t="n">
        <x:f>IF(OR(B10="s3",B10="s6"),COUNTIFS($B$6:$B$179,B10,$I$6:$I$179,"&gt;"&amp;I10)+(COUNTIFS($B$6:$B$179,B10,$I$6:$I$179,I10)+1)/2,"NA")</x:f>
        <x:v>3.5</x:v>
      </x:c>
      <x:c r="T10" s="26" t="str">
        <x:f>IF(COUNTIFS($I$6:$I$179,"&gt;"&amp;I10)&gt;=35,"非前20%",IF(COUNTIFS($I$6:$I$179,"&gt;="&amp;I10)&gt;=35,"边界同分","严格前20%"))</x:f>
        <x:v>严格前20%</x:v>
      </x:c>
      <x:c r="U10" s="26" t="str">
        <x:f>IF(COUNTIFS($I$6:$I$179,"&lt;"&amp;I10)&gt;=35,"非后20%",IF(COUNTIFS($I$6:$I$179,"&lt;="&amp;I10)&gt;=35,"边界同分","严格后20%"))</x:f>
        <x:v>非后20%</x:v>
      </x:c>
      <x:c r="V10" s="26" t="n">
        <x:f>'基线调整'!I9</x:f>
        <x:v>72.635404085891</x:v>
      </x:c>
      <x:c r="W10" s="26" t="n">
        <x:f>'基线调整'!J9</x:f>
        <x:v>4.5</x:v>
      </x:c>
      <x:c r="X10" s="22" t="str">
        <x:v>["S0464"]</x:v>
      </x:c>
      <x:c r="Y10" s="22" t="str">
        <x:v>evidence/student_evidence.jsonl；student_key=2025秋:259021</x:v>
      </x:c>
      <x:c r="Z10" s="26" t="n">
        <x:f>IF(OR(B10="s3",B10="s6"),COUNTIFS($B$6:$B$179,B10,$K$6:$K$179,"&gt;"&amp;K10)+(COUNTIFS($B$6:$B$179,B10,$K$6:$K$179,K10)+1)/2,"NA")</x:f>
        <x:v>3.5</x:v>
      </x:c>
      <x:c r="AA10" s="26" t="n">
        <x:f>IF(OR(B10="s3",B10="s6"),COUNTIFS($B$6:$B$179,B10,$M$6:$M$179,"&gt;"&amp;M10)+(COUNTIFS($B$6:$B$179,B10,$M$6:$M$179,M10)+1)/2,"NA")</x:f>
        <x:v>3.5</x:v>
      </x:c>
      <x:c r="AB10" s="26" t="n">
        <x:f>IF(OR(B10="s3",B10="s6"),COUNTIFS($B$6:$B$179,B10,$O$6:$O$179,"&gt;"&amp;O10)+(COUNTIFS($B$6:$B$179,B10,$O$6:$O$179,O10)+1)/2,"NA")</x:f>
        <x:v>3.5</x:v>
      </x:c>
      <x:c r="AC10" s="26" t="n">
        <x:f>IF(OR(B10="s3",B10="s6"),COUNTIFS($B$6:$B$179,B10,$Q$6:$Q$179,"&gt;"&amp;Q10)+(COUNTIFS($B$6:$B$179,B10,$Q$6:$Q$179,Q10)+1)/2,"NA")</x:f>
        <x:v>3.5</x:v>
      </x:c>
    </x:row>
    <x:row r="11" ht="23" customHeight="1">
      <x:c r="A11" s="21" t="str">
        <x:v>2025秋:25A081</x:v>
      </x:c>
      <x:c r="B11" s="22" t="str">
        <x:v>s3</x:v>
      </x:c>
      <x:c r="C11" s="24" t="n">
        <x:v>1</x:v>
      </x:c>
      <x:c r="D11" s="24" t="n">
        <x:v>1</x:v>
      </x:c>
      <x:c r="E11" s="29" t="n">
        <x:f>'指标计算'!K133</x:f>
        <x:v>0.041345451592168646</x:v>
      </x:c>
      <x:c r="F11" s="29" t="n">
        <x:f>'指标计算'!L133</x:f>
        <x:v>0.4961454191060238</x:v>
      </x:c>
      <x:c r="G11" s="29" t="n">
        <x:f>'指标计算'!M133</x:f>
        <x:v>0.4961454191060238</x:v>
      </x:c>
      <x:c r="H11" s="29" t="n">
        <x:f>'指标计算'!N133</x:f>
        <x:v>1</x:v>
      </x:c>
      <x:c r="I11" s="30" t="n">
        <x:f>IF(COUNT('总览与权重'!$H$6:$K$6)=4,ROUND(100*SUMPRODUCT(E11:H11,'总览与权重'!$H$6:$K$6),12),"NA")</x:f>
        <x:v>51.086180312006</x:v>
      </x:c>
      <x:c r="J11" s="30" t="n">
        <x:f>IF(ISNUMBER(I11),COUNTIFS($I$6:$I$179,"&gt;"&amp;I11)+(COUNTIFS($I$6:$I$179,I11)+1)/2,"NA")</x:f>
        <x:v>5.5</x:v>
      </x:c>
      <x:c r="K11" s="30" t="n">
        <x:f>IF(COUNT('总览与权重'!$H$7:$K$7)=4,ROUND(100*SUMPRODUCT(E11:H11,'总览与权重'!$H$7:$K$7),12),"NA")</x:f>
        <x:v>50.595634178205</x:v>
      </x:c>
      <x:c r="L11" s="30" t="n">
        <x:f>IF(ISNUMBER(K11),COUNTIFS($K$6:$K$179,"&gt;"&amp;K11)+(COUNTIFS($K$6:$K$179,K11)+1)/2,"NA")</x:f>
        <x:v>6.5</x:v>
      </x:c>
      <x:c r="M11" s="30" t="n">
        <x:f>IF(COUNT('总览与权重'!$H$8:$K$8)=4,ROUND(100*SUMPRODUCT(E11:H11,'总览与权重'!$H$8:$K$8),12),"NA")</x:f>
        <x:v>55.879453054045</x:v>
      </x:c>
      <x:c r="N11" s="30" t="n">
        <x:f>IF(ISNUMBER(M11),COUNTIFS($M$6:$M$179,"&gt;"&amp;M11)+(COUNTIFS($M$6:$M$179,M11)+1)/2,"NA")</x:f>
        <x:v>5.5</x:v>
      </x:c>
      <x:c r="O11" s="30" t="n">
        <x:f>IF(COUNT('总览与权重'!$H$9:$K$9)=4,ROUND(100*SUMPRODUCT(E11:H11,'总览与权重'!$H$9:$K$9),12),"NA")</x:f>
        <x:v>54.100376582117</x:v>
      </x:c>
      <x:c r="P11" s="30" t="n">
        <x:f>IF(ISNUMBER(O11),COUNTIFS($O$6:$O$179,"&gt;"&amp;O11)+(COUNTIFS($O$6:$O$179,O11)+1)/2,"NA")</x:f>
        <x:v>5.5</x:v>
      </x:c>
      <x:c r="Q11" s="30" t="n">
        <x:f>IF(COUNT('总览与权重'!$H$10:$K$10)=4,ROUND(100*SUMPRODUCT(E11:H11,'总览与权重'!$H$10:$K$10),12),"NA")</x:f>
        <x:v>36.674233691854</x:v>
      </x:c>
      <x:c r="R11" s="30" t="n">
        <x:f>IF(ISNUMBER(Q11),COUNTIFS($Q$6:$Q$179,"&gt;"&amp;Q11)+(COUNTIFS($Q$6:$Q$179,Q11)+1)/2,"NA")</x:f>
        <x:v>6.5</x:v>
      </x:c>
      <x:c r="S11" s="31" t="n">
        <x:f>IF(OR(B11="s3",B11="s6"),COUNTIFS($B$6:$B$179,B11,$I$6:$I$179,"&gt;"&amp;I11)+(COUNTIFS($B$6:$B$179,B11,$I$6:$I$179,I11)+1)/2,"NA")</x:f>
        <x:v>3.5</x:v>
      </x:c>
      <x:c r="T11" s="26" t="str">
        <x:f>IF(COUNTIFS($I$6:$I$179,"&gt;"&amp;I11)&gt;=35,"非前20%",IF(COUNTIFS($I$6:$I$179,"&gt;="&amp;I11)&gt;=35,"边界同分","严格前20%"))</x:f>
        <x:v>严格前20%</x:v>
      </x:c>
      <x:c r="U11" s="26" t="str">
        <x:f>IF(COUNTIFS($I$6:$I$179,"&lt;"&amp;I11)&gt;=35,"非后20%",IF(COUNTIFS($I$6:$I$179,"&lt;="&amp;I11)&gt;=35,"边界同分","严格后20%"))</x:f>
        <x:v>非后20%</x:v>
      </x:c>
      <x:c r="V11" s="26" t="n">
        <x:f>'基线调整'!I10</x:f>
        <x:v>72.635404085891</x:v>
      </x:c>
      <x:c r="W11" s="26" t="n">
        <x:f>'基线调整'!J10</x:f>
        <x:v>4.5</x:v>
      </x:c>
      <x:c r="X11" s="22" t="str">
        <x:v>["S0411"]</x:v>
      </x:c>
      <x:c r="Y11" s="22" t="str">
        <x:v>evidence/student_evidence.jsonl；student_key=2025秋:25A081</x:v>
      </x:c>
      <x:c r="Z11" s="26" t="n">
        <x:f>IF(OR(B11="s3",B11="s6"),COUNTIFS($B$6:$B$179,B11,$K$6:$K$179,"&gt;"&amp;K11)+(COUNTIFS($B$6:$B$179,B11,$K$6:$K$179,K11)+1)/2,"NA")</x:f>
        <x:v>3.5</x:v>
      </x:c>
      <x:c r="AA11" s="26" t="n">
        <x:f>IF(OR(B11="s3",B11="s6"),COUNTIFS($B$6:$B$179,B11,$M$6:$M$179,"&gt;"&amp;M11)+(COUNTIFS($B$6:$B$179,B11,$M$6:$M$179,M11)+1)/2,"NA")</x:f>
        <x:v>3.5</x:v>
      </x:c>
      <x:c r="AB11" s="26" t="n">
        <x:f>IF(OR(B11="s3",B11="s6"),COUNTIFS($B$6:$B$179,B11,$O$6:$O$179,"&gt;"&amp;O11)+(COUNTIFS($B$6:$B$179,B11,$O$6:$O$179,O11)+1)/2,"NA")</x:f>
        <x:v>3.5</x:v>
      </x:c>
      <x:c r="AC11" s="26" t="n">
        <x:f>IF(OR(B11="s3",B11="s6"),COUNTIFS($B$6:$B$179,B11,$Q$6:$Q$179,"&gt;"&amp;Q11)+(COUNTIFS($B$6:$B$179,B11,$Q$6:$Q$179,Q11)+1)/2,"NA")</x:f>
        <x:v>3.5</x:v>
      </x:c>
    </x:row>
    <x:row r="12" ht="23" customHeight="1">
      <x:c r="A12" s="21" t="str">
        <x:v>2025秋:259401</x:v>
      </x:c>
      <x:c r="B12" s="22" t="str">
        <x:v>s3</x:v>
      </x:c>
      <x:c r="C12" s="24" t="n">
        <x:v>1</x:v>
      </x:c>
      <x:c r="D12" s="24" t="n">
        <x:v>1</x:v>
      </x:c>
      <x:c r="E12" s="29" t="n">
        <x:f>'指标计算'!K96</x:f>
        <x:v>0.04109251988646322</x:v>
      </x:c>
      <x:c r="F12" s="29" t="n">
        <x:f>'指标计算'!L96</x:f>
        <x:v>0.49311023863755865</x:v>
      </x:c>
      <x:c r="G12" s="29" t="n">
        <x:f>'指标计算'!M96</x:f>
        <x:v>0.49311023863755865</x:v>
      </x:c>
      <x:c r="H12" s="29" t="n">
        <x:f>'指标计算'!N96</x:f>
        <x:v>1</x:v>
      </x:c>
      <x:c r="I12" s="30" t="n">
        <x:f>IF(COUNT('总览与权重'!$H$6:$K$6)=4,ROUND(100*SUMPRODUCT(E12:H12,'总览与权重'!$H$6:$K$6),12),"NA")</x:f>
        <x:v>50.957185142096</x:v>
      </x:c>
      <x:c r="J12" s="30" t="n">
        <x:f>IF(ISNUMBER(I12),COUNTIFS($I$6:$I$179,"&gt;"&amp;I12)+(COUNTIFS($I$6:$I$179,I12)+1)/2,"NA")</x:f>
        <x:v>7.5</x:v>
      </x:c>
      <x:c r="K12" s="30" t="n">
        <x:f>IF(COUNT('总览与权重'!$H$7:$K$7)=4,ROUND(100*SUMPRODUCT(E12:H12,'总览与权重'!$H$7:$K$7),12),"NA")</x:f>
        <x:v>50.408464715983</x:v>
      </x:c>
      <x:c r="L12" s="30" t="n">
        <x:f>IF(ISNUMBER(K12),COUNTIFS($K$6:$K$179,"&gt;"&amp;K12)+(COUNTIFS($K$6:$K$179,K12)+1)/2,"NA")</x:f>
        <x:v>8.5</x:v>
      </x:c>
      <x:c r="M12" s="30" t="n">
        <x:f>IF(COUNT('总览与权重'!$H$8:$K$8)=4,ROUND(100*SUMPRODUCT(E12:H12,'总览与权重'!$H$8:$K$8),12),"NA")</x:f>
        <x:v>55.751722542664</x:v>
      </x:c>
      <x:c r="N12" s="30" t="n">
        <x:f>IF(ISNUMBER(M12),COUNTIFS($M$6:$M$179,"&gt;"&amp;M12)+(COUNTIFS($M$6:$M$179,M12)+1)/2,"NA")</x:f>
        <x:v>7.5</x:v>
      </x:c>
      <x:c r="O12" s="30" t="n">
        <x:f>IF(COUNT('总览与权重'!$H$9:$K$9)=4,ROUND(100*SUMPRODUCT(E12:H12,'总览与权重'!$H$9:$K$9),12),"NA")</x:f>
        <x:v>53.952942000504</x:v>
      </x:c>
      <x:c r="P12" s="30" t="n">
        <x:f>IF(ISNUMBER(O12),COUNTIFS($O$6:$O$179,"&gt;"&amp;O12)+(COUNTIFS($O$6:$O$179,O12)+1)/2,"NA")</x:f>
        <x:v>7.5</x:v>
      </x:c>
      <x:c r="Q12" s="30" t="n">
        <x:f>IF(COUNT('总览与权重'!$H$10:$K$10)=4,ROUND(100*SUMPRODUCT(E12:H12,'总览与权重'!$H$10:$K$10),12),"NA")</x:f>
        <x:v>36.470824444333</x:v>
      </x:c>
      <x:c r="R12" s="30" t="n">
        <x:f>IF(ISNUMBER(Q12),COUNTIFS($Q$6:$Q$179,"&gt;"&amp;Q12)+(COUNTIFS($Q$6:$Q$179,Q12)+1)/2,"NA")</x:f>
        <x:v>9.5</x:v>
      </x:c>
      <x:c r="S12" s="31" t="n">
        <x:f>IF(OR(B12="s3",B12="s6"),COUNTIFS($B$6:$B$179,B12,$I$6:$I$179,"&gt;"&amp;I12)+(COUNTIFS($B$6:$B$179,B12,$I$6:$I$179,I12)+1)/2,"NA")</x:f>
        <x:v>5.5</x:v>
      </x:c>
      <x:c r="T12" s="26" t="str">
        <x:f>IF(COUNTIFS($I$6:$I$179,"&gt;"&amp;I12)&gt;=35,"非前20%",IF(COUNTIFS($I$6:$I$179,"&gt;="&amp;I12)&gt;=35,"边界同分","严格前20%"))</x:f>
        <x:v>严格前20%</x:v>
      </x:c>
      <x:c r="U12" s="26" t="str">
        <x:f>IF(COUNTIFS($I$6:$I$179,"&lt;"&amp;I12)&gt;=35,"非后20%",IF(COUNTIFS($I$6:$I$179,"&lt;="&amp;I12)&gt;=35,"边界同分","严格后20%"))</x:f>
        <x:v>非后20%</x:v>
      </x:c>
      <x:c r="V12" s="26" t="str">
        <x:v>NA</x:v>
      </x:c>
      <x:c r="W12" s="26" t="str">
        <x:v>NA</x:v>
      </x:c>
      <x:c r="X12" s="22" t="str">
        <x:v>["S0378"]</x:v>
      </x:c>
      <x:c r="Y12" s="22" t="str">
        <x:v>evidence/student_evidence.jsonl；student_key=2025秋:259401</x:v>
      </x:c>
      <x:c r="Z12" s="26" t="n">
        <x:f>IF(OR(B12="s3",B12="s6"),COUNTIFS($B$6:$B$179,B12,$K$6:$K$179,"&gt;"&amp;K12)+(COUNTIFS($B$6:$B$179,B12,$K$6:$K$179,K12)+1)/2,"NA")</x:f>
        <x:v>5.5</x:v>
      </x:c>
      <x:c r="AA12" s="26" t="n">
        <x:f>IF(OR(B12="s3",B12="s6"),COUNTIFS($B$6:$B$179,B12,$M$6:$M$179,"&gt;"&amp;M12)+(COUNTIFS($B$6:$B$179,B12,$M$6:$M$179,M12)+1)/2,"NA")</x:f>
        <x:v>5.5</x:v>
      </x:c>
      <x:c r="AB12" s="26" t="n">
        <x:f>IF(OR(B12="s3",B12="s6"),COUNTIFS($B$6:$B$179,B12,$O$6:$O$179,"&gt;"&amp;O12)+(COUNTIFS($B$6:$B$179,B12,$O$6:$O$179,O12)+1)/2,"NA")</x:f>
        <x:v>5.5</x:v>
      </x:c>
      <x:c r="AC12" s="26" t="n">
        <x:f>IF(OR(B12="s3",B12="s6"),COUNTIFS($B$6:$B$179,B12,$Q$6:$Q$179,"&gt;"&amp;Q12)+(COUNTIFS($B$6:$B$179,B12,$Q$6:$Q$179,Q12)+1)/2,"NA")</x:f>
        <x:v>6.5</x:v>
      </x:c>
    </x:row>
    <x:row r="13" ht="23" customHeight="1">
      <x:c r="A13" s="21" t="str">
        <x:v>2025秋:259961</x:v>
      </x:c>
      <x:c r="B13" s="22" t="str">
        <x:v>s3</x:v>
      </x:c>
      <x:c r="C13" s="24" t="n">
        <x:v>1</x:v>
      </x:c>
      <x:c r="D13" s="24" t="n">
        <x:v>1</x:v>
      </x:c>
      <x:c r="E13" s="29" t="n">
        <x:f>'指标计算'!K132</x:f>
        <x:v>0.04109251988646322</x:v>
      </x:c>
      <x:c r="F13" s="29" t="n">
        <x:f>'指标计算'!L132</x:f>
        <x:v>0.49311023863755865</x:v>
      </x:c>
      <x:c r="G13" s="29" t="n">
        <x:f>'指标计算'!M132</x:f>
        <x:v>0.49311023863755865</x:v>
      </x:c>
      <x:c r="H13" s="29" t="n">
        <x:f>'指标计算'!N132</x:f>
        <x:v>1</x:v>
      </x:c>
      <x:c r="I13" s="30" t="n">
        <x:f>IF(COUNT('总览与权重'!$H$6:$K$6)=4,ROUND(100*SUMPRODUCT(E13:H13,'总览与权重'!$H$6:$K$6),12),"NA")</x:f>
        <x:v>50.957185142096</x:v>
      </x:c>
      <x:c r="J13" s="30" t="n">
        <x:f>IF(ISNUMBER(I13),COUNTIFS($I$6:$I$179,"&gt;"&amp;I13)+(COUNTIFS($I$6:$I$179,I13)+1)/2,"NA")</x:f>
        <x:v>7.5</x:v>
      </x:c>
      <x:c r="K13" s="30" t="n">
        <x:f>IF(COUNT('总览与权重'!$H$7:$K$7)=4,ROUND(100*SUMPRODUCT(E13:H13,'总览与权重'!$H$7:$K$7),12),"NA")</x:f>
        <x:v>50.408464715983</x:v>
      </x:c>
      <x:c r="L13" s="30" t="n">
        <x:f>IF(ISNUMBER(K13),COUNTIFS($K$6:$K$179,"&gt;"&amp;K13)+(COUNTIFS($K$6:$K$179,K13)+1)/2,"NA")</x:f>
        <x:v>8.5</x:v>
      </x:c>
      <x:c r="M13" s="30" t="n">
        <x:f>IF(COUNT('总览与权重'!$H$8:$K$8)=4,ROUND(100*SUMPRODUCT(E13:H13,'总览与权重'!$H$8:$K$8),12),"NA")</x:f>
        <x:v>55.751722542664</x:v>
      </x:c>
      <x:c r="N13" s="30" t="n">
        <x:f>IF(ISNUMBER(M13),COUNTIFS($M$6:$M$179,"&gt;"&amp;M13)+(COUNTIFS($M$6:$M$179,M13)+1)/2,"NA")</x:f>
        <x:v>7.5</x:v>
      </x:c>
      <x:c r="O13" s="30" t="n">
        <x:f>IF(COUNT('总览与权重'!$H$9:$K$9)=4,ROUND(100*SUMPRODUCT(E13:H13,'总览与权重'!$H$9:$K$9),12),"NA")</x:f>
        <x:v>53.952942000504</x:v>
      </x:c>
      <x:c r="P13" s="30" t="n">
        <x:f>IF(ISNUMBER(O13),COUNTIFS($O$6:$O$179,"&gt;"&amp;O13)+(COUNTIFS($O$6:$O$179,O13)+1)/2,"NA")</x:f>
        <x:v>7.5</x:v>
      </x:c>
      <x:c r="Q13" s="30" t="n">
        <x:f>IF(COUNT('总览与权重'!$H$10:$K$10)=4,ROUND(100*SUMPRODUCT(E13:H13,'总览与权重'!$H$10:$K$10),12),"NA")</x:f>
        <x:v>36.470824444333</x:v>
      </x:c>
      <x:c r="R13" s="30" t="n">
        <x:f>IF(ISNUMBER(Q13),COUNTIFS($Q$6:$Q$179,"&gt;"&amp;Q13)+(COUNTIFS($Q$6:$Q$179,Q13)+1)/2,"NA")</x:f>
        <x:v>9.5</x:v>
      </x:c>
      <x:c r="S13" s="31" t="n">
        <x:f>IF(OR(B13="s3",B13="s6"),COUNTIFS($B$6:$B$179,B13,$I$6:$I$179,"&gt;"&amp;I13)+(COUNTIFS($B$6:$B$179,B13,$I$6:$I$179,I13)+1)/2,"NA")</x:f>
        <x:v>5.5</x:v>
      </x:c>
      <x:c r="T13" s="26" t="str">
        <x:f>IF(COUNTIFS($I$6:$I$179,"&gt;"&amp;I13)&gt;=35,"非前20%",IF(COUNTIFS($I$6:$I$179,"&gt;="&amp;I13)&gt;=35,"边界同分","严格前20%"))</x:f>
        <x:v>严格前20%</x:v>
      </x:c>
      <x:c r="U13" s="26" t="str">
        <x:f>IF(COUNTIFS($I$6:$I$179,"&lt;"&amp;I13)&gt;=35,"非后20%",IF(COUNTIFS($I$6:$I$179,"&lt;="&amp;I13)&gt;=35,"边界同分","严格后20%"))</x:f>
        <x:v>非后20%</x:v>
      </x:c>
      <x:c r="V13" s="26" t="n">
        <x:f>'基线调整'!I11</x:f>
        <x:v>72.570906500936</x:v>
      </x:c>
      <x:c r="W13" s="26" t="n">
        <x:f>'基线调整'!J11</x:f>
        <x:v>6</x:v>
      </x:c>
      <x:c r="X13" s="22" t="str">
        <x:v>["S0296"]</x:v>
      </x:c>
      <x:c r="Y13" s="22" t="str">
        <x:v>evidence/student_evidence.jsonl；student_key=2025秋:259961</x:v>
      </x:c>
      <x:c r="Z13" s="26" t="n">
        <x:f>IF(OR(B13="s3",B13="s6"),COUNTIFS($B$6:$B$179,B13,$K$6:$K$179,"&gt;"&amp;K13)+(COUNTIFS($B$6:$B$179,B13,$K$6:$K$179,K13)+1)/2,"NA")</x:f>
        <x:v>5.5</x:v>
      </x:c>
      <x:c r="AA13" s="26" t="n">
        <x:f>IF(OR(B13="s3",B13="s6"),COUNTIFS($B$6:$B$179,B13,$M$6:$M$179,"&gt;"&amp;M13)+(COUNTIFS($B$6:$B$179,B13,$M$6:$M$179,M13)+1)/2,"NA")</x:f>
        <x:v>5.5</x:v>
      </x:c>
      <x:c r="AB13" s="26" t="n">
        <x:f>IF(OR(B13="s3",B13="s6"),COUNTIFS($B$6:$B$179,B13,$O$6:$O$179,"&gt;"&amp;O13)+(COUNTIFS($B$6:$B$179,B13,$O$6:$O$179,O13)+1)/2,"NA")</x:f>
        <x:v>5.5</x:v>
      </x:c>
      <x:c r="AC13" s="26" t="n">
        <x:f>IF(OR(B13="s3",B13="s6"),COUNTIFS($B$6:$B$179,B13,$Q$6:$Q$179,"&gt;"&amp;Q13)+(COUNTIFS($B$6:$B$179,B13,$Q$6:$Q$179,Q13)+1)/2,"NA")</x:f>
        <x:v>6.5</x:v>
      </x:c>
    </x:row>
    <x:row r="14" ht="23" customHeight="1">
      <x:c r="A14" s="21" t="str">
        <x:v>2025秋:25A134</x:v>
      </x:c>
      <x:c r="B14" s="22" t="str">
        <x:v>s3</x:v>
      </x:c>
      <x:c r="C14" s="24" t="n">
        <x:v>1</x:v>
      </x:c>
      <x:c r="D14" s="24" t="n">
        <x:v>1</x:v>
      </x:c>
      <x:c r="E14" s="29" t="n">
        <x:f>'指标计算'!K136</x:f>
        <x:v>0.04063961771416061</x:v>
      </x:c>
      <x:c r="F14" s="29" t="n">
        <x:f>'指标计算'!L136</x:f>
        <x:v>0.4876754125699273</x:v>
      </x:c>
      <x:c r="G14" s="29" t="n">
        <x:f>'指标计算'!M136</x:f>
        <x:v>0.4876754125699273</x:v>
      </x:c>
      <x:c r="H14" s="29" t="n">
        <x:f>'指标计算'!N136</x:f>
        <x:v>1</x:v>
      </x:c>
      <x:c r="I14" s="30" t="n">
        <x:f>IF(COUNT('总览与权重'!$H$6:$K$6)=4,ROUND(100*SUMPRODUCT(E14:H14,'总览与权重'!$H$6:$K$6),12),"NA")</x:f>
        <x:v>50.726205034222</x:v>
      </x:c>
      <x:c r="J14" s="30" t="n">
        <x:f>IF(ISNUMBER(I14),COUNTIFS($I$6:$I$179,"&gt;"&amp;I14)+(COUNTIFS($I$6:$I$179,I14)+1)/2,"NA")</x:f>
        <x:v>9</x:v>
      </x:c>
      <x:c r="K14" s="30" t="n">
        <x:f>IF(COUNT('总览与权重'!$H$7:$K$7)=4,ROUND(100*SUMPRODUCT(E14:H14,'总览与权重'!$H$7:$K$7),12),"NA")</x:f>
        <x:v>50.073317108479</x:v>
      </x:c>
      <x:c r="L14" s="30" t="n">
        <x:f>IF(ISNUMBER(K14),COUNTIFS($K$6:$K$179,"&gt;"&amp;K14)+(COUNTIFS($K$6:$K$179,K14)+1)/2,"NA")</x:f>
        <x:v>10</x:v>
      </x:c>
      <x:c r="M14" s="30" t="n">
        <x:f>IF(COUNT('总览与权重'!$H$8:$K$8)=4,ROUND(100*SUMPRODUCT(E14:H14,'总览与权重'!$H$8:$K$8),12),"NA")</x:f>
        <x:v>55.523006945651</x:v>
      </x:c>
      <x:c r="N14" s="30" t="n">
        <x:f>IF(ISNUMBER(M14),COUNTIFS($M$6:$M$179,"&gt;"&amp;M14)+(COUNTIFS($M$6:$M$179,M14)+1)/2,"NA")</x:f>
        <x:v>9</x:v>
      </x:c>
      <x:c r="O14" s="30" t="n">
        <x:f>IF(COUNT('总览与权重'!$H$9:$K$9)=4,ROUND(100*SUMPRODUCT(E14:H14,'总览与权重'!$H$9:$K$9),12),"NA")</x:f>
        <x:v>53.68894408811</x:v>
      </x:c>
      <x:c r="P14" s="30" t="n">
        <x:f>IF(ISNUMBER(O14),COUNTIFS($O$6:$O$179,"&gt;"&amp;O14)+(COUNTIFS($O$6:$O$179,O14)+1)/2,"NA")</x:f>
        <x:v>10</x:v>
      </x:c>
      <x:c r="Q14" s="30" t="n">
        <x:f>IF(COUNT('总览与权重'!$H$10:$K$10)=4,ROUND(100*SUMPRODUCT(E14:H14,'总览与权重'!$H$10:$K$10),12),"NA")</x:f>
        <x:v>36.106597706481</x:v>
      </x:c>
      <x:c r="R14" s="30" t="n">
        <x:f>IF(ISNUMBER(Q14),COUNTIFS($Q$6:$Q$179,"&gt;"&amp;Q14)+(COUNTIFS($Q$6:$Q$179,Q14)+1)/2,"NA")</x:f>
        <x:v>12</x:v>
      </x:c>
      <x:c r="S14" s="31" t="n">
        <x:f>IF(OR(B14="s3",B14="s6"),COUNTIFS($B$6:$B$179,B14,$I$6:$I$179,"&gt;"&amp;I14)+(COUNTIFS($B$6:$B$179,B14,$I$6:$I$179,I14)+1)/2,"NA")</x:f>
        <x:v>7</x:v>
      </x:c>
      <x:c r="T14" s="26" t="str">
        <x:f>IF(COUNTIFS($I$6:$I$179,"&gt;"&amp;I14)&gt;=35,"非前20%",IF(COUNTIFS($I$6:$I$179,"&gt;="&amp;I14)&gt;=35,"边界同分","严格前20%"))</x:f>
        <x:v>严格前20%</x:v>
      </x:c>
      <x:c r="U14" s="26" t="str">
        <x:f>IF(COUNTIFS($I$6:$I$179,"&lt;"&amp;I14)&gt;=35,"非后20%",IF(COUNTIFS($I$6:$I$179,"&lt;="&amp;I14)&gt;=35,"边界同分","严格后20%"))</x:f>
        <x:v>非后20%</x:v>
      </x:c>
      <x:c r="V14" s="26" t="n">
        <x:f>'基线调整'!I12</x:f>
        <x:v>72.456019073544</x:v>
      </x:c>
      <x:c r="W14" s="26" t="n">
        <x:f>'基线调整'!J12</x:f>
        <x:v>7</x:v>
      </x:c>
      <x:c r="X14" s="22" t="str">
        <x:v>["S0311"]</x:v>
      </x:c>
      <x:c r="Y14" s="22" t="str">
        <x:v>evidence/student_evidence.jsonl；student_key=2025秋:25A134</x:v>
      </x:c>
      <x:c r="Z14" s="26" t="n">
        <x:f>IF(OR(B14="s3",B14="s6"),COUNTIFS($B$6:$B$179,B14,$K$6:$K$179,"&gt;"&amp;K14)+(COUNTIFS($B$6:$B$179,B14,$K$6:$K$179,K14)+1)/2,"NA")</x:f>
        <x:v>7</x:v>
      </x:c>
      <x:c r="AA14" s="26" t="n">
        <x:f>IF(OR(B14="s3",B14="s6"),COUNTIFS($B$6:$B$179,B14,$M$6:$M$179,"&gt;"&amp;M14)+(COUNTIFS($B$6:$B$179,B14,$M$6:$M$179,M14)+1)/2,"NA")</x:f>
        <x:v>7</x:v>
      </x:c>
      <x:c r="AB14" s="26" t="n">
        <x:f>IF(OR(B14="s3",B14="s6"),COUNTIFS($B$6:$B$179,B14,$O$6:$O$179,"&gt;"&amp;O14)+(COUNTIFS($B$6:$B$179,B14,$O$6:$O$179,O14)+1)/2,"NA")</x:f>
        <x:v>7</x:v>
      </x:c>
      <x:c r="AC14" s="26" t="n">
        <x:f>IF(OR(B14="s3",B14="s6"),COUNTIFS($B$6:$B$179,B14,$Q$6:$Q$179,"&gt;"&amp;Q14)+(COUNTIFS($B$6:$B$179,B14,$Q$6:$Q$179,Q14)+1)/2,"NA")</x:f>
        <x:v>9</x:v>
      </x:c>
    </x:row>
    <x:row r="15" ht="23" customHeight="1">
      <x:c r="A15" s="21" t="str">
        <x:v>2025秋:258878</x:v>
      </x:c>
      <x:c r="B15" s="22" t="str">
        <x:v>s3</x:v>
      </x:c>
      <x:c r="C15" s="24" t="n">
        <x:v>1</x:v>
      </x:c>
      <x:c r="D15" s="24" t="n">
        <x:v>1</x:v>
      </x:c>
      <x:c r="E15" s="29" t="n">
        <x:f>'指标计算'!K27</x:f>
        <x:v>0.04058544532349457</x:v>
      </x:c>
      <x:c r="F15" s="29" t="n">
        <x:f>'指标计算'!L27</x:f>
        <x:v>0.48702534388193486</x:v>
      </x:c>
      <x:c r="G15" s="29" t="n">
        <x:f>'指标计算'!M27</x:f>
        <x:v>0.48702534388193486</x:v>
      </x:c>
      <x:c r="H15" s="29" t="n">
        <x:f>'指标计算'!N27</x:f>
        <x:v>1</x:v>
      </x:c>
      <x:c r="I15" s="30" t="n">
        <x:f>IF(COUNT('总览与权重'!$H$6:$K$6)=4,ROUND(100*SUMPRODUCT(E15:H15,'总览与权重'!$H$6:$K$6),12),"NA")</x:f>
        <x:v>50.698577114982</x:v>
      </x:c>
      <x:c r="J15" s="30" t="n">
        <x:f>IF(ISNUMBER(I15),COUNTIFS($I$6:$I$179,"&gt;"&amp;I15)+(COUNTIFS($I$6:$I$179,I15)+1)/2,"NA")</x:f>
        <x:v>10.5</x:v>
      </x:c>
      <x:c r="K15" s="30" t="n">
        <x:f>IF(COUNT('总览与权重'!$H$7:$K$7)=4,ROUND(100*SUMPRODUCT(E15:H15,'总览与权重'!$H$7:$K$7),12),"NA")</x:f>
        <x:v>50.033229539386</x:v>
      </x:c>
      <x:c r="L15" s="30" t="n">
        <x:f>IF(ISNUMBER(K15),COUNTIFS($K$6:$K$179,"&gt;"&amp;K15)+(COUNTIFS($K$6:$K$179,K15)+1)/2,"NA")</x:f>
        <x:v>11.5</x:v>
      </x:c>
      <x:c r="M15" s="30" t="n">
        <x:f>IF(COUNT('总览与权重'!$H$8:$K$8)=4,ROUND(100*SUMPRODUCT(E15:H15,'总览与权重'!$H$8:$K$8),12),"NA")</x:f>
        <x:v>55.495649888365</x:v>
      </x:c>
      <x:c r="N15" s="30" t="n">
        <x:f>IF(ISNUMBER(M15),COUNTIFS($M$6:$M$179,"&gt;"&amp;M15)+(COUNTIFS($M$6:$M$179,M15)+1)/2,"NA")</x:f>
        <x:v>10.5</x:v>
      </x:c>
      <x:c r="O15" s="30" t="n">
        <x:f>IF(COUNT('总览与权重'!$H$9:$K$9)=4,ROUND(100*SUMPRODUCT(E15:H15,'总览与权重'!$H$9:$K$9),12),"NA")</x:f>
        <x:v>53.657366853731</x:v>
      </x:c>
      <x:c r="P15" s="30" t="n">
        <x:f>IF(ISNUMBER(O15),COUNTIFS($O$6:$O$179,"&gt;"&amp;O15)+(COUNTIFS($O$6:$O$179,O15)+1)/2,"NA")</x:f>
        <x:v>11.5</x:v>
      </x:c>
      <x:c r="Q15" s="30" t="n">
        <x:f>IF(COUNT('总览与权重'!$H$10:$K$10)=4,ROUND(100*SUMPRODUCT(E15:H15,'总览与权重'!$H$10:$K$10),12),"NA")</x:f>
        <x:v>36.063031933692</x:v>
      </x:c>
      <x:c r="R15" s="30" t="n">
        <x:f>IF(ISNUMBER(Q15),COUNTIFS($Q$6:$Q$179,"&gt;"&amp;Q15)+(COUNTIFS($Q$6:$Q$179,Q15)+1)/2,"NA")</x:f>
        <x:v>14.5</x:v>
      </x:c>
      <x:c r="S15" s="31" t="n">
        <x:f>IF(OR(B15="s3",B15="s6"),COUNTIFS($B$6:$B$179,B15,$I$6:$I$179,"&gt;"&amp;I15)+(COUNTIFS($B$6:$B$179,B15,$I$6:$I$179,I15)+1)/2,"NA")</x:f>
        <x:v>8.5</x:v>
      </x:c>
      <x:c r="T15" s="26" t="str">
        <x:f>IF(COUNTIFS($I$6:$I$179,"&gt;"&amp;I15)&gt;=35,"非前20%",IF(COUNTIFS($I$6:$I$179,"&gt;="&amp;I15)&gt;=35,"边界同分","严格前20%"))</x:f>
        <x:v>严格前20%</x:v>
      </x:c>
      <x:c r="U15" s="26" t="str">
        <x:f>IF(COUNTIFS($I$6:$I$179,"&lt;"&amp;I15)&gt;=35,"非后20%",IF(COUNTIFS($I$6:$I$179,"&lt;="&amp;I15)&gt;=35,"边界同分","严格后20%"))</x:f>
        <x:v>非后20%</x:v>
      </x:c>
      <x:c r="V15" s="26" t="n">
        <x:f>'基线调整'!I13</x:f>
        <x:v>72.441602487379</x:v>
      </x:c>
      <x:c r="W15" s="26" t="n">
        <x:f>'基线调整'!J13</x:f>
        <x:v>8.5</x:v>
      </x:c>
      <x:c r="X15" s="22" t="str">
        <x:v>["S0364"]</x:v>
      </x:c>
      <x:c r="Y15" s="22" t="str">
        <x:v>evidence/student_evidence.jsonl；student_key=2025秋:258878</x:v>
      </x:c>
      <x:c r="Z15" s="26" t="n">
        <x:f>IF(OR(B15="s3",B15="s6"),COUNTIFS($B$6:$B$179,B15,$K$6:$K$179,"&gt;"&amp;K15)+(COUNTIFS($B$6:$B$179,B15,$K$6:$K$179,K15)+1)/2,"NA")</x:f>
        <x:v>8.5</x:v>
      </x:c>
      <x:c r="AA15" s="26" t="n">
        <x:f>IF(OR(B15="s3",B15="s6"),COUNTIFS($B$6:$B$179,B15,$M$6:$M$179,"&gt;"&amp;M15)+(COUNTIFS($B$6:$B$179,B15,$M$6:$M$179,M15)+1)/2,"NA")</x:f>
        <x:v>8.5</x:v>
      </x:c>
      <x:c r="AB15" s="26" t="n">
        <x:f>IF(OR(B15="s3",B15="s6"),COUNTIFS($B$6:$B$179,B15,$O$6:$O$179,"&gt;"&amp;O15)+(COUNTIFS($B$6:$B$179,B15,$O$6:$O$179,O15)+1)/2,"NA")</x:f>
        <x:v>8.5</x:v>
      </x:c>
      <x:c r="AC15" s="26" t="n">
        <x:f>IF(OR(B15="s3",B15="s6"),COUNTIFS($B$6:$B$179,B15,$Q$6:$Q$179,"&gt;"&amp;Q15)+(COUNTIFS($B$6:$B$179,B15,$Q$6:$Q$179,Q15)+1)/2,"NA")</x:f>
        <x:v>11.5</x:v>
      </x:c>
    </x:row>
    <x:row r="16" ht="23" customHeight="1">
      <x:c r="A16" s="21" t="str">
        <x:v>2025秋:258888</x:v>
      </x:c>
      <x:c r="B16" s="22" t="str">
        <x:v>s3</x:v>
      </x:c>
      <x:c r="C16" s="24" t="n">
        <x:v>2</x:v>
      </x:c>
      <x:c r="D16" s="24" t="n">
        <x:v>1</x:v>
      </x:c>
      <x:c r="E16" s="29" t="n">
        <x:f>'指标计算'!K30</x:f>
        <x:v>0.04058544532349457</x:v>
      </x:c>
      <x:c r="F16" s="29" t="n">
        <x:f>'指标计算'!L30</x:f>
        <x:v>0.48702534388193486</x:v>
      </x:c>
      <x:c r="G16" s="29" t="n">
        <x:f>'指标计算'!M30</x:f>
        <x:v>0.48702534388193486</x:v>
      </x:c>
      <x:c r="H16" s="29" t="n">
        <x:f>'指标计算'!N30</x:f>
        <x:v>1</x:v>
      </x:c>
      <x:c r="I16" s="30" t="n">
        <x:f>IF(COUNT('总览与权重'!$H$6:$K$6)=4,ROUND(100*SUMPRODUCT(E16:H16,'总览与权重'!$H$6:$K$6),12),"NA")</x:f>
        <x:v>50.698577114982</x:v>
      </x:c>
      <x:c r="J16" s="30" t="n">
        <x:f>IF(ISNUMBER(I16),COUNTIFS($I$6:$I$179,"&gt;"&amp;I16)+(COUNTIFS($I$6:$I$179,I16)+1)/2,"NA")</x:f>
        <x:v>10.5</x:v>
      </x:c>
      <x:c r="K16" s="30" t="n">
        <x:f>IF(COUNT('总览与权重'!$H$7:$K$7)=4,ROUND(100*SUMPRODUCT(E16:H16,'总览与权重'!$H$7:$K$7),12),"NA")</x:f>
        <x:v>50.033229539386</x:v>
      </x:c>
      <x:c r="L16" s="30" t="n">
        <x:f>IF(ISNUMBER(K16),COUNTIFS($K$6:$K$179,"&gt;"&amp;K16)+(COUNTIFS($K$6:$K$179,K16)+1)/2,"NA")</x:f>
        <x:v>11.5</x:v>
      </x:c>
      <x:c r="M16" s="30" t="n">
        <x:f>IF(COUNT('总览与权重'!$H$8:$K$8)=4,ROUND(100*SUMPRODUCT(E16:H16,'总览与权重'!$H$8:$K$8),12),"NA")</x:f>
        <x:v>55.495649888365</x:v>
      </x:c>
      <x:c r="N16" s="30" t="n">
        <x:f>IF(ISNUMBER(M16),COUNTIFS($M$6:$M$179,"&gt;"&amp;M16)+(COUNTIFS($M$6:$M$179,M16)+1)/2,"NA")</x:f>
        <x:v>10.5</x:v>
      </x:c>
      <x:c r="O16" s="30" t="n">
        <x:f>IF(COUNT('总览与权重'!$H$9:$K$9)=4,ROUND(100*SUMPRODUCT(E16:H16,'总览与权重'!$H$9:$K$9),12),"NA")</x:f>
        <x:v>53.657366853731</x:v>
      </x:c>
      <x:c r="P16" s="30" t="n">
        <x:f>IF(ISNUMBER(O16),COUNTIFS($O$6:$O$179,"&gt;"&amp;O16)+(COUNTIFS($O$6:$O$179,O16)+1)/2,"NA")</x:f>
        <x:v>11.5</x:v>
      </x:c>
      <x:c r="Q16" s="30" t="n">
        <x:f>IF(COUNT('总览与权重'!$H$10:$K$10)=4,ROUND(100*SUMPRODUCT(E16:H16,'总览与权重'!$H$10:$K$10),12),"NA")</x:f>
        <x:v>36.063031933692</x:v>
      </x:c>
      <x:c r="R16" s="30" t="n">
        <x:f>IF(ISNUMBER(Q16),COUNTIFS($Q$6:$Q$179,"&gt;"&amp;Q16)+(COUNTIFS($Q$6:$Q$179,Q16)+1)/2,"NA")</x:f>
        <x:v>14.5</x:v>
      </x:c>
      <x:c r="S16" s="31" t="n">
        <x:f>IF(OR(B16="s3",B16="s6"),COUNTIFS($B$6:$B$179,B16,$I$6:$I$179,"&gt;"&amp;I16)+(COUNTIFS($B$6:$B$179,B16,$I$6:$I$179,I16)+1)/2,"NA")</x:f>
        <x:v>8.5</x:v>
      </x:c>
      <x:c r="T16" s="26" t="str">
        <x:f>IF(COUNTIFS($I$6:$I$179,"&gt;"&amp;I16)&gt;=35,"非前20%",IF(COUNTIFS($I$6:$I$179,"&gt;="&amp;I16)&gt;=35,"边界同分","严格前20%"))</x:f>
        <x:v>严格前20%</x:v>
      </x:c>
      <x:c r="U16" s="26" t="str">
        <x:f>IF(COUNTIFS($I$6:$I$179,"&lt;"&amp;I16)&gt;=35,"非后20%",IF(COUNTIFS($I$6:$I$179,"&lt;="&amp;I16)&gt;=35,"边界同分","严格后20%"))</x:f>
        <x:v>非后20%</x:v>
      </x:c>
      <x:c r="V16" s="26" t="n">
        <x:f>'基线调整'!I14</x:f>
        <x:v>72.441602487379</x:v>
      </x:c>
      <x:c r="W16" s="26" t="n">
        <x:f>'基线调整'!J14</x:f>
        <x:v>8.5</x:v>
      </x:c>
      <x:c r="X16" s="22" t="str">
        <x:v>["S0190","S0365"]</x:v>
      </x:c>
      <x:c r="Y16" s="22" t="str">
        <x:v>evidence/student_evidence.jsonl；student_key=2025秋:258888</x:v>
      </x:c>
      <x:c r="Z16" s="26" t="n">
        <x:f>IF(OR(B16="s3",B16="s6"),COUNTIFS($B$6:$B$179,B16,$K$6:$K$179,"&gt;"&amp;K16)+(COUNTIFS($B$6:$B$179,B16,$K$6:$K$179,K16)+1)/2,"NA")</x:f>
        <x:v>8.5</x:v>
      </x:c>
      <x:c r="AA16" s="26" t="n">
        <x:f>IF(OR(B16="s3",B16="s6"),COUNTIFS($B$6:$B$179,B16,$M$6:$M$179,"&gt;"&amp;M16)+(COUNTIFS($B$6:$B$179,B16,$M$6:$M$179,M16)+1)/2,"NA")</x:f>
        <x:v>8.5</x:v>
      </x:c>
      <x:c r="AB16" s="26" t="n">
        <x:f>IF(OR(B16="s3",B16="s6"),COUNTIFS($B$6:$B$179,B16,$O$6:$O$179,"&gt;"&amp;O16)+(COUNTIFS($B$6:$B$179,B16,$O$6:$O$179,O16)+1)/2,"NA")</x:f>
        <x:v>8.5</x:v>
      </x:c>
      <x:c r="AC16" s="26" t="n">
        <x:f>IF(OR(B16="s3",B16="s6"),COUNTIFS($B$6:$B$179,B16,$Q$6:$Q$179,"&gt;"&amp;Q16)+(COUNTIFS($B$6:$B$179,B16,$Q$6:$Q$179,Q16)+1)/2,"NA")</x:f>
        <x:v>11.5</x:v>
      </x:c>
    </x:row>
    <x:row r="17" ht="23" customHeight="1">
      <x:c r="A17" s="21" t="str">
        <x:v>2025秋:258988</x:v>
      </x:c>
      <x:c r="B17" s="22" t="str">
        <x:v>s3</x:v>
      </x:c>
      <x:c r="C17" s="24" t="n">
        <x:v>1</x:v>
      </x:c>
      <x:c r="D17" s="24" t="n">
        <x:v>1</x:v>
      </x:c>
      <x:c r="E17" s="29" t="n">
        <x:f>'指标计算'!K57</x:f>
        <x:v>0.04026442347590832</x:v>
      </x:c>
      <x:c r="F17" s="29" t="n">
        <x:f>'指标计算'!L57</x:f>
        <x:v>0.48317308171089984</x:v>
      </x:c>
      <x:c r="G17" s="29" t="n">
        <x:f>'指标计算'!M57</x:f>
        <x:v>0.48317308171089984</x:v>
      </x:c>
      <x:c r="H17" s="29" t="n">
        <x:f>'指标计算'!N57</x:f>
        <x:v>1</x:v>
      </x:c>
      <x:c r="I17" s="30" t="n">
        <x:f>IF(COUNT('总览与权重'!$H$6:$K$6)=4,ROUND(100*SUMPRODUCT(E17:H17,'总览与权重'!$H$6:$K$6),12),"NA")</x:f>
        <x:v>50.534855972713</x:v>
      </x:c>
      <x:c r="J17" s="30" t="n">
        <x:f>IF(ISNUMBER(I17),COUNTIFS($I$6:$I$179,"&gt;"&amp;I17)+(COUNTIFS($I$6:$I$179,I17)+1)/2,"NA")</x:f>
        <x:v>12</x:v>
      </x:c>
      <x:c r="K17" s="30" t="n">
        <x:f>IF(COUNT('总览与权重'!$H$7:$K$7)=4,ROUND(100*SUMPRODUCT(E17:H17,'总览与权重'!$H$7:$K$7),12),"NA")</x:f>
        <x:v>49.795673372172</x:v>
      </x:c>
      <x:c r="L17" s="30" t="n">
        <x:f>IF(ISNUMBER(K17),COUNTIFS($K$6:$K$179,"&gt;"&amp;K17)+(COUNTIFS($K$6:$K$179,K17)+1)/2,"NA")</x:f>
        <x:v>13</x:v>
      </x:c>
      <x:c r="M17" s="30" t="n">
        <x:f>IF(COUNT('总览与权重'!$H$8:$K$8)=4,ROUND(100*SUMPRODUCT(E17:H17,'总览与权重'!$H$8:$K$8),12),"NA")</x:f>
        <x:v>55.333533855334</x:v>
      </x:c>
      <x:c r="N17" s="30" t="n">
        <x:f>IF(ISNUMBER(M17),COUNTIFS($M$6:$M$179,"&gt;"&amp;M17)+(COUNTIFS($M$6:$M$179,M17)+1)/2,"NA")</x:f>
        <x:v>12</x:v>
      </x:c>
      <x:c r="O17" s="30" t="n">
        <x:f>IF(COUNT('总览与权重'!$H$9:$K$9)=4,ROUND(100*SUMPRODUCT(E17:H17,'总览与权重'!$H$9:$K$9),12),"NA")</x:f>
        <x:v>53.47024234257</x:v>
      </x:c>
      <x:c r="P17" s="30" t="n">
        <x:f>IF(ISNUMBER(O17),COUNTIFS($O$6:$O$179,"&gt;"&amp;O17)+(COUNTIFS($O$6:$O$179,O17)+1)/2,"NA")</x:f>
        <x:v>13</x:v>
      </x:c>
      <x:c r="Q17" s="30" t="n">
        <x:f>IF(COUNT('总览与权重'!$H$10:$K$10)=4,ROUND(100*SUMPRODUCT(E17:H17,'总览与权重'!$H$10:$K$10),12),"NA")</x:f>
        <x:v>35.804864171477</x:v>
      </x:c>
      <x:c r="R17" s="30" t="n">
        <x:f>IF(ISNUMBER(Q17),COUNTIFS($Q$6:$Q$179,"&gt;"&amp;Q17)+(COUNTIFS($Q$6:$Q$179,Q17)+1)/2,"NA")</x:f>
        <x:v>16</x:v>
      </x:c>
      <x:c r="S17" s="31" t="n">
        <x:f>IF(OR(B17="s3",B17="s6"),COUNTIFS($B$6:$B$179,B17,$I$6:$I$179,"&gt;"&amp;I17)+(COUNTIFS($B$6:$B$179,B17,$I$6:$I$179,I17)+1)/2,"NA")</x:f>
        <x:v>10</x:v>
      </x:c>
      <x:c r="T17" s="26" t="str">
        <x:f>IF(COUNTIFS($I$6:$I$179,"&gt;"&amp;I17)&gt;=35,"非前20%",IF(COUNTIFS($I$6:$I$179,"&gt;="&amp;I17)&gt;=35,"边界同分","严格前20%"))</x:f>
        <x:v>严格前20%</x:v>
      </x:c>
      <x:c r="U17" s="26" t="str">
        <x:f>IF(COUNTIFS($I$6:$I$179,"&lt;"&amp;I17)&gt;=35,"非后20%",IF(COUNTIFS($I$6:$I$179,"&lt;="&amp;I17)&gt;=35,"边界同分","严格后20%"))</x:f>
        <x:v>非后20%</x:v>
      </x:c>
      <x:c r="V17" s="26" t="n">
        <x:f>'基线调整'!I15</x:f>
        <x:v>72.36034454279</x:v>
      </x:c>
      <x:c r="W17" s="26" t="n">
        <x:f>'基线调整'!J15</x:f>
        <x:v>10</x:v>
      </x:c>
      <x:c r="X17" s="22" t="str">
        <x:v>["S0315"]</x:v>
      </x:c>
      <x:c r="Y17" s="22" t="str">
        <x:v>evidence/student_evidence.jsonl；student_key=2025秋:258988</x:v>
      </x:c>
      <x:c r="Z17" s="26" t="n">
        <x:f>IF(OR(B17="s3",B17="s6"),COUNTIFS($B$6:$B$179,B17,$K$6:$K$179,"&gt;"&amp;K17)+(COUNTIFS($B$6:$B$179,B17,$K$6:$K$179,K17)+1)/2,"NA")</x:f>
        <x:v>10</x:v>
      </x:c>
      <x:c r="AA17" s="26" t="n">
        <x:f>IF(OR(B17="s3",B17="s6"),COUNTIFS($B$6:$B$179,B17,$M$6:$M$179,"&gt;"&amp;M17)+(COUNTIFS($B$6:$B$179,B17,$M$6:$M$179,M17)+1)/2,"NA")</x:f>
        <x:v>10</x:v>
      </x:c>
      <x:c r="AB17" s="26" t="n">
        <x:f>IF(OR(B17="s3",B17="s6"),COUNTIFS($B$6:$B$179,B17,$O$6:$O$179,"&gt;"&amp;O17)+(COUNTIFS($B$6:$B$179,B17,$O$6:$O$179,O17)+1)/2,"NA")</x:f>
        <x:v>10</x:v>
      </x:c>
      <x:c r="AC17" s="26" t="n">
        <x:f>IF(OR(B17="s3",B17="s6"),COUNTIFS($B$6:$B$179,B17,$Q$6:$Q$179,"&gt;"&amp;Q17)+(COUNTIFS($B$6:$B$179,B17,$Q$6:$Q$179,Q17)+1)/2,"NA")</x:f>
        <x:v>13</x:v>
      </x:c>
    </x:row>
    <x:row r="18" ht="23" customHeight="1">
      <x:c r="A18" s="21" t="str">
        <x:v>2025秋:259044</x:v>
      </x:c>
      <x:c r="B18" s="22" t="str">
        <x:v>s3</x:v>
      </x:c>
      <x:c r="C18" s="24" t="n">
        <x:v>1</x:v>
      </x:c>
      <x:c r="D18" s="24" t="n">
        <x:v>1</x:v>
      </x:c>
      <x:c r="E18" s="29" t="n">
        <x:f>'指标计算'!K69</x:f>
        <x:v>0.04012365037459734</x:v>
      </x:c>
      <x:c r="F18" s="29" t="n">
        <x:f>'指标计算'!L69</x:f>
        <x:v>0.48148380449516814</x:v>
      </x:c>
      <x:c r="G18" s="29" t="n">
        <x:f>'指标计算'!M69</x:f>
        <x:v>0.48148380449516814</x:v>
      </x:c>
      <x:c r="H18" s="29" t="n">
        <x:f>'指标计算'!N69</x:f>
        <x:v>1</x:v>
      </x:c>
      <x:c r="I18" s="30" t="n">
        <x:f>IF(COUNT('总览与权重'!$H$6:$K$6)=4,ROUND(100*SUMPRODUCT(E18:H18,'总览与权重'!$H$6:$K$6),12),"NA")</x:f>
        <x:v>50.463061691045</x:v>
      </x:c>
      <x:c r="J18" s="30" t="n">
        <x:f>IF(ISNUMBER(I18),COUNTIFS($I$6:$I$179,"&gt;"&amp;I18)+(COUNTIFS($I$6:$I$179,I18)+1)/2,"NA")</x:f>
        <x:v>13</x:v>
      </x:c>
      <x:c r="K18" s="30" t="n">
        <x:f>IF(COUNT('总览与权重'!$H$7:$K$7)=4,ROUND(100*SUMPRODUCT(E18:H18,'总览与权重'!$H$7:$K$7),12),"NA")</x:f>
        <x:v>49.691501277202</x:v>
      </x:c>
      <x:c r="L18" s="30" t="n">
        <x:f>IF(ISNUMBER(K18),COUNTIFS($K$6:$K$179,"&gt;"&amp;K18)+(COUNTIFS($K$6:$K$179,K18)+1)/2,"NA")</x:f>
        <x:v>14</x:v>
      </x:c>
      <x:c r="M18" s="30" t="n">
        <x:f>IF(COUNT('总览与权重'!$H$8:$K$8)=4,ROUND(100*SUMPRODUCT(E18:H18,'总览与权重'!$H$8:$K$8),12),"NA")</x:f>
        <x:v>55.262443439172</x:v>
      </x:c>
      <x:c r="N18" s="30" t="n">
        <x:f>IF(ISNUMBER(M18),COUNTIFS($M$6:$M$179,"&gt;"&amp;M18)+(COUNTIFS($M$6:$M$179,M18)+1)/2,"NA")</x:f>
        <x:v>13</x:v>
      </x:c>
      <x:c r="O18" s="30" t="n">
        <x:f>IF(COUNT('总览与权重'!$H$9:$K$9)=4,ROUND(100*SUMPRODUCT(E18:H18,'总览与权重'!$H$9:$K$9),12),"NA")</x:f>
        <x:v>53.388185317587</x:v>
      </x:c>
      <x:c r="P18" s="30" t="n">
        <x:f>IF(ISNUMBER(O18),COUNTIFS($O$6:$O$179,"&gt;"&amp;O18)+(COUNTIFS($O$6:$O$179,O18)+1)/2,"NA")</x:f>
        <x:v>14</x:v>
      </x:c>
      <x:c r="Q18" s="30" t="n">
        <x:f>IF(COUNT('总览与权重'!$H$10:$K$10)=4,ROUND(100*SUMPRODUCT(E18:H18,'总览与权重'!$H$10:$K$10),12),"NA")</x:f>
        <x:v>35.69165356971</x:v>
      </x:c>
      <x:c r="R18" s="30" t="n">
        <x:f>IF(ISNUMBER(Q18),COUNTIFS($Q$6:$Q$179,"&gt;"&amp;Q18)+(COUNTIFS($Q$6:$Q$179,Q18)+1)/2,"NA")</x:f>
        <x:v>17</x:v>
      </x:c>
      <x:c r="S18" s="31" t="n">
        <x:f>IF(OR(B18="s3",B18="s6"),COUNTIFS($B$6:$B$179,B18,$I$6:$I$179,"&gt;"&amp;I18)+(COUNTIFS($B$6:$B$179,B18,$I$6:$I$179,I18)+1)/2,"NA")</x:f>
        <x:v>11</x:v>
      </x:c>
      <x:c r="T18" s="26" t="str">
        <x:f>IF(COUNTIFS($I$6:$I$179,"&gt;"&amp;I18)&gt;=35,"非前20%",IF(COUNTIFS($I$6:$I$179,"&gt;="&amp;I18)&gt;=35,"边界同分","严格前20%"))</x:f>
        <x:v>严格前20%</x:v>
      </x:c>
      <x:c r="U18" s="26" t="str">
        <x:f>IF(COUNTIFS($I$6:$I$179,"&lt;"&amp;I18)&gt;=35,"非后20%",IF(COUNTIFS($I$6:$I$179,"&lt;="&amp;I18)&gt;=35,"边界同分","严格后20%"))</x:f>
        <x:v>非后20%</x:v>
      </x:c>
      <x:c r="V18" s="26" t="n">
        <x:f>'基线调整'!I16</x:f>
        <x:v>72.32384477541</x:v>
      </x:c>
      <x:c r="W18" s="26" t="n">
        <x:f>'基线调整'!J16</x:f>
        <x:v>11</x:v>
      </x:c>
      <x:c r="X18" s="22" t="str">
        <x:v>["S0074"]</x:v>
      </x:c>
      <x:c r="Y18" s="22" t="str">
        <x:v>evidence/student_evidence.jsonl；student_key=2025秋:259044</x:v>
      </x:c>
      <x:c r="Z18" s="26" t="n">
        <x:f>IF(OR(B18="s3",B18="s6"),COUNTIFS($B$6:$B$179,B18,$K$6:$K$179,"&gt;"&amp;K18)+(COUNTIFS($B$6:$B$179,B18,$K$6:$K$179,K18)+1)/2,"NA")</x:f>
        <x:v>11</x:v>
      </x:c>
      <x:c r="AA18" s="26" t="n">
        <x:f>IF(OR(B18="s3",B18="s6"),COUNTIFS($B$6:$B$179,B18,$M$6:$M$179,"&gt;"&amp;M18)+(COUNTIFS($B$6:$B$179,B18,$M$6:$M$179,M18)+1)/2,"NA")</x:f>
        <x:v>11</x:v>
      </x:c>
      <x:c r="AB18" s="26" t="n">
        <x:f>IF(OR(B18="s3",B18="s6"),COUNTIFS($B$6:$B$179,B18,$O$6:$O$179,"&gt;"&amp;O18)+(COUNTIFS($B$6:$B$179,B18,$O$6:$O$179,O18)+1)/2,"NA")</x:f>
        <x:v>11</x:v>
      </x:c>
      <x:c r="AC18" s="26" t="n">
        <x:f>IF(OR(B18="s3",B18="s6"),COUNTIFS($B$6:$B$179,B18,$Q$6:$Q$179,"&gt;"&amp;Q18)+(COUNTIFS($B$6:$B$179,B18,$Q$6:$Q$179,Q18)+1)/2,"NA")</x:f>
        <x:v>14</x:v>
      </x:c>
    </x:row>
    <x:row r="19" ht="23" customHeight="1">
      <x:c r="A19" s="21" t="str">
        <x:v>2025秋:258524</x:v>
      </x:c>
      <x:c r="B19" s="22" t="str">
        <x:v>s6</x:v>
      </x:c>
      <x:c r="C19" s="24" t="n">
        <x:v>1</x:v>
      </x:c>
      <x:c r="D19" s="24" t="n">
        <x:v>1</x:v>
      </x:c>
      <x:c r="E19" s="29" t="n">
        <x:f>'指标计算'!K19</x:f>
        <x:v>0.06666666666666667</x:v>
      </x:c>
      <x:c r="F19" s="29" t="n">
        <x:f>'指标计算'!L19</x:f>
        <x:v>0.8</x:v>
      </x:c>
      <x:c r="G19" s="29" t="n">
        <x:f>'指标计算'!M19</x:f>
        <x:v>0.8</x:v>
      </x:c>
      <x:c r="H19" s="29" t="n">
        <x:f>'指标计算'!N19</x:f>
        <x:v>0.5</x:v>
      </x:c>
      <x:c r="I19" s="30" t="n">
        <x:f>IF(COUNT('总览与权重'!$H$6:$K$6)=4,ROUND(100*SUMPRODUCT(E19:H19,'总览与权重'!$H$6:$K$6),12),"NA")</x:f>
        <x:v>49</x:v>
      </x:c>
      <x:c r="J19" s="30" t="n">
        <x:f>IF(ISNUMBER(I19),COUNTIFS($I$6:$I$179,"&gt;"&amp;I19)+(COUNTIFS($I$6:$I$179,I19)+1)/2,"NA")</x:f>
        <x:v>14</x:v>
      </x:c>
      <x:c r="K19" s="30" t="n">
        <x:f>IF(COUNT('总览与权重'!$H$7:$K$7)=4,ROUND(100*SUMPRODUCT(E19:H19,'总览与权重'!$H$7:$K$7),12),"NA")</x:f>
        <x:v>59.333333333333</x:v>
      </x:c>
      <x:c r="L19" s="30" t="n">
        <x:f>IF(ISNUMBER(K19),COUNTIFS($K$6:$K$179,"&gt;"&amp;K19)+(COUNTIFS($K$6:$K$179,K19)+1)/2,"NA")</x:f>
        <x:v>3</x:v>
      </x:c>
      <x:c r="M19" s="30" t="n">
        <x:f>IF(COUNT('总览与权重'!$H$8:$K$8)=4,ROUND(100*SUMPRODUCT(E19:H19,'总览与权重'!$H$8:$K$8),12),"NA")</x:f>
        <x:v>51.166666666667</x:v>
      </x:c>
      <x:c r="N19" s="30" t="n">
        <x:f>IF(ISNUMBER(M19),COUNTIFS($M$6:$M$179,"&gt;"&amp;M19)+(COUNTIFS($M$6:$M$179,M19)+1)/2,"NA")</x:f>
        <x:v>16</x:v>
      </x:c>
      <x:c r="O19" s="30" t="n">
        <x:f>IF(COUNT('总览与权重'!$H$9:$K$9)=4,ROUND(100*SUMPRODUCT(E19:H19,'总览与权重'!$H$9:$K$9),12),"NA")</x:f>
        <x:v>53.860181961235</x:v>
      </x:c>
      <x:c r="P19" s="30" t="n">
        <x:f>IF(ISNUMBER(O19),COUNTIFS($O$6:$O$179,"&gt;"&amp;O19)+(COUNTIFS($O$6:$O$179,O19)+1)/2,"NA")</x:f>
        <x:v>9</x:v>
      </x:c>
      <x:c r="Q19" s="30" t="n">
        <x:f>IF(COUNT('总览与权重'!$H$10:$K$10)=4,ROUND(100*SUMPRODUCT(E19:H19,'总览与权重'!$H$10:$K$10),12),"NA")</x:f>
        <x:v>55.325729550296</x:v>
      </x:c>
      <x:c r="R19" s="30" t="n">
        <x:f>IF(ISNUMBER(Q19),COUNTIFS($Q$6:$Q$179,"&gt;"&amp;Q19)+(COUNTIFS($Q$6:$Q$179,Q19)+1)/2,"NA")</x:f>
        <x:v>3</x:v>
      </x:c>
      <x:c r="S19" s="31" t="n">
        <x:f>IF(OR(B19="s3",B19="s6"),COUNTIFS($B$6:$B$179,B19,$I$6:$I$179,"&gt;"&amp;I19)+(COUNTIFS($B$6:$B$179,B19,$I$6:$I$179,I19)+1)/2,"NA")</x:f>
        <x:v>3</x:v>
      </x:c>
      <x:c r="T19" s="26" t="str">
        <x:f>IF(COUNTIFS($I$6:$I$179,"&gt;"&amp;I19)&gt;=35,"非前20%",IF(COUNTIFS($I$6:$I$179,"&gt;="&amp;I19)&gt;=35,"边界同分","严格前20%"))</x:f>
        <x:v>严格前20%</x:v>
      </x:c>
      <x:c r="U19" s="26" t="str">
        <x:f>IF(COUNTIFS($I$6:$I$179,"&lt;"&amp;I19)&gt;=35,"非后20%",IF(COUNTIFS($I$6:$I$179,"&lt;="&amp;I19)&gt;=35,"边界同分","严格后20%"))</x:f>
        <x:v>非后20%</x:v>
      </x:c>
      <x:c r="V19" s="26" t="n">
        <x:f>'基线调整'!I62</x:f>
        <x:v>63.902</x:v>
      </x:c>
      <x:c r="W19" s="26" t="n">
        <x:f>'基线调整'!J62</x:f>
        <x:v>57</x:v>
      </x:c>
      <x:c r="X19" s="22" t="str">
        <x:v>["S0041"]</x:v>
      </x:c>
      <x:c r="Y19" s="22" t="str">
        <x:v>evidence/student_evidence.jsonl；student_key=2025秋:258524</x:v>
      </x:c>
      <x:c r="Z19" s="26" t="n">
        <x:f>IF(OR(B19="s3",B19="s6"),COUNTIFS($B$6:$B$179,B19,$K$6:$K$179,"&gt;"&amp;K19)+(COUNTIFS($B$6:$B$179,B19,$K$6:$K$179,K19)+1)/2,"NA")</x:f>
        <x:v>3</x:v>
      </x:c>
      <x:c r="AA19" s="26" t="n">
        <x:f>IF(OR(B19="s3",B19="s6"),COUNTIFS($B$6:$B$179,B19,$M$6:$M$179,"&gt;"&amp;M19)+(COUNTIFS($B$6:$B$179,B19,$M$6:$M$179,M19)+1)/2,"NA")</x:f>
        <x:v>3</x:v>
      </x:c>
      <x:c r="AB19" s="26" t="n">
        <x:f>IF(OR(B19="s3",B19="s6"),COUNTIFS($B$6:$B$179,B19,$O$6:$O$179,"&gt;"&amp;O19)+(COUNTIFS($B$6:$B$179,B19,$O$6:$O$179,O19)+1)/2,"NA")</x:f>
        <x:v>3</x:v>
      </x:c>
      <x:c r="AC19" s="26" t="n">
        <x:f>IF(OR(B19="s3",B19="s6"),COUNTIFS($B$6:$B$179,B19,$Q$6:$Q$179,"&gt;"&amp;Q19)+(COUNTIFS($B$6:$B$179,B19,$Q$6:$Q$179,Q19)+1)/2,"NA")</x:f>
        <x:v>3</x:v>
      </x:c>
    </x:row>
    <x:row r="20" ht="23" customHeight="1">
      <x:c r="A20" s="21" t="str">
        <x:v>2025秋:258430</x:v>
      </x:c>
      <x:c r="B20" s="22" t="str">
        <x:v>s3</x:v>
      </x:c>
      <x:c r="C20" s="24" t="n">
        <x:v>1</x:v>
      </x:c>
      <x:c r="D20" s="24" t="n">
        <x:v>1</x:v>
      </x:c>
      <x:c r="E20" s="29" t="n">
        <x:f>'指标计算'!K14</x:f>
        <x:v>0.03591568915660336</x:v>
      </x:c>
      <x:c r="F20" s="29" t="n">
        <x:f>'指标计算'!L14</x:f>
        <x:v>0.4309882698792403</x:v>
      </x:c>
      <x:c r="G20" s="29" t="n">
        <x:f>'指标计算'!M14</x:f>
        <x:v>0.4309882698792403</x:v>
      </x:c>
      <x:c r="H20" s="29" t="n">
        <x:f>'指标计算'!N14</x:f>
        <x:v>1</x:v>
      </x:c>
      <x:c r="I20" s="30" t="n">
        <x:f>IF(COUNT('总览与权重'!$H$6:$K$6)=4,ROUND(100*SUMPRODUCT(E20:H20,'总览与权重'!$H$6:$K$6),12),"NA")</x:f>
        <x:v>48.317001469868</x:v>
      </x:c>
      <x:c r="J20" s="30" t="n">
        <x:f>IF(ISNUMBER(I20),COUNTIFS($I$6:$I$179,"&gt;"&amp;I20)+(COUNTIFS($I$6:$I$179,I20)+1)/2,"NA")</x:f>
        <x:v>15</x:v>
      </x:c>
      <x:c r="K20" s="30" t="n">
        <x:f>IF(COUNT('总览与权重'!$H$7:$K$7)=4,ROUND(100*SUMPRODUCT(E20:H20,'总览与权重'!$H$7:$K$7),12),"NA")</x:f>
        <x:v>46.577609975886</x:v>
      </x:c>
      <x:c r="L20" s="30" t="n">
        <x:f>IF(ISNUMBER(K20),COUNTIFS($K$6:$K$179,"&gt;"&amp;K20)+(COUNTIFS($K$6:$K$179,K20)+1)/2,"NA")</x:f>
        <x:v>15</x:v>
      </x:c>
      <x:c r="M20" s="30" t="n">
        <x:f>IF(COUNT('总览与权重'!$H$8:$K$8)=4,ROUND(100*SUMPRODUCT(E20:H20,'总览与权重'!$H$8:$K$8),12),"NA")</x:f>
        <x:v>53.137423024085</x:v>
      </x:c>
      <x:c r="N20" s="30" t="n">
        <x:f>IF(ISNUMBER(M20),COUNTIFS($M$6:$M$179,"&gt;"&amp;M20)+(COUNTIFS($M$6:$M$179,M20)+1)/2,"NA")</x:f>
        <x:v>14</x:v>
      </x:c>
      <x:c r="O20" s="30" t="n">
        <x:f>IF(COUNT('总览与权重'!$H$9:$K$9)=4,ROUND(100*SUMPRODUCT(E20:H20,'总览与权重'!$H$9:$K$9),12),"NA")</x:f>
        <x:v>50.935353238331</x:v>
      </x:c>
      <x:c r="P20" s="30" t="n">
        <x:f>IF(ISNUMBER(O20),COUNTIFS($O$6:$O$179,"&gt;"&amp;O20)+(COUNTIFS($O$6:$O$179,O20)+1)/2,"NA")</x:f>
        <x:v>15</x:v>
      </x:c>
      <x:c r="Q20" s="30" t="n">
        <x:f>IF(COUNT('总览与权重'!$H$10:$K$10)=4,ROUND(100*SUMPRODUCT(E20:H20,'总览与权重'!$H$10:$K$10),12),"NA")</x:f>
        <x:v>32.307585041959</x:v>
      </x:c>
      <x:c r="R20" s="30" t="n">
        <x:f>IF(ISNUMBER(Q20),COUNTIFS($Q$6:$Q$179,"&gt;"&amp;Q20)+(COUNTIFS($Q$6:$Q$179,Q20)+1)/2,"NA")</x:f>
        <x:v>22</x:v>
      </x:c>
      <x:c r="S20" s="31" t="n">
        <x:f>IF(OR(B20="s3",B20="s6"),COUNTIFS($B$6:$B$179,B20,$I$6:$I$179,"&gt;"&amp;I20)+(COUNTIFS($B$6:$B$179,B20,$I$6:$I$179,I20)+1)/2,"NA")</x:f>
        <x:v>12</x:v>
      </x:c>
      <x:c r="T20" s="26" t="str">
        <x:f>IF(COUNTIFS($I$6:$I$179,"&gt;"&amp;I20)&gt;=35,"非前20%",IF(COUNTIFS($I$6:$I$179,"&gt;="&amp;I20)&gt;=35,"边界同分","严格前20%"))</x:f>
        <x:v>严格前20%</x:v>
      </x:c>
      <x:c r="U20" s="26" t="str">
        <x:f>IF(COUNTIFS($I$6:$I$179,"&lt;"&amp;I20)&gt;=35,"非后20%",IF(COUNTIFS($I$6:$I$179,"&lt;="&amp;I20)&gt;=35,"边界同分","严格后20%"))</x:f>
        <x:v>非后20%</x:v>
      </x:c>
      <x:c r="V20" s="26" t="n">
        <x:f>'基线调整'!I17</x:f>
        <x:v>72.128575997055</x:v>
      </x:c>
      <x:c r="W20" s="26" t="n">
        <x:f>'基线调整'!J17</x:f>
        <x:v>12</x:v>
      </x:c>
      <x:c r="X20" s="22" t="str">
        <x:v>["S0052"]</x:v>
      </x:c>
      <x:c r="Y20" s="22" t="str">
        <x:v>evidence/student_evidence.jsonl；student_key=2025秋:258430</x:v>
      </x:c>
      <x:c r="Z20" s="26" t="n">
        <x:f>IF(OR(B20="s3",B20="s6"),COUNTIFS($B$6:$B$179,B20,$K$6:$K$179,"&gt;"&amp;K20)+(COUNTIFS($B$6:$B$179,B20,$K$6:$K$179,K20)+1)/2,"NA")</x:f>
        <x:v>12</x:v>
      </x:c>
      <x:c r="AA20" s="26" t="n">
        <x:f>IF(OR(B20="s3",B20="s6"),COUNTIFS($B$6:$B$179,B20,$M$6:$M$179,"&gt;"&amp;M20)+(COUNTIFS($B$6:$B$179,B20,$M$6:$M$179,M20)+1)/2,"NA")</x:f>
        <x:v>12</x:v>
      </x:c>
      <x:c r="AB20" s="26" t="n">
        <x:f>IF(OR(B20="s3",B20="s6"),COUNTIFS($B$6:$B$179,B20,$O$6:$O$179,"&gt;"&amp;O20)+(COUNTIFS($B$6:$B$179,B20,$O$6:$O$179,O20)+1)/2,"NA")</x:f>
        <x:v>12</x:v>
      </x:c>
      <x:c r="AC20" s="26" t="n">
        <x:f>IF(OR(B20="s3",B20="s6"),COUNTIFS($B$6:$B$179,B20,$Q$6:$Q$179,"&gt;"&amp;Q20)+(COUNTIFS($B$6:$B$179,B20,$Q$6:$Q$179,Q20)+1)/2,"NA")</x:f>
        <x:v>19</x:v>
      </x:c>
    </x:row>
    <x:row r="21" ht="23" customHeight="1">
      <x:c r="A21" s="21" t="str">
        <x:v>2025秋:258858</x:v>
      </x:c>
      <x:c r="B21" s="22" t="str">
        <x:v>s3</x:v>
      </x:c>
      <x:c r="C21" s="24" t="n">
        <x:v>2</x:v>
      </x:c>
      <x:c r="D21" s="24" t="n">
        <x:v>2</x:v>
      </x:c>
      <x:c r="E21" s="29" t="n">
        <x:f>'指标计算'!K23</x:f>
        <x:v>0.06474774655278542</x:v>
      </x:c>
      <x:c r="F21" s="29" t="n">
        <x:f>'指标计算'!L23</x:f>
        <x:v>0.38848647931671254</x:v>
      </x:c>
      <x:c r="G21" s="29" t="n">
        <x:f>'指标计算'!M23</x:f>
        <x:v>0.39716293421726345</x:v>
      </x:c>
      <x:c r="H21" s="29" t="n">
        <x:f>'指标计算'!N23</x:f>
        <x:v>1</x:v>
      </x:c>
      <x:c r="I21" s="30" t="n">
        <x:f>IF(COUNT('总览与权重'!$H$6:$K$6)=4,ROUND(100*SUMPRODUCT(E21:H21,'总览与权重'!$H$6:$K$6),12),"NA")</x:f>
        <x:v>47.61203839276</x:v>
      </x:c>
      <x:c r="J21" s="30" t="n">
        <x:f>IF(ISNUMBER(I21),COUNTIFS($I$6:$I$179,"&gt;"&amp;I21)+(COUNTIFS($I$6:$I$179,I21)+1)/2,"NA")</x:f>
        <x:v>16</x:v>
      </x:c>
      <x:c r="K21" s="30" t="n">
        <x:f>IF(COUNT('总览与权重'!$H$7:$K$7)=4,ROUND(100*SUMPRODUCT(E21:H21,'总览与权重'!$H$7:$K$7),12),"NA")</x:f>
        <x:v>44.951201886081</x:v>
      </x:c>
      <x:c r="L21" s="30" t="n">
        <x:f>IF(ISNUMBER(K21),COUNTIFS($K$6:$K$179,"&gt;"&amp;K21)+(COUNTIFS($K$6:$K$179,K21)+1)/2,"NA")</x:f>
        <x:v>17</x:v>
      </x:c>
      <x:c r="M21" s="30" t="n">
        <x:f>IF(COUNT('总览与权重'!$H$8:$K$8)=4,ROUND(100*SUMPRODUCT(E21:H21,'总览与权重'!$H$8:$K$8),12),"NA")</x:f>
        <x:v>52.244917385494</x:v>
      </x:c>
      <x:c r="N21" s="30" t="n">
        <x:f>IF(ISNUMBER(M21),COUNTIFS($M$6:$M$179,"&gt;"&amp;M21)+(COUNTIFS($M$6:$M$179,M21)+1)/2,"NA")</x:f>
        <x:v>15</x:v>
      </x:c>
      <x:c r="O21" s="30" t="n">
        <x:f>IF(COUNT('总览与权重'!$H$9:$K$9)=4,ROUND(100*SUMPRODUCT(E21:H21,'总览与权重'!$H$9:$K$9),12),"NA")</x:f>
        <x:v>49.828104772709</x:v>
      </x:c>
      <x:c r="P21" s="30" t="n">
        <x:f>IF(ISNUMBER(O21),COUNTIFS($O$6:$O$179,"&gt;"&amp;O21)+(COUNTIFS($O$6:$O$179,O21)+1)/2,"NA")</x:f>
        <x:v>16</x:v>
      </x:c>
      <x:c r="Q21" s="30" t="n">
        <x:f>IF(COUNT('总览与权重'!$H$10:$K$10)=4,ROUND(100*SUMPRODUCT(E21:H21,'总览与权重'!$H$10:$K$10),12),"NA")</x:f>
        <x:v>30.779961232484</x:v>
      </x:c>
      <x:c r="R21" s="30" t="n">
        <x:f>IF(ISNUMBER(Q21),COUNTIFS($Q$6:$Q$179,"&gt;"&amp;Q21)+(COUNTIFS($Q$6:$Q$179,Q21)+1)/2,"NA")</x:f>
        <x:v>23</x:v>
      </x:c>
      <x:c r="S21" s="31" t="n">
        <x:f>IF(OR(B21="s3",B21="s6"),COUNTIFS($B$6:$B$179,B21,$I$6:$I$179,"&gt;"&amp;I21)+(COUNTIFS($B$6:$B$179,B21,$I$6:$I$179,I21)+1)/2,"NA")</x:f>
        <x:v>13</x:v>
      </x:c>
      <x:c r="T21" s="26" t="str">
        <x:f>IF(COUNTIFS($I$6:$I$179,"&gt;"&amp;I21)&gt;=35,"非前20%",IF(COUNTIFS($I$6:$I$179,"&gt;="&amp;I21)&gt;=35,"边界同分","严格前20%"))</x:f>
        <x:v>严格前20%</x:v>
      </x:c>
      <x:c r="U21" s="26" t="str">
        <x:f>IF(COUNTIFS($I$6:$I$179,"&lt;"&amp;I21)&gt;=35,"非后20%",IF(COUNTIFS($I$6:$I$179,"&lt;="&amp;I21)&gt;=35,"边界同分","严格后20%"))</x:f>
        <x:v>非后20%</x:v>
      </x:c>
      <x:c r="V21" s="26" t="n">
        <x:f>'基线调整'!I18</x:f>
        <x:v>71.252575774254</x:v>
      </x:c>
      <x:c r="W21" s="26" t="n">
        <x:f>'基线调整'!J18</x:f>
        <x:v>13</x:v>
      </x:c>
      <x:c r="X21" s="22" t="str">
        <x:v>["S0103","S0232"]</x:v>
      </x:c>
      <x:c r="Y21" s="22" t="str">
        <x:v>evidence/student_evidence.jsonl；student_key=2025秋:258858</x:v>
      </x:c>
      <x:c r="Z21" s="26" t="n">
        <x:f>IF(OR(B21="s3",B21="s6"),COUNTIFS($B$6:$B$179,B21,$K$6:$K$179,"&gt;"&amp;K21)+(COUNTIFS($B$6:$B$179,B21,$K$6:$K$179,K21)+1)/2,"NA")</x:f>
        <x:v>14</x:v>
      </x:c>
      <x:c r="AA21" s="26" t="n">
        <x:f>IF(OR(B21="s3",B21="s6"),COUNTIFS($B$6:$B$179,B21,$M$6:$M$179,"&gt;"&amp;M21)+(COUNTIFS($B$6:$B$179,B21,$M$6:$M$179,M21)+1)/2,"NA")</x:f>
        <x:v>13</x:v>
      </x:c>
      <x:c r="AB21" s="26" t="n">
        <x:f>IF(OR(B21="s3",B21="s6"),COUNTIFS($B$6:$B$179,B21,$O$6:$O$179,"&gt;"&amp;O21)+(COUNTIFS($B$6:$B$179,B21,$O$6:$O$179,O21)+1)/2,"NA")</x:f>
        <x:v>13</x:v>
      </x:c>
      <x:c r="AC21" s="26" t="n">
        <x:f>IF(OR(B21="s3",B21="s6"),COUNTIFS($B$6:$B$179,B21,$Q$6:$Q$179,"&gt;"&amp;Q21)+(COUNTIFS($B$6:$B$179,B21,$Q$6:$Q$179,Q21)+1)/2,"NA")</x:f>
        <x:v>20</x:v>
      </x:c>
    </x:row>
    <x:row r="22" ht="23" customHeight="1">
      <x:c r="A22" s="21" t="str">
        <x:v>2025秋:259112</x:v>
      </x:c>
      <x:c r="B22" s="22" t="str">
        <x:v>s3</x:v>
      </x:c>
      <x:c r="C22" s="24" t="n">
        <x:v>1</x:v>
      </x:c>
      <x:c r="D22" s="24" t="n">
        <x:v>1</x:v>
      </x:c>
      <x:c r="E22" s="29" t="n">
        <x:f>'指标计算'!K77</x:f>
        <x:v>0.03182369801389313</x:v>
      </x:c>
      <x:c r="F22" s="29" t="n">
        <x:f>'指标计算'!L77</x:f>
        <x:v>0.3818843761667175</x:v>
      </x:c>
      <x:c r="G22" s="29" t="n">
        <x:f>'指标计算'!M77</x:f>
        <x:v>0.3818843761667175</x:v>
      </x:c>
      <x:c r="H22" s="29" t="n">
        <x:f>'指标计算'!N77</x:f>
        <x:v>1</x:v>
      </x:c>
      <x:c r="I22" s="30" t="n">
        <x:f>IF(COUNT('总览与权重'!$H$6:$K$6)=4,ROUND(100*SUMPRODUCT(E22:H22,'总览与权重'!$H$6:$K$6),12),"NA")</x:f>
        <x:v>46.230085987085</x:v>
      </x:c>
      <x:c r="J22" s="30" t="n">
        <x:f>IF(ISNUMBER(I22),COUNTIFS($I$6:$I$179,"&gt;"&amp;I22)+(COUNTIFS($I$6:$I$179,I22)+1)/2,"NA")</x:f>
        <x:v>18</x:v>
      </x:c>
      <x:c r="K22" s="30" t="n">
        <x:f>IF(COUNT('总览与权重'!$H$7:$K$7)=4,ROUND(100*SUMPRODUCT(E22:H22,'总览与权重'!$H$7:$K$7),12),"NA")</x:f>
        <x:v>43.549536530281</x:v>
      </x:c>
      <x:c r="L22" s="30" t="n">
        <x:f>IF(ISNUMBER(K22),COUNTIFS($K$6:$K$179,"&gt;"&amp;K22)+(COUNTIFS($K$6:$K$179,K22)+1)/2,"NA")</x:f>
        <x:v>20</x:v>
      </x:c>
      <x:c r="M22" s="30" t="n">
        <x:f>IF(COUNT('总览与权重'!$H$8:$K$8)=4,ROUND(100*SUMPRODUCT(E22:H22,'总览与权重'!$H$8:$K$8),12),"NA")</x:f>
        <x:v>51.070967497016</x:v>
      </x:c>
      <x:c r="N22" s="30" t="n">
        <x:f>IF(ISNUMBER(M22),COUNTIFS($M$6:$M$179,"&gt;"&amp;M22)+(COUNTIFS($M$6:$M$179,M22)+1)/2,"NA")</x:f>
        <x:v>18</x:v>
      </x:c>
      <x:c r="O22" s="30" t="n">
        <x:f>IF(COUNT('总览与权重'!$H$9:$K$9)=4,ROUND(100*SUMPRODUCT(E22:H22,'总览与权重'!$H$9:$K$9),12),"NA")</x:f>
        <x:v>48.550120432489</x:v>
      </x:c>
      <x:c r="P22" s="30" t="n">
        <x:f>IF(ISNUMBER(O22),COUNTIFS($O$6:$O$179,"&gt;"&amp;O22)+(COUNTIFS($O$6:$O$179,O22)+1)/2,"NA")</x:f>
        <x:v>18</x:v>
      </x:c>
      <x:c r="Q22" s="30" t="n">
        <x:f>IF(COUNT('总览与权重'!$H$10:$K$10)=4,ROUND(100*SUMPRODUCT(E22:H22,'总览与权重'!$H$10:$K$10),12),"NA")</x:f>
        <x:v>29.016780368506</x:v>
      </x:c>
      <x:c r="R22" s="30" t="n">
        <x:f>IF(ISNUMBER(Q22),COUNTIFS($Q$6:$Q$179,"&gt;"&amp;Q22)+(COUNTIFS($Q$6:$Q$179,Q22)+1)/2,"NA")</x:f>
        <x:v>25</x:v>
      </x:c>
      <x:c r="S22" s="31" t="n">
        <x:f>IF(OR(B22="s3",B22="s6"),COUNTIFS($B$6:$B$179,B22,$I$6:$I$179,"&gt;"&amp;I22)+(COUNTIFS($B$6:$B$179,B22,$I$6:$I$179,I22)+1)/2,"NA")</x:f>
        <x:v>15</x:v>
      </x:c>
      <x:c r="T22" s="26" t="str">
        <x:f>IF(COUNTIFS($I$6:$I$179,"&gt;"&amp;I22)&gt;=35,"非前20%",IF(COUNTIFS($I$6:$I$179,"&gt;="&amp;I22)&gt;=35,"边界同分","严格前20%"))</x:f>
        <x:v>严格前20%</x:v>
      </x:c>
      <x:c r="U22" s="26" t="str">
        <x:f>IF(COUNTIFS($I$6:$I$179,"&lt;"&amp;I22)&gt;=35,"非后20%",IF(COUNTIFS($I$6:$I$179,"&lt;="&amp;I22)&gt;=35,"边界同分","严格后20%"))</x:f>
        <x:v>非后20%</x:v>
      </x:c>
      <x:c r="V22" s="26" t="n">
        <x:f>'基线调整'!I19</x:f>
        <x:v>70.20735692343</x:v>
      </x:c>
      <x:c r="W22" s="26" t="n">
        <x:f>'基线调整'!J19</x:f>
        <x:v>14.5</x:v>
      </x:c>
      <x:c r="X22" s="22" t="str">
        <x:v>["S0204"]</x:v>
      </x:c>
      <x:c r="Y22" s="22" t="str">
        <x:v>evidence/student_evidence.jsonl；student_key=2025秋:259112</x:v>
      </x:c>
      <x:c r="Z22" s="26" t="n">
        <x:f>IF(OR(B22="s3",B22="s6"),COUNTIFS($B$6:$B$179,B22,$K$6:$K$179,"&gt;"&amp;K22)+(COUNTIFS($B$6:$B$179,B22,$K$6:$K$179,K22)+1)/2,"NA")</x:f>
        <x:v>17</x:v>
      </x:c>
      <x:c r="AA22" s="26" t="n">
        <x:f>IF(OR(B22="s3",B22="s6"),COUNTIFS($B$6:$B$179,B22,$M$6:$M$179,"&gt;"&amp;M22)+(COUNTIFS($B$6:$B$179,B22,$M$6:$M$179,M22)+1)/2,"NA")</x:f>
        <x:v>15</x:v>
      </x:c>
      <x:c r="AB22" s="26" t="n">
        <x:f>IF(OR(B22="s3",B22="s6"),COUNTIFS($B$6:$B$179,B22,$O$6:$O$179,"&gt;"&amp;O22)+(COUNTIFS($B$6:$B$179,B22,$O$6:$O$179,O22)+1)/2,"NA")</x:f>
        <x:v>15</x:v>
      </x:c>
      <x:c r="AC22" s="26" t="n">
        <x:f>IF(OR(B22="s3",B22="s6"),COUNTIFS($B$6:$B$179,B22,$Q$6:$Q$179,"&gt;"&amp;Q22)+(COUNTIFS($B$6:$B$179,B22,$Q$6:$Q$179,Q22)+1)/2,"NA")</x:f>
        <x:v>22</x:v>
      </x:c>
    </x:row>
    <x:row r="23" ht="23" customHeight="1">
      <x:c r="A23" s="21" t="str">
        <x:v>2025秋:259952</x:v>
      </x:c>
      <x:c r="B23" s="22" t="str">
        <x:v>s3</x:v>
      </x:c>
      <x:c r="C23" s="24" t="n">
        <x:v>1</x:v>
      </x:c>
      <x:c r="D23" s="24" t="n">
        <x:v>1</x:v>
      </x:c>
      <x:c r="E23" s="29" t="n">
        <x:f>'指标计算'!K130</x:f>
        <x:v>0.03182369801389313</x:v>
      </x:c>
      <x:c r="F23" s="29" t="n">
        <x:f>'指标计算'!L130</x:f>
        <x:v>0.3818843761667175</x:v>
      </x:c>
      <x:c r="G23" s="29" t="n">
        <x:f>'指标计算'!M130</x:f>
        <x:v>0.3818843761667175</x:v>
      </x:c>
      <x:c r="H23" s="29" t="n">
        <x:f>'指标计算'!N130</x:f>
        <x:v>1</x:v>
      </x:c>
      <x:c r="I23" s="30" t="n">
        <x:f>IF(COUNT('总览与权重'!$H$6:$K$6)=4,ROUND(100*SUMPRODUCT(E23:H23,'总览与权重'!$H$6:$K$6),12),"NA")</x:f>
        <x:v>46.230085987085</x:v>
      </x:c>
      <x:c r="J23" s="30" t="n">
        <x:f>IF(ISNUMBER(I23),COUNTIFS($I$6:$I$179,"&gt;"&amp;I23)+(COUNTIFS($I$6:$I$179,I23)+1)/2,"NA")</x:f>
        <x:v>18</x:v>
      </x:c>
      <x:c r="K23" s="30" t="n">
        <x:f>IF(COUNT('总览与权重'!$H$7:$K$7)=4,ROUND(100*SUMPRODUCT(E23:H23,'总览与权重'!$H$7:$K$7),12),"NA")</x:f>
        <x:v>43.549536530281</x:v>
      </x:c>
      <x:c r="L23" s="30" t="n">
        <x:f>IF(ISNUMBER(K23),COUNTIFS($K$6:$K$179,"&gt;"&amp;K23)+(COUNTIFS($K$6:$K$179,K23)+1)/2,"NA")</x:f>
        <x:v>20</x:v>
      </x:c>
      <x:c r="M23" s="30" t="n">
        <x:f>IF(COUNT('总览与权重'!$H$8:$K$8)=4,ROUND(100*SUMPRODUCT(E23:H23,'总览与权重'!$H$8:$K$8),12),"NA")</x:f>
        <x:v>51.070967497016</x:v>
      </x:c>
      <x:c r="N23" s="30" t="n">
        <x:f>IF(ISNUMBER(M23),COUNTIFS($M$6:$M$179,"&gt;"&amp;M23)+(COUNTIFS($M$6:$M$179,M23)+1)/2,"NA")</x:f>
        <x:v>18</x:v>
      </x:c>
      <x:c r="O23" s="30" t="n">
        <x:f>IF(COUNT('总览与权重'!$H$9:$K$9)=4,ROUND(100*SUMPRODUCT(E23:H23,'总览与权重'!$H$9:$K$9),12),"NA")</x:f>
        <x:v>48.550120432489</x:v>
      </x:c>
      <x:c r="P23" s="30" t="n">
        <x:f>IF(ISNUMBER(O23),COUNTIFS($O$6:$O$179,"&gt;"&amp;O23)+(COUNTIFS($O$6:$O$179,O23)+1)/2,"NA")</x:f>
        <x:v>18</x:v>
      </x:c>
      <x:c r="Q23" s="30" t="n">
        <x:f>IF(COUNT('总览与权重'!$H$10:$K$10)=4,ROUND(100*SUMPRODUCT(E23:H23,'总览与权重'!$H$10:$K$10),12),"NA")</x:f>
        <x:v>29.016780368506</x:v>
      </x:c>
      <x:c r="R23" s="30" t="n">
        <x:f>IF(ISNUMBER(Q23),COUNTIFS($Q$6:$Q$179,"&gt;"&amp;Q23)+(COUNTIFS($Q$6:$Q$179,Q23)+1)/2,"NA")</x:f>
        <x:v>25</x:v>
      </x:c>
      <x:c r="S23" s="31" t="n">
        <x:f>IF(OR(B23="s3",B23="s6"),COUNTIFS($B$6:$B$179,B23,$I$6:$I$179,"&gt;"&amp;I23)+(COUNTIFS($B$6:$B$179,B23,$I$6:$I$179,I23)+1)/2,"NA")</x:f>
        <x:v>15</x:v>
      </x:c>
      <x:c r="T23" s="26" t="str">
        <x:f>IF(COUNTIFS($I$6:$I$179,"&gt;"&amp;I23)&gt;=35,"非前20%",IF(COUNTIFS($I$6:$I$179,"&gt;="&amp;I23)&gt;=35,"边界同分","严格前20%"))</x:f>
        <x:v>严格前20%</x:v>
      </x:c>
      <x:c r="U23" s="26" t="str">
        <x:f>IF(COUNTIFS($I$6:$I$179,"&lt;"&amp;I23)&gt;=35,"非后20%",IF(COUNTIFS($I$6:$I$179,"&lt;="&amp;I23)&gt;=35,"边界同分","严格后20%"))</x:f>
        <x:v>非后20%</x:v>
      </x:c>
      <x:c r="V23" s="26" t="str">
        <x:v>NA</x:v>
      </x:c>
      <x:c r="W23" s="26" t="str">
        <x:v>NA</x:v>
      </x:c>
      <x:c r="X23" s="22" t="str">
        <x:v>["S0277"]</x:v>
      </x:c>
      <x:c r="Y23" s="22" t="str">
        <x:v>evidence/student_evidence.jsonl；student_key=2025秋:259952</x:v>
      </x:c>
      <x:c r="Z23" s="26" t="n">
        <x:f>IF(OR(B23="s3",B23="s6"),COUNTIFS($B$6:$B$179,B23,$K$6:$K$179,"&gt;"&amp;K23)+(COUNTIFS($B$6:$B$179,B23,$K$6:$K$179,K23)+1)/2,"NA")</x:f>
        <x:v>17</x:v>
      </x:c>
      <x:c r="AA23" s="26" t="n">
        <x:f>IF(OR(B23="s3",B23="s6"),COUNTIFS($B$6:$B$179,B23,$M$6:$M$179,"&gt;"&amp;M23)+(COUNTIFS($B$6:$B$179,B23,$M$6:$M$179,M23)+1)/2,"NA")</x:f>
        <x:v>15</x:v>
      </x:c>
      <x:c r="AB23" s="26" t="n">
        <x:f>IF(OR(B23="s3",B23="s6"),COUNTIFS($B$6:$B$179,B23,$O$6:$O$179,"&gt;"&amp;O23)+(COUNTIFS($B$6:$B$179,B23,$O$6:$O$179,O23)+1)/2,"NA")</x:f>
        <x:v>15</x:v>
      </x:c>
      <x:c r="AC23" s="26" t="n">
        <x:f>IF(OR(B23="s3",B23="s6"),COUNTIFS($B$6:$B$179,B23,$Q$6:$Q$179,"&gt;"&amp;Q23)+(COUNTIFS($B$6:$B$179,B23,$Q$6:$Q$179,Q23)+1)/2,"NA")</x:f>
        <x:v>22</x:v>
      </x:c>
    </x:row>
    <x:row r="24" ht="23" customHeight="1">
      <x:c r="A24" s="21" t="str">
        <x:v>2026春:268183</x:v>
      </x:c>
      <x:c r="B24" s="22" t="str">
        <x:v>s3</x:v>
      </x:c>
      <x:c r="C24" s="24" t="n">
        <x:v>1</x:v>
      </x:c>
      <x:c r="D24" s="24" t="n">
        <x:v>1</x:v>
      </x:c>
      <x:c r="E24" s="29" t="n">
        <x:f>'指标计算'!K165</x:f>
        <x:v>0.03182369801389313</x:v>
      </x:c>
      <x:c r="F24" s="29" t="n">
        <x:f>'指标计算'!L165</x:f>
        <x:v>0.3818843761667175</x:v>
      </x:c>
      <x:c r="G24" s="29" t="n">
        <x:f>'指标计算'!M165</x:f>
        <x:v>0.3818843761667175</x:v>
      </x:c>
      <x:c r="H24" s="29" t="n">
        <x:f>'指标计算'!N165</x:f>
        <x:v>1</x:v>
      </x:c>
      <x:c r="I24" s="30" t="n">
        <x:f>IF(COUNT('总览与权重'!$H$6:$K$6)=4,ROUND(100*SUMPRODUCT(E24:H24,'总览与权重'!$H$6:$K$6),12),"NA")</x:f>
        <x:v>46.230085987085</x:v>
      </x:c>
      <x:c r="J24" s="30" t="n">
        <x:f>IF(ISNUMBER(I24),COUNTIFS($I$6:$I$179,"&gt;"&amp;I24)+(COUNTIFS($I$6:$I$179,I24)+1)/2,"NA")</x:f>
        <x:v>18</x:v>
      </x:c>
      <x:c r="K24" s="30" t="n">
        <x:f>IF(COUNT('总览与权重'!$H$7:$K$7)=4,ROUND(100*SUMPRODUCT(E24:H24,'总览与权重'!$H$7:$K$7),12),"NA")</x:f>
        <x:v>43.549536530281</x:v>
      </x:c>
      <x:c r="L24" s="30" t="n">
        <x:f>IF(ISNUMBER(K24),COUNTIFS($K$6:$K$179,"&gt;"&amp;K24)+(COUNTIFS($K$6:$K$179,K24)+1)/2,"NA")</x:f>
        <x:v>20</x:v>
      </x:c>
      <x:c r="M24" s="30" t="n">
        <x:f>IF(COUNT('总览与权重'!$H$8:$K$8)=4,ROUND(100*SUMPRODUCT(E24:H24,'总览与权重'!$H$8:$K$8),12),"NA")</x:f>
        <x:v>51.070967497016</x:v>
      </x:c>
      <x:c r="N24" s="30" t="n">
        <x:f>IF(ISNUMBER(M24),COUNTIFS($M$6:$M$179,"&gt;"&amp;M24)+(COUNTIFS($M$6:$M$179,M24)+1)/2,"NA")</x:f>
        <x:v>18</x:v>
      </x:c>
      <x:c r="O24" s="30" t="n">
        <x:f>IF(COUNT('总览与权重'!$H$9:$K$9)=4,ROUND(100*SUMPRODUCT(E24:H24,'总览与权重'!$H$9:$K$9),12),"NA")</x:f>
        <x:v>48.550120432489</x:v>
      </x:c>
      <x:c r="P24" s="30" t="n">
        <x:f>IF(ISNUMBER(O24),COUNTIFS($O$6:$O$179,"&gt;"&amp;O24)+(COUNTIFS($O$6:$O$179,O24)+1)/2,"NA")</x:f>
        <x:v>18</x:v>
      </x:c>
      <x:c r="Q24" s="30" t="n">
        <x:f>IF(COUNT('总览与权重'!$H$10:$K$10)=4,ROUND(100*SUMPRODUCT(E24:H24,'总览与权重'!$H$10:$K$10),12),"NA")</x:f>
        <x:v>29.016780368506</x:v>
      </x:c>
      <x:c r="R24" s="30" t="n">
        <x:f>IF(ISNUMBER(Q24),COUNTIFS($Q$6:$Q$179,"&gt;"&amp;Q24)+(COUNTIFS($Q$6:$Q$179,Q24)+1)/2,"NA")</x:f>
        <x:v>25</x:v>
      </x:c>
      <x:c r="S24" s="31" t="n">
        <x:f>IF(OR(B24="s3",B24="s6"),COUNTIFS($B$6:$B$179,B24,$I$6:$I$179,"&gt;"&amp;I24)+(COUNTIFS($B$6:$B$179,B24,$I$6:$I$179,I24)+1)/2,"NA")</x:f>
        <x:v>15</x:v>
      </x:c>
      <x:c r="T24" s="26" t="str">
        <x:f>IF(COUNTIFS($I$6:$I$179,"&gt;"&amp;I24)&gt;=35,"非前20%",IF(COUNTIFS($I$6:$I$179,"&gt;="&amp;I24)&gt;=35,"边界同分","严格前20%"))</x:f>
        <x:v>严格前20%</x:v>
      </x:c>
      <x:c r="U24" s="26" t="str">
        <x:f>IF(COUNTIFS($I$6:$I$179,"&lt;"&amp;I24)&gt;=35,"非后20%",IF(COUNTIFS($I$6:$I$179,"&lt;="&amp;I24)&gt;=35,"边界同分","严格后20%"))</x:f>
        <x:v>非后20%</x:v>
      </x:c>
      <x:c r="V24" s="26" t="n">
        <x:f>'基线调整'!I20</x:f>
        <x:v>70.20735692343</x:v>
      </x:c>
      <x:c r="W24" s="26" t="n">
        <x:f>'基线调整'!J20</x:f>
        <x:v>14.5</x:v>
      </x:c>
      <x:c r="X24" s="22" t="str">
        <x:v>["S1051"]</x:v>
      </x:c>
      <x:c r="Y24" s="22" t="str">
        <x:v>evidence/student_evidence.jsonl；student_key=2026春:268183</x:v>
      </x:c>
      <x:c r="Z24" s="26" t="n">
        <x:f>IF(OR(B24="s3",B24="s6"),COUNTIFS($B$6:$B$179,B24,$K$6:$K$179,"&gt;"&amp;K24)+(COUNTIFS($B$6:$B$179,B24,$K$6:$K$179,K24)+1)/2,"NA")</x:f>
        <x:v>17</x:v>
      </x:c>
      <x:c r="AA24" s="26" t="n">
        <x:f>IF(OR(B24="s3",B24="s6"),COUNTIFS($B$6:$B$179,B24,$M$6:$M$179,"&gt;"&amp;M24)+(COUNTIFS($B$6:$B$179,B24,$M$6:$M$179,M24)+1)/2,"NA")</x:f>
        <x:v>15</x:v>
      </x:c>
      <x:c r="AB24" s="26" t="n">
        <x:f>IF(OR(B24="s3",B24="s6"),COUNTIFS($B$6:$B$179,B24,$O$6:$O$179,"&gt;"&amp;O24)+(COUNTIFS($B$6:$B$179,B24,$O$6:$O$179,O24)+1)/2,"NA")</x:f>
        <x:v>15</x:v>
      </x:c>
      <x:c r="AC24" s="26" t="n">
        <x:f>IF(OR(B24="s3",B24="s6"),COUNTIFS($B$6:$B$179,B24,$Q$6:$Q$179,"&gt;"&amp;Q24)+(COUNTIFS($B$6:$B$179,B24,$Q$6:$Q$179,Q24)+1)/2,"NA")</x:f>
        <x:v>22</x:v>
      </x:c>
    </x:row>
    <x:row r="25" ht="23" customHeight="1">
      <x:c r="A25" s="21" t="str">
        <x:v>2025秋:258428</x:v>
      </x:c>
      <x:c r="B25" s="22" t="str">
        <x:v>s3</x:v>
      </x:c>
      <x:c r="C25" s="24" t="n">
        <x:v>1</x:v>
      </x:c>
      <x:c r="D25" s="24" t="n">
        <x:v>1</x:v>
      </x:c>
      <x:c r="E25" s="29" t="n">
        <x:f>'指标计算'!K13</x:f>
        <x:v>0.0317500345509234</x:v>
      </x:c>
      <x:c r="F25" s="29" t="n">
        <x:f>'指标计算'!L13</x:f>
        <x:v>0.3810004146110808</x:v>
      </x:c>
      <x:c r="G25" s="29" t="n">
        <x:f>'指标计算'!M13</x:f>
        <x:v>0.3810004146110808</x:v>
      </x:c>
      <x:c r="H25" s="29" t="n">
        <x:f>'指标计算'!N13</x:f>
        <x:v>1</x:v>
      </x:c>
      <x:c r="I25" s="30" t="n">
        <x:f>IF(COUNT('总览与权重'!$H$6:$K$6)=4,ROUND(100*SUMPRODUCT(E25:H25,'总览与权重'!$H$6:$K$6),12),"NA")</x:f>
        <x:v>46.192517620971</x:v>
      </x:c>
      <x:c r="J25" s="30" t="n">
        <x:f>IF(ISNUMBER(I25),COUNTIFS($I$6:$I$179,"&gt;"&amp;I25)+(COUNTIFS($I$6:$I$179,I25)+1)/2,"NA")</x:f>
        <x:v>21.5</x:v>
      </x:c>
      <x:c r="K25" s="30" t="n">
        <x:f>IF(COUNT('总览与权重'!$H$7:$K$7)=4,ROUND(100*SUMPRODUCT(E25:H25,'总览与权重'!$H$7:$K$7),12),"NA")</x:f>
        <x:v>43.495025567683</x:v>
      </x:c>
      <x:c r="L25" s="30" t="n">
        <x:f>IF(ISNUMBER(K25),COUNTIFS($K$6:$K$179,"&gt;"&amp;K25)+(COUNTIFS($K$6:$K$179,K25)+1)/2,"NA")</x:f>
        <x:v>23.5</x:v>
      </x:c>
      <x:c r="M25" s="30" t="n">
        <x:f>IF(COUNT('总览与权重'!$H$8:$K$8)=4,ROUND(100*SUMPRODUCT(E25:H25,'总览与权重'!$H$8:$K$8),12),"NA")</x:f>
        <x:v>51.033767448216</x:v>
      </x:c>
      <x:c r="N25" s="30" t="n">
        <x:f>IF(ISNUMBER(M25),COUNTIFS($M$6:$M$179,"&gt;"&amp;M25)+(COUNTIFS($M$6:$M$179,M25)+1)/2,"NA")</x:f>
        <x:v>21.5</x:v>
      </x:c>
      <x:c r="O25" s="30" t="n">
        <x:f>IF(COUNT('总览与权重'!$H$9:$K$9)=4,ROUND(100*SUMPRODUCT(E25:H25,'总览与权重'!$H$9:$K$9),12),"NA")</x:f>
        <x:v>48.507181798866</x:v>
      </x:c>
      <x:c r="P25" s="30" t="n">
        <x:f>IF(ISNUMBER(O25),COUNTIFS($O$6:$O$179,"&gt;"&amp;O25)+(COUNTIFS($O$6:$O$179,O25)+1)/2,"NA")</x:f>
        <x:v>21.5</x:v>
      </x:c>
      <x:c r="Q25" s="30" t="n">
        <x:f>IF(COUNT('总览与权重'!$H$10:$K$10)=4,ROUND(100*SUMPRODUCT(E25:H25,'总览与权重'!$H$10:$K$10),12),"NA")</x:f>
        <x:v>28.957539754402</x:v>
      </x:c>
      <x:c r="R25" s="30" t="n">
        <x:f>IF(ISNUMBER(Q25),COUNTIFS($Q$6:$Q$179,"&gt;"&amp;Q25)+(COUNTIFS($Q$6:$Q$179,Q25)+1)/2,"NA")</x:f>
        <x:v>28.5</x:v>
      </x:c>
      <x:c r="S25" s="31" t="n">
        <x:f>IF(OR(B25="s3",B25="s6"),COUNTIFS($B$6:$B$179,B25,$I$6:$I$179,"&gt;"&amp;I25)+(COUNTIFS($B$6:$B$179,B25,$I$6:$I$179,I25)+1)/2,"NA")</x:f>
        <x:v>18.5</x:v>
      </x:c>
      <x:c r="T25" s="26" t="str">
        <x:f>IF(COUNTIFS($I$6:$I$179,"&gt;"&amp;I25)&gt;=35,"非前20%",IF(COUNTIFS($I$6:$I$179,"&gt;="&amp;I25)&gt;=35,"边界同分","严格前20%"))</x:f>
        <x:v>严格前20%</x:v>
      </x:c>
      <x:c r="U25" s="26" t="str">
        <x:f>IF(COUNTIFS($I$6:$I$179,"&lt;"&amp;I25)&gt;=35,"非后20%",IF(COUNTIFS($I$6:$I$179,"&lt;="&amp;I25)&gt;=35,"边界同分","严格后20%"))</x:f>
        <x:v>非后20%</x:v>
      </x:c>
      <x:c r="V25" s="26" t="n">
        <x:f>'基线调整'!I21</x:f>
        <x:v>70.188572740373</x:v>
      </x:c>
      <x:c r="W25" s="26" t="n">
        <x:f>'基线调整'!J21</x:f>
        <x:v>17.5</x:v>
      </x:c>
      <x:c r="X25" s="22" t="str">
        <x:v>["S0096"]</x:v>
      </x:c>
      <x:c r="Y25" s="22" t="str">
        <x:v>evidence/student_evidence.jsonl；student_key=2025秋:258428</x:v>
      </x:c>
      <x:c r="Z25" s="26" t="n">
        <x:f>IF(OR(B25="s3",B25="s6"),COUNTIFS($B$6:$B$179,B25,$K$6:$K$179,"&gt;"&amp;K25)+(COUNTIFS($B$6:$B$179,B25,$K$6:$K$179,K25)+1)/2,"NA")</x:f>
        <x:v>20.5</x:v>
      </x:c>
      <x:c r="AA25" s="26" t="n">
        <x:f>IF(OR(B25="s3",B25="s6"),COUNTIFS($B$6:$B$179,B25,$M$6:$M$179,"&gt;"&amp;M25)+(COUNTIFS($B$6:$B$179,B25,$M$6:$M$179,M25)+1)/2,"NA")</x:f>
        <x:v>18.5</x:v>
      </x:c>
      <x:c r="AB25" s="26" t="n">
        <x:f>IF(OR(B25="s3",B25="s6"),COUNTIFS($B$6:$B$179,B25,$O$6:$O$179,"&gt;"&amp;O25)+(COUNTIFS($B$6:$B$179,B25,$O$6:$O$179,O25)+1)/2,"NA")</x:f>
        <x:v>18.5</x:v>
      </x:c>
      <x:c r="AC25" s="26" t="n">
        <x:f>IF(OR(B25="s3",B25="s6"),COUNTIFS($B$6:$B$179,B25,$Q$6:$Q$179,"&gt;"&amp;Q25)+(COUNTIFS($B$6:$B$179,B25,$Q$6:$Q$179,Q25)+1)/2,"NA")</x:f>
        <x:v>25.5</x:v>
      </x:c>
    </x:row>
    <x:row r="26" ht="23" customHeight="1">
      <x:c r="A26" s="21" t="str">
        <x:v>2025秋:258922</x:v>
      </x:c>
      <x:c r="B26" s="22" t="str">
        <x:v>s3</x:v>
      </x:c>
      <x:c r="C26" s="24" t="n">
        <x:v>1</x:v>
      </x:c>
      <x:c r="D26" s="24" t="n">
        <x:v>1</x:v>
      </x:c>
      <x:c r="E26" s="29" t="n">
        <x:f>'指标计算'!K42</x:f>
        <x:v>0.0317500345509234</x:v>
      </x:c>
      <x:c r="F26" s="29" t="n">
        <x:f>'指标计算'!L42</x:f>
        <x:v>0.3810004146110808</x:v>
      </x:c>
      <x:c r="G26" s="29" t="n">
        <x:f>'指标计算'!M42</x:f>
        <x:v>0.3810004146110808</x:v>
      </x:c>
      <x:c r="H26" s="29" t="n">
        <x:f>'指标计算'!N42</x:f>
        <x:v>1</x:v>
      </x:c>
      <x:c r="I26" s="30" t="n">
        <x:f>IF(COUNT('总览与权重'!$H$6:$K$6)=4,ROUND(100*SUMPRODUCT(E26:H26,'总览与权重'!$H$6:$K$6),12),"NA")</x:f>
        <x:v>46.192517620971</x:v>
      </x:c>
      <x:c r="J26" s="30" t="n">
        <x:f>IF(ISNUMBER(I26),COUNTIFS($I$6:$I$179,"&gt;"&amp;I26)+(COUNTIFS($I$6:$I$179,I26)+1)/2,"NA")</x:f>
        <x:v>21.5</x:v>
      </x:c>
      <x:c r="K26" s="30" t="n">
        <x:f>IF(COUNT('总览与权重'!$H$7:$K$7)=4,ROUND(100*SUMPRODUCT(E26:H26,'总览与权重'!$H$7:$K$7),12),"NA")</x:f>
        <x:v>43.495025567683</x:v>
      </x:c>
      <x:c r="L26" s="30" t="n">
        <x:f>IF(ISNUMBER(K26),COUNTIFS($K$6:$K$179,"&gt;"&amp;K26)+(COUNTIFS($K$6:$K$179,K26)+1)/2,"NA")</x:f>
        <x:v>23.5</x:v>
      </x:c>
      <x:c r="M26" s="30" t="n">
        <x:f>IF(COUNT('总览与权重'!$H$8:$K$8)=4,ROUND(100*SUMPRODUCT(E26:H26,'总览与权重'!$H$8:$K$8),12),"NA")</x:f>
        <x:v>51.033767448216</x:v>
      </x:c>
      <x:c r="N26" s="30" t="n">
        <x:f>IF(ISNUMBER(M26),COUNTIFS($M$6:$M$179,"&gt;"&amp;M26)+(COUNTIFS($M$6:$M$179,M26)+1)/2,"NA")</x:f>
        <x:v>21.5</x:v>
      </x:c>
      <x:c r="O26" s="30" t="n">
        <x:f>IF(COUNT('总览与权重'!$H$9:$K$9)=4,ROUND(100*SUMPRODUCT(E26:H26,'总览与权重'!$H$9:$K$9),12),"NA")</x:f>
        <x:v>48.507181798866</x:v>
      </x:c>
      <x:c r="P26" s="30" t="n">
        <x:f>IF(ISNUMBER(O26),COUNTIFS($O$6:$O$179,"&gt;"&amp;O26)+(COUNTIFS($O$6:$O$179,O26)+1)/2,"NA")</x:f>
        <x:v>21.5</x:v>
      </x:c>
      <x:c r="Q26" s="30" t="n">
        <x:f>IF(COUNT('总览与权重'!$H$10:$K$10)=4,ROUND(100*SUMPRODUCT(E26:H26,'总览与权重'!$H$10:$K$10),12),"NA")</x:f>
        <x:v>28.957539754402</x:v>
      </x:c>
      <x:c r="R26" s="30" t="n">
        <x:f>IF(ISNUMBER(Q26),COUNTIFS($Q$6:$Q$179,"&gt;"&amp;Q26)+(COUNTIFS($Q$6:$Q$179,Q26)+1)/2,"NA")</x:f>
        <x:v>28.5</x:v>
      </x:c>
      <x:c r="S26" s="31" t="n">
        <x:f>IF(OR(B26="s3",B26="s6"),COUNTIFS($B$6:$B$179,B26,$I$6:$I$179,"&gt;"&amp;I26)+(COUNTIFS($B$6:$B$179,B26,$I$6:$I$179,I26)+1)/2,"NA")</x:f>
        <x:v>18.5</x:v>
      </x:c>
      <x:c r="T26" s="26" t="str">
        <x:f>IF(COUNTIFS($I$6:$I$179,"&gt;"&amp;I26)&gt;=35,"非前20%",IF(COUNTIFS($I$6:$I$179,"&gt;="&amp;I26)&gt;=35,"边界同分","严格前20%"))</x:f>
        <x:v>严格前20%</x:v>
      </x:c>
      <x:c r="U26" s="26" t="str">
        <x:f>IF(COUNTIFS($I$6:$I$179,"&lt;"&amp;I26)&gt;=35,"非后20%",IF(COUNTIFS($I$6:$I$179,"&lt;="&amp;I26)&gt;=35,"边界同分","严格后20%"))</x:f>
        <x:v>非后20%</x:v>
      </x:c>
      <x:c r="V26" s="26" t="n">
        <x:f>'基线调整'!I22</x:f>
        <x:v>70.188572740373</x:v>
      </x:c>
      <x:c r="W26" s="26" t="n">
        <x:f>'基线调整'!J22</x:f>
        <x:v>17.5</x:v>
      </x:c>
      <x:c r="X26" s="22" t="str">
        <x:v>["S0351"]</x:v>
      </x:c>
      <x:c r="Y26" s="22" t="str">
        <x:v>evidence/student_evidence.jsonl；student_key=2025秋:258922</x:v>
      </x:c>
      <x:c r="Z26" s="26" t="n">
        <x:f>IF(OR(B26="s3",B26="s6"),COUNTIFS($B$6:$B$179,B26,$K$6:$K$179,"&gt;"&amp;K26)+(COUNTIFS($B$6:$B$179,B26,$K$6:$K$179,K26)+1)/2,"NA")</x:f>
        <x:v>20.5</x:v>
      </x:c>
      <x:c r="AA26" s="26" t="n">
        <x:f>IF(OR(B26="s3",B26="s6"),COUNTIFS($B$6:$B$179,B26,$M$6:$M$179,"&gt;"&amp;M26)+(COUNTIFS($B$6:$B$179,B26,$M$6:$M$179,M26)+1)/2,"NA")</x:f>
        <x:v>18.5</x:v>
      </x:c>
      <x:c r="AB26" s="26" t="n">
        <x:f>IF(OR(B26="s3",B26="s6"),COUNTIFS($B$6:$B$179,B26,$O$6:$O$179,"&gt;"&amp;O26)+(COUNTIFS($B$6:$B$179,B26,$O$6:$O$179,O26)+1)/2,"NA")</x:f>
        <x:v>18.5</x:v>
      </x:c>
      <x:c r="AC26" s="26" t="n">
        <x:f>IF(OR(B26="s3",B26="s6"),COUNTIFS($B$6:$B$179,B26,$Q$6:$Q$179,"&gt;"&amp;Q26)+(COUNTIFS($B$6:$B$179,B26,$Q$6:$Q$179,Q26)+1)/2,"NA")</x:f>
        <x:v>25.5</x:v>
      </x:c>
    </x:row>
    <x:row r="27" ht="23" customHeight="1">
      <x:c r="A27" s="21" t="str">
        <x:v>2025秋:259895</x:v>
      </x:c>
      <x:c r="B27" s="22" t="str">
        <x:v>s3</x:v>
      </x:c>
      <x:c r="C27" s="24" t="n">
        <x:v>1</x:v>
      </x:c>
      <x:c r="D27" s="24" t="n">
        <x:v>1</x:v>
      </x:c>
      <x:c r="E27" s="29" t="n">
        <x:f>'指标计算'!K122</x:f>
        <x:v>0.0317500345509234</x:v>
      </x:c>
      <x:c r="F27" s="29" t="n">
        <x:f>'指标计算'!L122</x:f>
        <x:v>0.3810004146110808</x:v>
      </x:c>
      <x:c r="G27" s="29" t="n">
        <x:f>'指标计算'!M122</x:f>
        <x:v>0.3810004146110808</x:v>
      </x:c>
      <x:c r="H27" s="29" t="n">
        <x:f>'指标计算'!N122</x:f>
        <x:v>1</x:v>
      </x:c>
      <x:c r="I27" s="30" t="n">
        <x:f>IF(COUNT('总览与权重'!$H$6:$K$6)=4,ROUND(100*SUMPRODUCT(E27:H27,'总览与权重'!$H$6:$K$6),12),"NA")</x:f>
        <x:v>46.192517620971</x:v>
      </x:c>
      <x:c r="J27" s="30" t="n">
        <x:f>IF(ISNUMBER(I27),COUNTIFS($I$6:$I$179,"&gt;"&amp;I27)+(COUNTIFS($I$6:$I$179,I27)+1)/2,"NA")</x:f>
        <x:v>21.5</x:v>
      </x:c>
      <x:c r="K27" s="30" t="n">
        <x:f>IF(COUNT('总览与权重'!$H$7:$K$7)=4,ROUND(100*SUMPRODUCT(E27:H27,'总览与权重'!$H$7:$K$7),12),"NA")</x:f>
        <x:v>43.495025567683</x:v>
      </x:c>
      <x:c r="L27" s="30" t="n">
        <x:f>IF(ISNUMBER(K27),COUNTIFS($K$6:$K$179,"&gt;"&amp;K27)+(COUNTIFS($K$6:$K$179,K27)+1)/2,"NA")</x:f>
        <x:v>23.5</x:v>
      </x:c>
      <x:c r="M27" s="30" t="n">
        <x:f>IF(COUNT('总览与权重'!$H$8:$K$8)=4,ROUND(100*SUMPRODUCT(E27:H27,'总览与权重'!$H$8:$K$8),12),"NA")</x:f>
        <x:v>51.033767448216</x:v>
      </x:c>
      <x:c r="N27" s="30" t="n">
        <x:f>IF(ISNUMBER(M27),COUNTIFS($M$6:$M$179,"&gt;"&amp;M27)+(COUNTIFS($M$6:$M$179,M27)+1)/2,"NA")</x:f>
        <x:v>21.5</x:v>
      </x:c>
      <x:c r="O27" s="30" t="n">
        <x:f>IF(COUNT('总览与权重'!$H$9:$K$9)=4,ROUND(100*SUMPRODUCT(E27:H27,'总览与权重'!$H$9:$K$9),12),"NA")</x:f>
        <x:v>48.507181798866</x:v>
      </x:c>
      <x:c r="P27" s="30" t="n">
        <x:f>IF(ISNUMBER(O27),COUNTIFS($O$6:$O$179,"&gt;"&amp;O27)+(COUNTIFS($O$6:$O$179,O27)+1)/2,"NA")</x:f>
        <x:v>21.5</x:v>
      </x:c>
      <x:c r="Q27" s="30" t="n">
        <x:f>IF(COUNT('总览与权重'!$H$10:$K$10)=4,ROUND(100*SUMPRODUCT(E27:H27,'总览与权重'!$H$10:$K$10),12),"NA")</x:f>
        <x:v>28.957539754402</x:v>
      </x:c>
      <x:c r="R27" s="30" t="n">
        <x:f>IF(ISNUMBER(Q27),COUNTIFS($Q$6:$Q$179,"&gt;"&amp;Q27)+(COUNTIFS($Q$6:$Q$179,Q27)+1)/2,"NA")</x:f>
        <x:v>28.5</x:v>
      </x:c>
      <x:c r="S27" s="31" t="n">
        <x:f>IF(OR(B27="s3",B27="s6"),COUNTIFS($B$6:$B$179,B27,$I$6:$I$179,"&gt;"&amp;I27)+(COUNTIFS($B$6:$B$179,B27,$I$6:$I$179,I27)+1)/2,"NA")</x:f>
        <x:v>18.5</x:v>
      </x:c>
      <x:c r="T27" s="26" t="str">
        <x:f>IF(COUNTIFS($I$6:$I$179,"&gt;"&amp;I27)&gt;=35,"非前20%",IF(COUNTIFS($I$6:$I$179,"&gt;="&amp;I27)&gt;=35,"边界同分","严格前20%"))</x:f>
        <x:v>严格前20%</x:v>
      </x:c>
      <x:c r="U27" s="26" t="str">
        <x:f>IF(COUNTIFS($I$6:$I$179,"&lt;"&amp;I27)&gt;=35,"非后20%",IF(COUNTIFS($I$6:$I$179,"&lt;="&amp;I27)&gt;=35,"边界同分","严格后20%"))</x:f>
        <x:v>非后20%</x:v>
      </x:c>
      <x:c r="V27" s="26" t="n">
        <x:f>'基线调整'!I23</x:f>
        <x:v>70.188572740373</x:v>
      </x:c>
      <x:c r="W27" s="26" t="n">
        <x:f>'基线调整'!J23</x:f>
        <x:v>17.5</x:v>
      </x:c>
      <x:c r="X27" s="22" t="str">
        <x:v>["S0407"]</x:v>
      </x:c>
      <x:c r="Y27" s="22" t="str">
        <x:v>evidence/student_evidence.jsonl；student_key=2025秋:259895</x:v>
      </x:c>
      <x:c r="Z27" s="26" t="n">
        <x:f>IF(OR(B27="s3",B27="s6"),COUNTIFS($B$6:$B$179,B27,$K$6:$K$179,"&gt;"&amp;K27)+(COUNTIFS($B$6:$B$179,B27,$K$6:$K$179,K27)+1)/2,"NA")</x:f>
        <x:v>20.5</x:v>
      </x:c>
      <x:c r="AA27" s="26" t="n">
        <x:f>IF(OR(B27="s3",B27="s6"),COUNTIFS($B$6:$B$179,B27,$M$6:$M$179,"&gt;"&amp;M27)+(COUNTIFS($B$6:$B$179,B27,$M$6:$M$179,M27)+1)/2,"NA")</x:f>
        <x:v>18.5</x:v>
      </x:c>
      <x:c r="AB27" s="26" t="n">
        <x:f>IF(OR(B27="s3",B27="s6"),COUNTIFS($B$6:$B$179,B27,$O$6:$O$179,"&gt;"&amp;O27)+(COUNTIFS($B$6:$B$179,B27,$O$6:$O$179,O27)+1)/2,"NA")</x:f>
        <x:v>18.5</x:v>
      </x:c>
      <x:c r="AC27" s="26" t="n">
        <x:f>IF(OR(B27="s3",B27="s6"),COUNTIFS($B$6:$B$179,B27,$Q$6:$Q$179,"&gt;"&amp;Q27)+(COUNTIFS($B$6:$B$179,B27,$Q$6:$Q$179,Q27)+1)/2,"NA")</x:f>
        <x:v>25.5</x:v>
      </x:c>
    </x:row>
    <x:row r="28" ht="23" customHeight="1">
      <x:c r="A28" s="21" t="str">
        <x:v>2026春:259443</x:v>
      </x:c>
      <x:c r="B28" s="22" t="str">
        <x:v>s3</x:v>
      </x:c>
      <x:c r="C28" s="24" t="n">
        <x:v>1</x:v>
      </x:c>
      <x:c r="D28" s="24" t="n">
        <x:v>1</x:v>
      </x:c>
      <x:c r="E28" s="29" t="n">
        <x:f>'指标计算'!K147</x:f>
        <x:v>0.0317500345509234</x:v>
      </x:c>
      <x:c r="F28" s="29" t="n">
        <x:f>'指标计算'!L147</x:f>
        <x:v>0.3810004146110808</x:v>
      </x:c>
      <x:c r="G28" s="29" t="n">
        <x:f>'指标计算'!M147</x:f>
        <x:v>0.3810004146110808</x:v>
      </x:c>
      <x:c r="H28" s="29" t="n">
        <x:f>'指标计算'!N147</x:f>
        <x:v>1</x:v>
      </x:c>
      <x:c r="I28" s="30" t="n">
        <x:f>IF(COUNT('总览与权重'!$H$6:$K$6)=4,ROUND(100*SUMPRODUCT(E28:H28,'总览与权重'!$H$6:$K$6),12),"NA")</x:f>
        <x:v>46.192517620971</x:v>
      </x:c>
      <x:c r="J28" s="30" t="n">
        <x:f>IF(ISNUMBER(I28),COUNTIFS($I$6:$I$179,"&gt;"&amp;I28)+(COUNTIFS($I$6:$I$179,I28)+1)/2,"NA")</x:f>
        <x:v>21.5</x:v>
      </x:c>
      <x:c r="K28" s="30" t="n">
        <x:f>IF(COUNT('总览与权重'!$H$7:$K$7)=4,ROUND(100*SUMPRODUCT(E28:H28,'总览与权重'!$H$7:$K$7),12),"NA")</x:f>
        <x:v>43.495025567683</x:v>
      </x:c>
      <x:c r="L28" s="30" t="n">
        <x:f>IF(ISNUMBER(K28),COUNTIFS($K$6:$K$179,"&gt;"&amp;K28)+(COUNTIFS($K$6:$K$179,K28)+1)/2,"NA")</x:f>
        <x:v>23.5</x:v>
      </x:c>
      <x:c r="M28" s="30" t="n">
        <x:f>IF(COUNT('总览与权重'!$H$8:$K$8)=4,ROUND(100*SUMPRODUCT(E28:H28,'总览与权重'!$H$8:$K$8),12),"NA")</x:f>
        <x:v>51.033767448216</x:v>
      </x:c>
      <x:c r="N28" s="30" t="n">
        <x:f>IF(ISNUMBER(M28),COUNTIFS($M$6:$M$179,"&gt;"&amp;M28)+(COUNTIFS($M$6:$M$179,M28)+1)/2,"NA")</x:f>
        <x:v>21.5</x:v>
      </x:c>
      <x:c r="O28" s="30" t="n">
        <x:f>IF(COUNT('总览与权重'!$H$9:$K$9)=4,ROUND(100*SUMPRODUCT(E28:H28,'总览与权重'!$H$9:$K$9),12),"NA")</x:f>
        <x:v>48.507181798866</x:v>
      </x:c>
      <x:c r="P28" s="30" t="n">
        <x:f>IF(ISNUMBER(O28),COUNTIFS($O$6:$O$179,"&gt;"&amp;O28)+(COUNTIFS($O$6:$O$179,O28)+1)/2,"NA")</x:f>
        <x:v>21.5</x:v>
      </x:c>
      <x:c r="Q28" s="30" t="n">
        <x:f>IF(COUNT('总览与权重'!$H$10:$K$10)=4,ROUND(100*SUMPRODUCT(E28:H28,'总览与权重'!$H$10:$K$10),12),"NA")</x:f>
        <x:v>28.957539754402</x:v>
      </x:c>
      <x:c r="R28" s="30" t="n">
        <x:f>IF(ISNUMBER(Q28),COUNTIFS($Q$6:$Q$179,"&gt;"&amp;Q28)+(COUNTIFS($Q$6:$Q$179,Q28)+1)/2,"NA")</x:f>
        <x:v>28.5</x:v>
      </x:c>
      <x:c r="S28" s="31" t="n">
        <x:f>IF(OR(B28="s3",B28="s6"),COUNTIFS($B$6:$B$179,B28,$I$6:$I$179,"&gt;"&amp;I28)+(COUNTIFS($B$6:$B$179,B28,$I$6:$I$179,I28)+1)/2,"NA")</x:f>
        <x:v>18.5</x:v>
      </x:c>
      <x:c r="T28" s="26" t="str">
        <x:f>IF(COUNTIFS($I$6:$I$179,"&gt;"&amp;I28)&gt;=35,"非前20%",IF(COUNTIFS($I$6:$I$179,"&gt;="&amp;I28)&gt;=35,"边界同分","严格前20%"))</x:f>
        <x:v>严格前20%</x:v>
      </x:c>
      <x:c r="U28" s="26" t="str">
        <x:f>IF(COUNTIFS($I$6:$I$179,"&lt;"&amp;I28)&gt;=35,"非后20%",IF(COUNTIFS($I$6:$I$179,"&lt;="&amp;I28)&gt;=35,"边界同分","严格后20%"))</x:f>
        <x:v>非后20%</x:v>
      </x:c>
      <x:c r="V28" s="26" t="n">
        <x:f>'基线调整'!I24</x:f>
        <x:v>70.188572740373</x:v>
      </x:c>
      <x:c r="W28" s="26" t="n">
        <x:f>'基线调整'!J24</x:f>
        <x:v>17.5</x:v>
      </x:c>
      <x:c r="X28" s="22" t="str">
        <x:v>["S0850"]</x:v>
      </x:c>
      <x:c r="Y28" s="22" t="str">
        <x:v>evidence/student_evidence.jsonl；student_key=2026春:259443</x:v>
      </x:c>
      <x:c r="Z28" s="26" t="n">
        <x:f>IF(OR(B28="s3",B28="s6"),COUNTIFS($B$6:$B$179,B28,$K$6:$K$179,"&gt;"&amp;K28)+(COUNTIFS($B$6:$B$179,B28,$K$6:$K$179,K28)+1)/2,"NA")</x:f>
        <x:v>20.5</x:v>
      </x:c>
      <x:c r="AA28" s="26" t="n">
        <x:f>IF(OR(B28="s3",B28="s6"),COUNTIFS($B$6:$B$179,B28,$M$6:$M$179,"&gt;"&amp;M28)+(COUNTIFS($B$6:$B$179,B28,$M$6:$M$179,M28)+1)/2,"NA")</x:f>
        <x:v>18.5</x:v>
      </x:c>
      <x:c r="AB28" s="26" t="n">
        <x:f>IF(OR(B28="s3",B28="s6"),COUNTIFS($B$6:$B$179,B28,$O$6:$O$179,"&gt;"&amp;O28)+(COUNTIFS($B$6:$B$179,B28,$O$6:$O$179,O28)+1)/2,"NA")</x:f>
        <x:v>18.5</x:v>
      </x:c>
      <x:c r="AC28" s="26" t="n">
        <x:f>IF(OR(B28="s3",B28="s6"),COUNTIFS($B$6:$B$179,B28,$Q$6:$Q$179,"&gt;"&amp;Q28)+(COUNTIFS($B$6:$B$179,B28,$Q$6:$Q$179,Q28)+1)/2,"NA")</x:f>
        <x:v>25.5</x:v>
      </x:c>
    </x:row>
    <x:row r="29" ht="23" customHeight="1">
      <x:c r="A29" s="21" t="str">
        <x:v>2025秋:25P025</x:v>
      </x:c>
      <x:c r="B29" s="22" t="str">
        <x:v>s3</x:v>
      </x:c>
      <x:c r="C29" s="24" t="n">
        <x:v>1</x:v>
      </x:c>
      <x:c r="D29" s="24" t="n">
        <x:v>1</x:v>
      </x:c>
      <x:c r="E29" s="29" t="n">
        <x:f>'指标计算'!K141</x:f>
        <x:v>0.031650835368013476</x:v>
      </x:c>
      <x:c r="F29" s="29" t="n">
        <x:f>'指标计算'!L141</x:f>
        <x:v>0.3798100244161617</x:v>
      </x:c>
      <x:c r="G29" s="29" t="n">
        <x:f>'指标计算'!M141</x:f>
        <x:v>0.3798100244161617</x:v>
      </x:c>
      <x:c r="H29" s="29" t="n">
        <x:f>'指标计算'!N141</x:f>
        <x:v>1</x:v>
      </x:c>
      <x:c r="I29" s="30" t="n">
        <x:f>IF(COUNT('总览与权重'!$H$6:$K$6)=4,ROUND(100*SUMPRODUCT(E29:H29,'总览与权重'!$H$6:$K$6),12),"NA")</x:f>
        <x:v>46.141926037687</x:v>
      </x:c>
      <x:c r="J29" s="30" t="n">
        <x:f>IF(ISNUMBER(I29),COUNTIFS($I$6:$I$179,"&gt;"&amp;I29)+(COUNTIFS($I$6:$I$179,I29)+1)/2,"NA")</x:f>
        <x:v>24</x:v>
      </x:c>
      <x:c r="K29" s="30" t="n">
        <x:f>IF(COUNT('总览与权重'!$H$7:$K$7)=4,ROUND(100*SUMPRODUCT(E29:H29,'总览与权重'!$H$7:$K$7),12),"NA")</x:f>
        <x:v>43.42161817233</x:v>
      </x:c>
      <x:c r="L29" s="30" t="n">
        <x:f>IF(ISNUMBER(K29),COUNTIFS($K$6:$K$179,"&gt;"&amp;K29)+(COUNTIFS($K$6:$K$179,K29)+1)/2,"NA")</x:f>
        <x:v>26</x:v>
      </x:c>
      <x:c r="M29" s="30" t="n">
        <x:f>IF(COUNT('总览与权重'!$H$8:$K$8)=4,ROUND(100*SUMPRODUCT(E29:H29,'总览与权重'!$H$8:$K$8),12),"NA")</x:f>
        <x:v>50.983671860847</x:v>
      </x:c>
      <x:c r="N29" s="30" t="n">
        <x:f>IF(ISNUMBER(M29),COUNTIFS($M$6:$M$179,"&gt;"&amp;M29)+(COUNTIFS($M$6:$M$179,M29)+1)/2,"NA")</x:f>
        <x:v>24</x:v>
      </x:c>
      <x:c r="O29" s="30" t="n">
        <x:f>IF(COUNT('总览与权重'!$H$9:$K$9)=4,ROUND(100*SUMPRODUCT(E29:H29,'总览与权重'!$H$9:$K$9),12),"NA")</x:f>
        <x:v>48.449358324391</x:v>
      </x:c>
      <x:c r="P29" s="30" t="n">
        <x:f>IF(ISNUMBER(O29),COUNTIFS($O$6:$O$179,"&gt;"&amp;O29)+(COUNTIFS($O$6:$O$179,O29)+1)/2,"NA")</x:f>
        <x:v>24</x:v>
      </x:c>
      <x:c r="Q29" s="30" t="n">
        <x:f>IF(COUNT('总览与权重'!$H$10:$K$10)=4,ROUND(100*SUMPRODUCT(E29:H29,'总览与权重'!$H$10:$K$10),12),"NA")</x:f>
        <x:v>28.877763155837</x:v>
      </x:c>
      <x:c r="R29" s="30" t="n">
        <x:f>IF(ISNUMBER(Q29),COUNTIFS($Q$6:$Q$179,"&gt;"&amp;Q29)+(COUNTIFS($Q$6:$Q$179,Q29)+1)/2,"NA")</x:f>
        <x:v>31</x:v>
      </x:c>
      <x:c r="S29" s="31" t="n">
        <x:f>IF(OR(B29="s3",B29="s6"),COUNTIFS($B$6:$B$179,B29,$I$6:$I$179,"&gt;"&amp;I29)+(COUNTIFS($B$6:$B$179,B29,$I$6:$I$179,I29)+1)/2,"NA")</x:f>
        <x:v>21</x:v>
      </x:c>
      <x:c r="T29" s="26" t="str">
        <x:f>IF(COUNTIFS($I$6:$I$179,"&gt;"&amp;I29)&gt;=35,"非前20%",IF(COUNTIFS($I$6:$I$179,"&gt;="&amp;I29)&gt;=35,"边界同分","严格前20%"))</x:f>
        <x:v>严格前20%</x:v>
      </x:c>
      <x:c r="U29" s="26" t="str">
        <x:f>IF(COUNTIFS($I$6:$I$179,"&lt;"&amp;I29)&gt;=35,"非后20%",IF(COUNTIFS($I$6:$I$179,"&lt;="&amp;I29)&gt;=35,"边界同分","严格后20%"))</x:f>
        <x:v>非后20%</x:v>
      </x:c>
      <x:c r="V29" s="26" t="n">
        <x:f>'基线调整'!I25</x:f>
        <x:v>70.163276948731</x:v>
      </x:c>
      <x:c r="W29" s="26" t="n">
        <x:f>'基线调整'!J25</x:f>
        <x:v>20</x:v>
      </x:c>
      <x:c r="X29" s="22" t="str">
        <x:v>["S0130"]</x:v>
      </x:c>
      <x:c r="Y29" s="22" t="str">
        <x:v>evidence/student_evidence.jsonl；student_key=2025秋:25P025</x:v>
      </x:c>
      <x:c r="Z29" s="26" t="n">
        <x:f>IF(OR(B29="s3",B29="s6"),COUNTIFS($B$6:$B$179,B29,$K$6:$K$179,"&gt;"&amp;K29)+(COUNTIFS($B$6:$B$179,B29,$K$6:$K$179,K29)+1)/2,"NA")</x:f>
        <x:v>23</x:v>
      </x:c>
      <x:c r="AA29" s="26" t="n">
        <x:f>IF(OR(B29="s3",B29="s6"),COUNTIFS($B$6:$B$179,B29,$M$6:$M$179,"&gt;"&amp;M29)+(COUNTIFS($B$6:$B$179,B29,$M$6:$M$179,M29)+1)/2,"NA")</x:f>
        <x:v>21</x:v>
      </x:c>
      <x:c r="AB29" s="26" t="n">
        <x:f>IF(OR(B29="s3",B29="s6"),COUNTIFS($B$6:$B$179,B29,$O$6:$O$179,"&gt;"&amp;O29)+(COUNTIFS($B$6:$B$179,B29,$O$6:$O$179,O29)+1)/2,"NA")</x:f>
        <x:v>21</x:v>
      </x:c>
      <x:c r="AC29" s="26" t="n">
        <x:f>IF(OR(B29="s3",B29="s6"),COUNTIFS($B$6:$B$179,B29,$Q$6:$Q$179,"&gt;"&amp;Q29)+(COUNTIFS($B$6:$B$179,B29,$Q$6:$Q$179,Q29)+1)/2,"NA")</x:f>
        <x:v>28</x:v>
      </x:c>
    </x:row>
    <x:row r="30" ht="23" customHeight="1">
      <x:c r="A30" s="21" t="str">
        <x:v>2025秋:25A148</x:v>
      </x:c>
      <x:c r="B30" s="22" t="str">
        <x:v>s3</x:v>
      </x:c>
      <x:c r="C30" s="24" t="n">
        <x:v>1</x:v>
      </x:c>
      <x:c r="D30" s="24" t="n">
        <x:v>1</x:v>
      </x:c>
      <x:c r="E30" s="29" t="n">
        <x:f>'指标计算'!K138</x:f>
        <x:v>0.030227970632644485</x:v>
      </x:c>
      <x:c r="F30" s="29" t="n">
        <x:f>'指标计算'!L138</x:f>
        <x:v>0.3627356475917338</x:v>
      </x:c>
      <x:c r="G30" s="29" t="n">
        <x:f>'指标计算'!M138</x:f>
        <x:v>0.3627356475917338</x:v>
      </x:c>
      <x:c r="H30" s="29" t="n">
        <x:f>'指标计算'!N138</x:f>
        <x:v>1</x:v>
      </x:c>
      <x:c r="I30" s="30" t="n">
        <x:f>IF(COUNT('总览与权重'!$H$6:$K$6)=4,ROUND(100*SUMPRODUCT(E30:H30,'总览与权重'!$H$6:$K$6),12),"NA")</x:f>
        <x:v>45.416265022649</x:v>
      </x:c>
      <x:c r="J30" s="30" t="n">
        <x:f>IF(ISNUMBER(I30),COUNTIFS($I$6:$I$179,"&gt;"&amp;I30)+(COUNTIFS($I$6:$I$179,I30)+1)/2,"NA")</x:f>
        <x:v>25.5</x:v>
      </x:c>
      <x:c r="K30" s="30" t="n">
        <x:f>IF(COUNT('总览与权重'!$H$7:$K$7)=4,ROUND(100*SUMPRODUCT(E30:H30,'总览与权重'!$H$7:$K$7),12),"NA")</x:f>
        <x:v>42.368698268157</x:v>
      </x:c>
      <x:c r="L30" s="30" t="n">
        <x:f>IF(ISNUMBER(K30),COUNTIFS($K$6:$K$179,"&gt;"&amp;K30)+(COUNTIFS($K$6:$K$179,K30)+1)/2,"NA")</x:f>
        <x:v>28.5</x:v>
      </x:c>
      <x:c r="M30" s="30" t="n">
        <x:f>IF(COUNT('总览与权重'!$H$8:$K$8)=4,ROUND(100*SUMPRODUCT(E30:H30,'总览与权重'!$H$8:$K$8),12),"NA")</x:f>
        <x:v>50.265125169485</x:v>
      </x:c>
      <x:c r="N30" s="30" t="n">
        <x:f>IF(ISNUMBER(M30),COUNTIFS($M$6:$M$179,"&gt;"&amp;M30)+(COUNTIFS($M$6:$M$179,M30)+1)/2,"NA")</x:f>
        <x:v>25.5</x:v>
      </x:c>
      <x:c r="O30" s="30" t="n">
        <x:f>IF(COUNT('总览与权重'!$H$9:$K$9)=4,ROUND(100*SUMPRODUCT(E30:H30,'总览与权重'!$H$9:$K$9),12),"NA")</x:f>
        <x:v>47.619966586551</x:v>
      </x:c>
      <x:c r="P30" s="30" t="n">
        <x:f>IF(ISNUMBER(O30),COUNTIFS($O$6:$O$179,"&gt;"&amp;O30)+(COUNTIFS($O$6:$O$179,O30)+1)/2,"NA")</x:f>
        <x:v>25.5</x:v>
      </x:c>
      <x:c r="Q30" s="30" t="n">
        <x:f>IF(COUNT('总览与权重'!$H$10:$K$10)=4,ROUND(100*SUMPRODUCT(E30:H30,'总览与权重'!$H$10:$K$10),12),"NA")</x:f>
        <x:v>27.733486504803</x:v>
      </x:c>
      <x:c r="R30" s="30" t="n">
        <x:f>IF(ISNUMBER(Q30),COUNTIFS($Q$6:$Q$179,"&gt;"&amp;Q30)+(COUNTIFS($Q$6:$Q$179,Q30)+1)/2,"NA")</x:f>
        <x:v>34.5</x:v>
      </x:c>
      <x:c r="S30" s="31" t="n">
        <x:f>IF(OR(B30="s3",B30="s6"),COUNTIFS($B$6:$B$179,B30,$I$6:$I$179,"&gt;"&amp;I30)+(COUNTIFS($B$6:$B$179,B30,$I$6:$I$179,I30)+1)/2,"NA")</x:f>
        <x:v>22.5</x:v>
      </x:c>
      <x:c r="T30" s="26" t="str">
        <x:f>IF(COUNTIFS($I$6:$I$179,"&gt;"&amp;I30)&gt;=35,"非前20%",IF(COUNTIFS($I$6:$I$179,"&gt;="&amp;I30)&gt;=35,"边界同分","严格前20%"))</x:f>
        <x:v>严格前20%</x:v>
      </x:c>
      <x:c r="U30" s="26" t="str">
        <x:f>IF(COUNTIFS($I$6:$I$179,"&lt;"&amp;I30)&gt;=35,"非后20%",IF(COUNTIFS($I$6:$I$179,"&lt;="&amp;I30)&gt;=35,"边界同分","严格后20%"))</x:f>
        <x:v>非后20%</x:v>
      </x:c>
      <x:c r="V30" s="26" t="n">
        <x:f>'基线调整'!I27</x:f>
        <x:v>69.800446441212</x:v>
      </x:c>
      <x:c r="W30" s="26" t="n">
        <x:f>'基线调整'!J27</x:f>
        <x:v>22.5</x:v>
      </x:c>
      <x:c r="X30" s="22" t="str">
        <x:v>["S0067"]</x:v>
      </x:c>
      <x:c r="Y30" s="22" t="str">
        <x:v>evidence/student_evidence.jsonl；student_key=2025秋:25A148</x:v>
      </x:c>
      <x:c r="Z30" s="26" t="n">
        <x:f>IF(OR(B30="s3",B30="s6"),COUNTIFS($B$6:$B$179,B30,$K$6:$K$179,"&gt;"&amp;K30)+(COUNTIFS($B$6:$B$179,B30,$K$6:$K$179,K30)+1)/2,"NA")</x:f>
        <x:v>25.5</x:v>
      </x:c>
      <x:c r="AA30" s="26" t="n">
        <x:f>IF(OR(B30="s3",B30="s6"),COUNTIFS($B$6:$B$179,B30,$M$6:$M$179,"&gt;"&amp;M30)+(COUNTIFS($B$6:$B$179,B30,$M$6:$M$179,M30)+1)/2,"NA")</x:f>
        <x:v>22.5</x:v>
      </x:c>
      <x:c r="AB30" s="26" t="n">
        <x:f>IF(OR(B30="s3",B30="s6"),COUNTIFS($B$6:$B$179,B30,$O$6:$O$179,"&gt;"&amp;O30)+(COUNTIFS($B$6:$B$179,B30,$O$6:$O$179,O30)+1)/2,"NA")</x:f>
        <x:v>22.5</x:v>
      </x:c>
      <x:c r="AC30" s="26" t="n">
        <x:f>IF(OR(B30="s3",B30="s6"),COUNTIFS($B$6:$B$179,B30,$Q$6:$Q$179,"&gt;"&amp;Q30)+(COUNTIFS($B$6:$B$179,B30,$Q$6:$Q$179,Q30)+1)/2,"NA")</x:f>
        <x:v>30.5</x:v>
      </x:c>
    </x:row>
    <x:row r="31" ht="23" customHeight="1">
      <x:c r="A31" s="21" t="str">
        <x:v>2026春:268184</x:v>
      </x:c>
      <x:c r="B31" s="22" t="str">
        <x:v>s3</x:v>
      </x:c>
      <x:c r="C31" s="24" t="n">
        <x:v>1</x:v>
      </x:c>
      <x:c r="D31" s="24" t="n">
        <x:v>1</x:v>
      </x:c>
      <x:c r="E31" s="29" t="n">
        <x:f>'指标计算'!K166</x:f>
        <x:v>0.030227970632644485</x:v>
      </x:c>
      <x:c r="F31" s="29" t="n">
        <x:f>'指标计算'!L166</x:f>
        <x:v>0.3627356475917338</x:v>
      </x:c>
      <x:c r="G31" s="29" t="n">
        <x:f>'指标计算'!M166</x:f>
        <x:v>0.3627356475917338</x:v>
      </x:c>
      <x:c r="H31" s="29" t="n">
        <x:f>'指标计算'!N166</x:f>
        <x:v>1</x:v>
      </x:c>
      <x:c r="I31" s="30" t="n">
        <x:f>IF(COUNT('总览与权重'!$H$6:$K$6)=4,ROUND(100*SUMPRODUCT(E31:H31,'总览与权重'!$H$6:$K$6),12),"NA")</x:f>
        <x:v>45.416265022649</x:v>
      </x:c>
      <x:c r="J31" s="30" t="n">
        <x:f>IF(ISNUMBER(I31),COUNTIFS($I$6:$I$179,"&gt;"&amp;I31)+(COUNTIFS($I$6:$I$179,I31)+1)/2,"NA")</x:f>
        <x:v>25.5</x:v>
      </x:c>
      <x:c r="K31" s="30" t="n">
        <x:f>IF(COUNT('总览与权重'!$H$7:$K$7)=4,ROUND(100*SUMPRODUCT(E31:H31,'总览与权重'!$H$7:$K$7),12),"NA")</x:f>
        <x:v>42.368698268157</x:v>
      </x:c>
      <x:c r="L31" s="30" t="n">
        <x:f>IF(ISNUMBER(K31),COUNTIFS($K$6:$K$179,"&gt;"&amp;K31)+(COUNTIFS($K$6:$K$179,K31)+1)/2,"NA")</x:f>
        <x:v>28.5</x:v>
      </x:c>
      <x:c r="M31" s="30" t="n">
        <x:f>IF(COUNT('总览与权重'!$H$8:$K$8)=4,ROUND(100*SUMPRODUCT(E31:H31,'总览与权重'!$H$8:$K$8),12),"NA")</x:f>
        <x:v>50.265125169485</x:v>
      </x:c>
      <x:c r="N31" s="30" t="n">
        <x:f>IF(ISNUMBER(M31),COUNTIFS($M$6:$M$179,"&gt;"&amp;M31)+(COUNTIFS($M$6:$M$179,M31)+1)/2,"NA")</x:f>
        <x:v>25.5</x:v>
      </x:c>
      <x:c r="O31" s="30" t="n">
        <x:f>IF(COUNT('总览与权重'!$H$9:$K$9)=4,ROUND(100*SUMPRODUCT(E31:H31,'总览与权重'!$H$9:$K$9),12),"NA")</x:f>
        <x:v>47.619966586551</x:v>
      </x:c>
      <x:c r="P31" s="30" t="n">
        <x:f>IF(ISNUMBER(O31),COUNTIFS($O$6:$O$179,"&gt;"&amp;O31)+(COUNTIFS($O$6:$O$179,O31)+1)/2,"NA")</x:f>
        <x:v>25.5</x:v>
      </x:c>
      <x:c r="Q31" s="30" t="n">
        <x:f>IF(COUNT('总览与权重'!$H$10:$K$10)=4,ROUND(100*SUMPRODUCT(E31:H31,'总览与权重'!$H$10:$K$10),12),"NA")</x:f>
        <x:v>27.733486504803</x:v>
      </x:c>
      <x:c r="R31" s="30" t="n">
        <x:f>IF(ISNUMBER(Q31),COUNTIFS($Q$6:$Q$179,"&gt;"&amp;Q31)+(COUNTIFS($Q$6:$Q$179,Q31)+1)/2,"NA")</x:f>
        <x:v>34.5</x:v>
      </x:c>
      <x:c r="S31" s="31" t="n">
        <x:f>IF(OR(B31="s3",B31="s6"),COUNTIFS($B$6:$B$179,B31,$I$6:$I$179,"&gt;"&amp;I31)+(COUNTIFS($B$6:$B$179,B31,$I$6:$I$179,I31)+1)/2,"NA")</x:f>
        <x:v>22.5</x:v>
      </x:c>
      <x:c r="T31" s="26" t="str">
        <x:f>IF(COUNTIFS($I$6:$I$179,"&gt;"&amp;I31)&gt;=35,"非前20%",IF(COUNTIFS($I$6:$I$179,"&gt;="&amp;I31)&gt;=35,"边界同分","严格前20%"))</x:f>
        <x:v>严格前20%</x:v>
      </x:c>
      <x:c r="U31" s="26" t="str">
        <x:f>IF(COUNTIFS($I$6:$I$179,"&lt;"&amp;I31)&gt;=35,"非后20%",IF(COUNTIFS($I$6:$I$179,"&lt;="&amp;I31)&gt;=35,"边界同分","严格后20%"))</x:f>
        <x:v>非后20%</x:v>
      </x:c>
      <x:c r="V31" s="26" t="n">
        <x:f>'基线调整'!I28</x:f>
        <x:v>69.800446441212</x:v>
      </x:c>
      <x:c r="W31" s="26" t="n">
        <x:f>'基线调整'!J28</x:f>
        <x:v>22.5</x:v>
      </x:c>
      <x:c r="X31" s="22" t="str">
        <x:v>["S1054"]</x:v>
      </x:c>
      <x:c r="Y31" s="22" t="str">
        <x:v>evidence/student_evidence.jsonl；student_key=2026春:268184</x:v>
      </x:c>
      <x:c r="Z31" s="26" t="n">
        <x:f>IF(OR(B31="s3",B31="s6"),COUNTIFS($B$6:$B$179,B31,$K$6:$K$179,"&gt;"&amp;K31)+(COUNTIFS($B$6:$B$179,B31,$K$6:$K$179,K31)+1)/2,"NA")</x:f>
        <x:v>25.5</x:v>
      </x:c>
      <x:c r="AA31" s="26" t="n">
        <x:f>IF(OR(B31="s3",B31="s6"),COUNTIFS($B$6:$B$179,B31,$M$6:$M$179,"&gt;"&amp;M31)+(COUNTIFS($B$6:$B$179,B31,$M$6:$M$179,M31)+1)/2,"NA")</x:f>
        <x:v>22.5</x:v>
      </x:c>
      <x:c r="AB31" s="26" t="n">
        <x:f>IF(OR(B31="s3",B31="s6"),COUNTIFS($B$6:$B$179,B31,$O$6:$O$179,"&gt;"&amp;O31)+(COUNTIFS($B$6:$B$179,B31,$O$6:$O$179,O31)+1)/2,"NA")</x:f>
        <x:v>22.5</x:v>
      </x:c>
      <x:c r="AC31" s="26" t="n">
        <x:f>IF(OR(B31="s3",B31="s6"),COUNTIFS($B$6:$B$179,B31,$Q$6:$Q$179,"&gt;"&amp;Q31)+(COUNTIFS($B$6:$B$179,B31,$Q$6:$Q$179,Q31)+1)/2,"NA")</x:f>
        <x:v>30.5</x:v>
      </x:c>
    </x:row>
    <x:row r="32" ht="23" customHeight="1">
      <x:c r="A32" s="21" t="str">
        <x:v>2025秋:240957</x:v>
      </x:c>
      <x:c r="B32" s="22" t="str">
        <x:v>s3</x:v>
      </x:c>
      <x:c r="C32" s="24" t="n">
        <x:v>1</x:v>
      </x:c>
      <x:c r="D32" s="24" t="n">
        <x:v>1</x:v>
      </x:c>
      <x:c r="E32" s="29" t="n">
        <x:f>'指标计算'!K6</x:f>
        <x:v>0.029863637588595143</x:v>
      </x:c>
      <x:c r="F32" s="29" t="n">
        <x:f>'指标计算'!L6</x:f>
        <x:v>0.3583636510631417</x:v>
      </x:c>
      <x:c r="G32" s="29" t="n">
        <x:f>'指标计算'!M6</x:f>
        <x:v>0.3583636510631417</x:v>
      </x:c>
      <x:c r="H32" s="29" t="n">
        <x:f>'指标计算'!N6</x:f>
        <x:v>1</x:v>
      </x:c>
      <x:c r="I32" s="30" t="n">
        <x:f>IF(COUNT('总览与权重'!$H$6:$K$6)=4,ROUND(100*SUMPRODUCT(E32:H32,'总览与权重'!$H$6:$K$6),12),"NA")</x:f>
        <x:v>45.230455170184</x:v>
      </x:c>
      <x:c r="J32" s="30" t="n">
        <x:f>IF(ISNUMBER(I32),COUNTIFS($I$6:$I$179,"&gt;"&amp;I32)+(COUNTIFS($I$6:$I$179,I32)+1)/2,"NA")</x:f>
        <x:v>28</x:v>
      </x:c>
      <x:c r="K32" s="30" t="n">
        <x:f>IF(COUNT('总览与权重'!$H$7:$K$7)=4,ROUND(100*SUMPRODUCT(E32:H32,'总览与权重'!$H$7:$K$7),12),"NA")</x:f>
        <x:v>42.09909181556</x:v>
      </x:c>
      <x:c r="L32" s="30" t="n">
        <x:f>IF(ISNUMBER(K32),COUNTIFS($K$6:$K$179,"&gt;"&amp;K32)+(COUNTIFS($K$6:$K$179,K32)+1)/2,"NA")</x:f>
        <x:v>32</x:v>
      </x:c>
      <x:c r="M32" s="30" t="n">
        <x:f>IF(COUNT('总览与权重'!$H$8:$K$8)=4,ROUND(100*SUMPRODUCT(E32:H32,'总览与权重'!$H$8:$K$8),12),"NA")</x:f>
        <x:v>50.081136982241</x:v>
      </x:c>
      <x:c r="N32" s="30" t="n">
        <x:f>IF(ISNUMBER(M32),COUNTIFS($M$6:$M$179,"&gt;"&amp;M32)+(COUNTIFS($M$6:$M$179,M32)+1)/2,"NA")</x:f>
        <x:v>28</x:v>
      </x:c>
      <x:c r="O32" s="30" t="n">
        <x:f>IF(COUNT('总览与权重'!$H$9:$K$9)=4,ROUND(100*SUMPRODUCT(E32:H32,'总览与权重'!$H$9:$K$9),12),"NA")</x:f>
        <x:v>47.407595860758</x:v>
      </x:c>
      <x:c r="P32" s="30" t="n">
        <x:f>IF(ISNUMBER(O32),COUNTIFS($O$6:$O$179,"&gt;"&amp;O32)+(COUNTIFS($O$6:$O$179,O32)+1)/2,"NA")</x:f>
        <x:v>28</x:v>
      </x:c>
      <x:c r="Q32" s="30" t="n">
        <x:f>IF(COUNT('总览与权重'!$H$10:$K$10)=4,ROUND(100*SUMPRODUCT(E32:H32,'总览与权重'!$H$10:$K$10),12),"NA")</x:f>
        <x:v>27.440487609586</x:v>
      </x:c>
      <x:c r="R32" s="30" t="n">
        <x:f>IF(ISNUMBER(Q32),COUNTIFS($Q$6:$Q$179,"&gt;"&amp;Q32)+(COUNTIFS($Q$6:$Q$179,Q32)+1)/2,"NA")</x:f>
        <x:v>37</x:v>
      </x:c>
      <x:c r="S32" s="31" t="n">
        <x:f>IF(OR(B32="s3",B32="s6"),COUNTIFS($B$6:$B$179,B32,$I$6:$I$179,"&gt;"&amp;I32)+(COUNTIFS($B$6:$B$179,B32,$I$6:$I$179,I32)+1)/2,"NA")</x:f>
        <x:v>25</x:v>
      </x:c>
      <x:c r="T32" s="26" t="str">
        <x:f>IF(COUNTIFS($I$6:$I$179,"&gt;"&amp;I32)&gt;=35,"非前20%",IF(COUNTIFS($I$6:$I$179,"&gt;="&amp;I32)&gt;=35,"边界同分","严格前20%"))</x:f>
        <x:v>严格前20%</x:v>
      </x:c>
      <x:c r="U32" s="26" t="str">
        <x:f>IF(COUNTIFS($I$6:$I$179,"&lt;"&amp;I32)&gt;=35,"非后20%",IF(COUNTIFS($I$6:$I$179,"&lt;="&amp;I32)&gt;=35,"边界同分","严格后20%"))</x:f>
        <x:v>非后20%</x:v>
      </x:c>
      <x:c r="V32" s="26" t="n">
        <x:f>'基线调整'!I29</x:f>
        <x:v>69.708144141525</x:v>
      </x:c>
      <x:c r="W32" s="26" t="n">
        <x:f>'基线调整'!J29</x:f>
        <x:v>25</x:v>
      </x:c>
      <x:c r="X32" s="22" t="str">
        <x:v>["S0440"]</x:v>
      </x:c>
      <x:c r="Y32" s="22" t="str">
        <x:v>evidence/student_evidence.jsonl；student_key=2025秋:240957</x:v>
      </x:c>
      <x:c r="Z32" s="26" t="n">
        <x:f>IF(OR(B32="s3",B32="s6"),COUNTIFS($B$6:$B$179,B32,$K$6:$K$179,"&gt;"&amp;K32)+(COUNTIFS($B$6:$B$179,B32,$K$6:$K$179,K32)+1)/2,"NA")</x:f>
        <x:v>29</x:v>
      </x:c>
      <x:c r="AA32" s="26" t="n">
        <x:f>IF(OR(B32="s3",B32="s6"),COUNTIFS($B$6:$B$179,B32,$M$6:$M$179,"&gt;"&amp;M32)+(COUNTIFS($B$6:$B$179,B32,$M$6:$M$179,M32)+1)/2,"NA")</x:f>
        <x:v>25</x:v>
      </x:c>
      <x:c r="AB32" s="26" t="n">
        <x:f>IF(OR(B32="s3",B32="s6"),COUNTIFS($B$6:$B$179,B32,$O$6:$O$179,"&gt;"&amp;O32)+(COUNTIFS($B$6:$B$179,B32,$O$6:$O$179,O32)+1)/2,"NA")</x:f>
        <x:v>25</x:v>
      </x:c>
      <x:c r="AC32" s="26" t="n">
        <x:f>IF(OR(B32="s3",B32="s6"),COUNTIFS($B$6:$B$179,B32,$Q$6:$Q$179,"&gt;"&amp;Q32)+(COUNTIFS($B$6:$B$179,B32,$Q$6:$Q$179,Q32)+1)/2,"NA")</x:f>
        <x:v>33</x:v>
      </x:c>
    </x:row>
    <x:row r="33" ht="23" customHeight="1">
      <x:c r="A33" s="21" t="str">
        <x:v>2025秋:259425</x:v>
      </x:c>
      <x:c r="B33" s="22" t="str">
        <x:v>s3</x:v>
      </x:c>
      <x:c r="C33" s="24" t="n">
        <x:v>1</x:v>
      </x:c>
      <x:c r="D33" s="24" t="n">
        <x:v>1</x:v>
      </x:c>
      <x:c r="E33" s="29" t="n">
        <x:f>'指标计算'!K103</x:f>
        <x:v>0.029863637588595143</x:v>
      </x:c>
      <x:c r="F33" s="29" t="n">
        <x:f>'指标计算'!L103</x:f>
        <x:v>0.3583636510631417</x:v>
      </x:c>
      <x:c r="G33" s="29" t="n">
        <x:f>'指标计算'!M103</x:f>
        <x:v>0.3583636510631417</x:v>
      </x:c>
      <x:c r="H33" s="29" t="n">
        <x:f>'指标计算'!N103</x:f>
        <x:v>1</x:v>
      </x:c>
      <x:c r="I33" s="30" t="n">
        <x:f>IF(COUNT('总览与权重'!$H$6:$K$6)=4,ROUND(100*SUMPRODUCT(E33:H33,'总览与权重'!$H$6:$K$6),12),"NA")</x:f>
        <x:v>45.230455170184</x:v>
      </x:c>
      <x:c r="J33" s="30" t="n">
        <x:f>IF(ISNUMBER(I33),COUNTIFS($I$6:$I$179,"&gt;"&amp;I33)+(COUNTIFS($I$6:$I$179,I33)+1)/2,"NA")</x:f>
        <x:v>28</x:v>
      </x:c>
      <x:c r="K33" s="30" t="n">
        <x:f>IF(COUNT('总览与权重'!$H$7:$K$7)=4,ROUND(100*SUMPRODUCT(E33:H33,'总览与权重'!$H$7:$K$7),12),"NA")</x:f>
        <x:v>42.09909181556</x:v>
      </x:c>
      <x:c r="L33" s="30" t="n">
        <x:f>IF(ISNUMBER(K33),COUNTIFS($K$6:$K$179,"&gt;"&amp;K33)+(COUNTIFS($K$6:$K$179,K33)+1)/2,"NA")</x:f>
        <x:v>32</x:v>
      </x:c>
      <x:c r="M33" s="30" t="n">
        <x:f>IF(COUNT('总览与权重'!$H$8:$K$8)=4,ROUND(100*SUMPRODUCT(E33:H33,'总览与权重'!$H$8:$K$8),12),"NA")</x:f>
        <x:v>50.081136982241</x:v>
      </x:c>
      <x:c r="N33" s="30" t="n">
        <x:f>IF(ISNUMBER(M33),COUNTIFS($M$6:$M$179,"&gt;"&amp;M33)+(COUNTIFS($M$6:$M$179,M33)+1)/2,"NA")</x:f>
        <x:v>28</x:v>
      </x:c>
      <x:c r="O33" s="30" t="n">
        <x:f>IF(COUNT('总览与权重'!$H$9:$K$9)=4,ROUND(100*SUMPRODUCT(E33:H33,'总览与权重'!$H$9:$K$9),12),"NA")</x:f>
        <x:v>47.407595860758</x:v>
      </x:c>
      <x:c r="P33" s="30" t="n">
        <x:f>IF(ISNUMBER(O33),COUNTIFS($O$6:$O$179,"&gt;"&amp;O33)+(COUNTIFS($O$6:$O$179,O33)+1)/2,"NA")</x:f>
        <x:v>28</x:v>
      </x:c>
      <x:c r="Q33" s="30" t="n">
        <x:f>IF(COUNT('总览与权重'!$H$10:$K$10)=4,ROUND(100*SUMPRODUCT(E33:H33,'总览与权重'!$H$10:$K$10),12),"NA")</x:f>
        <x:v>27.440487609586</x:v>
      </x:c>
      <x:c r="R33" s="30" t="n">
        <x:f>IF(ISNUMBER(Q33),COUNTIFS($Q$6:$Q$179,"&gt;"&amp;Q33)+(COUNTIFS($Q$6:$Q$179,Q33)+1)/2,"NA")</x:f>
        <x:v>37</x:v>
      </x:c>
      <x:c r="S33" s="31" t="n">
        <x:f>IF(OR(B33="s3",B33="s6"),COUNTIFS($B$6:$B$179,B33,$I$6:$I$179,"&gt;"&amp;I33)+(COUNTIFS($B$6:$B$179,B33,$I$6:$I$179,I33)+1)/2,"NA")</x:f>
        <x:v>25</x:v>
      </x:c>
      <x:c r="T33" s="26" t="str">
        <x:f>IF(COUNTIFS($I$6:$I$179,"&gt;"&amp;I33)&gt;=35,"非前20%",IF(COUNTIFS($I$6:$I$179,"&gt;="&amp;I33)&gt;=35,"边界同分","严格前20%"))</x:f>
        <x:v>严格前20%</x:v>
      </x:c>
      <x:c r="U33" s="26" t="str">
        <x:f>IF(COUNTIFS($I$6:$I$179,"&lt;"&amp;I33)&gt;=35,"非后20%",IF(COUNTIFS($I$6:$I$179,"&lt;="&amp;I33)&gt;=35,"边界同分","严格后20%"))</x:f>
        <x:v>非后20%</x:v>
      </x:c>
      <x:c r="V33" s="26" t="n">
        <x:f>'基线调整'!I30</x:f>
        <x:v>69.708144141525</x:v>
      </x:c>
      <x:c r="W33" s="26" t="n">
        <x:f>'基线调整'!J30</x:f>
        <x:v>25</x:v>
      </x:c>
      <x:c r="X33" s="22" t="str">
        <x:v>["S0037"]</x:v>
      </x:c>
      <x:c r="Y33" s="22" t="str">
        <x:v>evidence/student_evidence.jsonl；student_key=2025秋:259425</x:v>
      </x:c>
      <x:c r="Z33" s="26" t="n">
        <x:f>IF(OR(B33="s3",B33="s6"),COUNTIFS($B$6:$B$179,B33,$K$6:$K$179,"&gt;"&amp;K33)+(COUNTIFS($B$6:$B$179,B33,$K$6:$K$179,K33)+1)/2,"NA")</x:f>
        <x:v>29</x:v>
      </x:c>
      <x:c r="AA33" s="26" t="n">
        <x:f>IF(OR(B33="s3",B33="s6"),COUNTIFS($B$6:$B$179,B33,$M$6:$M$179,"&gt;"&amp;M33)+(COUNTIFS($B$6:$B$179,B33,$M$6:$M$179,M33)+1)/2,"NA")</x:f>
        <x:v>25</x:v>
      </x:c>
      <x:c r="AB33" s="26" t="n">
        <x:f>IF(OR(B33="s3",B33="s6"),COUNTIFS($B$6:$B$179,B33,$O$6:$O$179,"&gt;"&amp;O33)+(COUNTIFS($B$6:$B$179,B33,$O$6:$O$179,O33)+1)/2,"NA")</x:f>
        <x:v>25</x:v>
      </x:c>
      <x:c r="AC33" s="26" t="n">
        <x:f>IF(OR(B33="s3",B33="s6"),COUNTIFS($B$6:$B$179,B33,$Q$6:$Q$179,"&gt;"&amp;Q33)+(COUNTIFS($B$6:$B$179,B33,$Q$6:$Q$179,Q33)+1)/2,"NA")</x:f>
        <x:v>33</x:v>
      </x:c>
    </x:row>
    <x:row r="34" ht="23" customHeight="1">
      <x:c r="A34" s="21" t="str">
        <x:v>2026春:268502</x:v>
      </x:c>
      <x:c r="B34" s="22" t="str">
        <x:v>s3</x:v>
      </x:c>
      <x:c r="C34" s="24" t="n">
        <x:v>1</x:v>
      </x:c>
      <x:c r="D34" s="24" t="n">
        <x:v>1</x:v>
      </x:c>
      <x:c r="E34" s="29" t="n">
        <x:f>'指标计算'!K176</x:f>
        <x:v>0.029863637588595143</x:v>
      </x:c>
      <x:c r="F34" s="29" t="n">
        <x:f>'指标计算'!L176</x:f>
        <x:v>0.3583636510631417</x:v>
      </x:c>
      <x:c r="G34" s="29" t="n">
        <x:f>'指标计算'!M176</x:f>
        <x:v>0.3583636510631417</x:v>
      </x:c>
      <x:c r="H34" s="29" t="n">
        <x:f>'指标计算'!N176</x:f>
        <x:v>1</x:v>
      </x:c>
      <x:c r="I34" s="30" t="n">
        <x:f>IF(COUNT('总览与权重'!$H$6:$K$6)=4,ROUND(100*SUMPRODUCT(E34:H34,'总览与权重'!$H$6:$K$6),12),"NA")</x:f>
        <x:v>45.230455170184</x:v>
      </x:c>
      <x:c r="J34" s="30" t="n">
        <x:f>IF(ISNUMBER(I34),COUNTIFS($I$6:$I$179,"&gt;"&amp;I34)+(COUNTIFS($I$6:$I$179,I34)+1)/2,"NA")</x:f>
        <x:v>28</x:v>
      </x:c>
      <x:c r="K34" s="30" t="n">
        <x:f>IF(COUNT('总览与权重'!$H$7:$K$7)=4,ROUND(100*SUMPRODUCT(E34:H34,'总览与权重'!$H$7:$K$7),12),"NA")</x:f>
        <x:v>42.09909181556</x:v>
      </x:c>
      <x:c r="L34" s="30" t="n">
        <x:f>IF(ISNUMBER(K34),COUNTIFS($K$6:$K$179,"&gt;"&amp;K34)+(COUNTIFS($K$6:$K$179,K34)+1)/2,"NA")</x:f>
        <x:v>32</x:v>
      </x:c>
      <x:c r="M34" s="30" t="n">
        <x:f>IF(COUNT('总览与权重'!$H$8:$K$8)=4,ROUND(100*SUMPRODUCT(E34:H34,'总览与权重'!$H$8:$K$8),12),"NA")</x:f>
        <x:v>50.081136982241</x:v>
      </x:c>
      <x:c r="N34" s="30" t="n">
        <x:f>IF(ISNUMBER(M34),COUNTIFS($M$6:$M$179,"&gt;"&amp;M34)+(COUNTIFS($M$6:$M$179,M34)+1)/2,"NA")</x:f>
        <x:v>28</x:v>
      </x:c>
      <x:c r="O34" s="30" t="n">
        <x:f>IF(COUNT('总览与权重'!$H$9:$K$9)=4,ROUND(100*SUMPRODUCT(E34:H34,'总览与权重'!$H$9:$K$9),12),"NA")</x:f>
        <x:v>47.407595860758</x:v>
      </x:c>
      <x:c r="P34" s="30" t="n">
        <x:f>IF(ISNUMBER(O34),COUNTIFS($O$6:$O$179,"&gt;"&amp;O34)+(COUNTIFS($O$6:$O$179,O34)+1)/2,"NA")</x:f>
        <x:v>28</x:v>
      </x:c>
      <x:c r="Q34" s="30" t="n">
        <x:f>IF(COUNT('总览与权重'!$H$10:$K$10)=4,ROUND(100*SUMPRODUCT(E34:H34,'总览与权重'!$H$10:$K$10),12),"NA")</x:f>
        <x:v>27.440487609586</x:v>
      </x:c>
      <x:c r="R34" s="30" t="n">
        <x:f>IF(ISNUMBER(Q34),COUNTIFS($Q$6:$Q$179,"&gt;"&amp;Q34)+(COUNTIFS($Q$6:$Q$179,Q34)+1)/2,"NA")</x:f>
        <x:v>37</x:v>
      </x:c>
      <x:c r="S34" s="31" t="n">
        <x:f>IF(OR(B34="s3",B34="s6"),COUNTIFS($B$6:$B$179,B34,$I$6:$I$179,"&gt;"&amp;I34)+(COUNTIFS($B$6:$B$179,B34,$I$6:$I$179,I34)+1)/2,"NA")</x:f>
        <x:v>25</x:v>
      </x:c>
      <x:c r="T34" s="26" t="str">
        <x:f>IF(COUNTIFS($I$6:$I$179,"&gt;"&amp;I34)&gt;=35,"非前20%",IF(COUNTIFS($I$6:$I$179,"&gt;="&amp;I34)&gt;=35,"边界同分","严格前20%"))</x:f>
        <x:v>严格前20%</x:v>
      </x:c>
      <x:c r="U34" s="26" t="str">
        <x:f>IF(COUNTIFS($I$6:$I$179,"&lt;"&amp;I34)&gt;=35,"非后20%",IF(COUNTIFS($I$6:$I$179,"&lt;="&amp;I34)&gt;=35,"边界同分","严格后20%"))</x:f>
        <x:v>非后20%</x:v>
      </x:c>
      <x:c r="V34" s="26" t="n">
        <x:f>'基线调整'!I31</x:f>
        <x:v>69.708144141525</x:v>
      </x:c>
      <x:c r="W34" s="26" t="n">
        <x:f>'基线调整'!J31</x:f>
        <x:v>25</x:v>
      </x:c>
      <x:c r="X34" s="22" t="str">
        <x:v>["S1220"]</x:v>
      </x:c>
      <x:c r="Y34" s="22" t="str">
        <x:v>evidence/student_evidence.jsonl；student_key=2026春:268502</x:v>
      </x:c>
      <x:c r="Z34" s="26" t="n">
        <x:f>IF(OR(B34="s3",B34="s6"),COUNTIFS($B$6:$B$179,B34,$K$6:$K$179,"&gt;"&amp;K34)+(COUNTIFS($B$6:$B$179,B34,$K$6:$K$179,K34)+1)/2,"NA")</x:f>
        <x:v>29</x:v>
      </x:c>
      <x:c r="AA34" s="26" t="n">
        <x:f>IF(OR(B34="s3",B34="s6"),COUNTIFS($B$6:$B$179,B34,$M$6:$M$179,"&gt;"&amp;M34)+(COUNTIFS($B$6:$B$179,B34,$M$6:$M$179,M34)+1)/2,"NA")</x:f>
        <x:v>25</x:v>
      </x:c>
      <x:c r="AB34" s="26" t="n">
        <x:f>IF(OR(B34="s3",B34="s6"),COUNTIFS($B$6:$B$179,B34,$O$6:$O$179,"&gt;"&amp;O34)+(COUNTIFS($B$6:$B$179,B34,$O$6:$O$179,O34)+1)/2,"NA")</x:f>
        <x:v>25</x:v>
      </x:c>
      <x:c r="AC34" s="26" t="n">
        <x:f>IF(OR(B34="s3",B34="s6"),COUNTIFS($B$6:$B$179,B34,$Q$6:$Q$179,"&gt;"&amp;Q34)+(COUNTIFS($B$6:$B$179,B34,$Q$6:$Q$179,Q34)+1)/2,"NA")</x:f>
        <x:v>33</x:v>
      </x:c>
    </x:row>
    <x:row r="35" ht="23" customHeight="1">
      <x:c r="A35" s="21" t="str">
        <x:v>2025秋:258431</x:v>
      </x:c>
      <x:c r="B35" s="22" t="str">
        <x:v>s3</x:v>
      </x:c>
      <x:c r="C35" s="24" t="n">
        <x:v>2</x:v>
      </x:c>
      <x:c r="D35" s="24" t="n">
        <x:v>1</x:v>
      </x:c>
      <x:c r="E35" s="29" t="n">
        <x:f>'指标计算'!K15</x:f>
        <x:v>0.029851784894398523</x:v>
      </x:c>
      <x:c r="F35" s="29" t="n">
        <x:f>'指标计算'!L15</x:f>
        <x:v>0.3582214187327823</x:v>
      </x:c>
      <x:c r="G35" s="29" t="n">
        <x:f>'指标计算'!M15</x:f>
        <x:v>0.3582214187327823</x:v>
      </x:c>
      <x:c r="H35" s="29" t="n">
        <x:f>'指标计算'!N15</x:f>
        <x:v>1</x:v>
      </x:c>
      <x:c r="I35" s="30" t="n">
        <x:f>IF(COUNT('总览与权重'!$H$6:$K$6)=4,ROUND(100*SUMPRODUCT(E35:H35,'总览与权重'!$H$6:$K$6),12),"NA")</x:f>
        <x:v>45.224410296143</x:v>
      </x:c>
      <x:c r="J35" s="30" t="n">
        <x:f>IF(ISNUMBER(I35),COUNTIFS($I$6:$I$179,"&gt;"&amp;I35)+(COUNTIFS($I$6:$I$179,I35)+1)/2,"NA")</x:f>
        <x:v>31.5</x:v>
      </x:c>
      <x:c r="K35" s="30" t="n">
        <x:f>IF(COUNT('总览与权重'!$H$7:$K$7)=4,ROUND(100*SUMPRODUCT(E35:H35,'总览与权重'!$H$7:$K$7),12),"NA")</x:f>
        <x:v>42.090320821855</x:v>
      </x:c>
      <x:c r="L35" s="30" t="n">
        <x:f>IF(ISNUMBER(K35),COUNTIFS($K$6:$K$179,"&gt;"&amp;K35)+(COUNTIFS($K$6:$K$179,K35)+1)/2,"NA")</x:f>
        <x:v>35.5</x:v>
      </x:c>
      <x:c r="M35" s="30" t="n">
        <x:f>IF(COUNT('总览与权重'!$H$8:$K$8)=4,ROUND(100*SUMPRODUCT(E35:H35,'总览与权重'!$H$8:$K$8),12),"NA")</x:f>
        <x:v>50.075151371671</x:v>
      </x:c>
      <x:c r="N35" s="30" t="n">
        <x:f>IF(ISNUMBER(M35),COUNTIFS($M$6:$M$179,"&gt;"&amp;M35)+(COUNTIFS($M$6:$M$179,M35)+1)/2,"NA")</x:f>
        <x:v>31.5</x:v>
      </x:c>
      <x:c r="O35" s="30" t="n">
        <x:f>IF(COUNT('总览与权重'!$H$9:$K$9)=4,ROUND(100*SUMPRODUCT(E35:H35,'总览与权重'!$H$9:$K$9),12),"NA")</x:f>
        <x:v>47.40068689296</x:v>
      </x:c>
      <x:c r="P35" s="30" t="n">
        <x:f>IF(ISNUMBER(O35),COUNTIFS($O$6:$O$179,"&gt;"&amp;O35)+(COUNTIFS($O$6:$O$179,O35)+1)/2,"NA")</x:f>
        <x:v>31.5</x:v>
      </x:c>
      <x:c r="Q35" s="30" t="n">
        <x:f>IF(COUNT('总览与权重'!$H$10:$K$10)=4,ROUND(100*SUMPRODUCT(E35:H35,'总览与权重'!$H$10:$K$10),12),"NA")</x:f>
        <x:v>27.430955599351</x:v>
      </x:c>
      <x:c r="R35" s="30" t="n">
        <x:f>IF(ISNUMBER(Q35),COUNTIFS($Q$6:$Q$179,"&gt;"&amp;Q35)+(COUNTIFS($Q$6:$Q$179,Q35)+1)/2,"NA")</x:f>
        <x:v>40.5</x:v>
      </x:c>
      <x:c r="S35" s="31" t="n">
        <x:f>IF(OR(B35="s3",B35="s6"),COUNTIFS($B$6:$B$179,B35,$I$6:$I$179,"&gt;"&amp;I35)+(COUNTIFS($B$6:$B$179,B35,$I$6:$I$179,I35)+1)/2,"NA")</x:f>
        <x:v>28.5</x:v>
      </x:c>
      <x:c r="T35" s="26" t="str">
        <x:f>IF(COUNTIFS($I$6:$I$179,"&gt;"&amp;I35)&gt;=35,"非前20%",IF(COUNTIFS($I$6:$I$179,"&gt;="&amp;I35)&gt;=35,"边界同分","严格前20%"))</x:f>
        <x:v>严格前20%</x:v>
      </x:c>
      <x:c r="U35" s="26" t="str">
        <x:f>IF(COUNTIFS($I$6:$I$179,"&lt;"&amp;I35)&gt;=35,"非后20%",IF(COUNTIFS($I$6:$I$179,"&lt;="&amp;I35)&gt;=35,"边界同分","严格后20%"))</x:f>
        <x:v>非后20%</x:v>
      </x:c>
      <x:c r="V35" s="26" t="n">
        <x:f>'基线调整'!I32</x:f>
        <x:v>69.704519077959</x:v>
      </x:c>
      <x:c r="W35" s="26" t="n">
        <x:f>'基线调整'!J32</x:f>
        <x:v>28</x:v>
      </x:c>
      <x:c r="X35" s="22" t="str">
        <x:v>["S0444","S0667"]</x:v>
      </x:c>
      <x:c r="Y35" s="22" t="str">
        <x:v>evidence/student_evidence.jsonl；student_key=2025秋:258431</x:v>
      </x:c>
      <x:c r="Z35" s="26" t="n">
        <x:f>IF(OR(B35="s3",B35="s6"),COUNTIFS($B$6:$B$179,B35,$K$6:$K$179,"&gt;"&amp;K35)+(COUNTIFS($B$6:$B$179,B35,$K$6:$K$179,K35)+1)/2,"NA")</x:f>
        <x:v>32.5</x:v>
      </x:c>
      <x:c r="AA35" s="26" t="n">
        <x:f>IF(OR(B35="s3",B35="s6"),COUNTIFS($B$6:$B$179,B35,$M$6:$M$179,"&gt;"&amp;M35)+(COUNTIFS($B$6:$B$179,B35,$M$6:$M$179,M35)+1)/2,"NA")</x:f>
        <x:v>28.5</x:v>
      </x:c>
      <x:c r="AB35" s="26" t="n">
        <x:f>IF(OR(B35="s3",B35="s6"),COUNTIFS($B$6:$B$179,B35,$O$6:$O$179,"&gt;"&amp;O35)+(COUNTIFS($B$6:$B$179,B35,$O$6:$O$179,O35)+1)/2,"NA")</x:f>
        <x:v>28.5</x:v>
      </x:c>
      <x:c r="AC35" s="26" t="n">
        <x:f>IF(OR(B35="s3",B35="s6"),COUNTIFS($B$6:$B$179,B35,$Q$6:$Q$179,"&gt;"&amp;Q35)+(COUNTIFS($B$6:$B$179,B35,$Q$6:$Q$179,Q35)+1)/2,"NA")</x:f>
        <x:v>36.5</x:v>
      </x:c>
    </x:row>
    <x:row r="36" ht="23" customHeight="1">
      <x:c r="A36" s="21" t="str">
        <x:v>2025秋:259050</x:v>
      </x:c>
      <x:c r="B36" s="22" t="str">
        <x:v>s3</x:v>
      </x:c>
      <x:c r="C36" s="24" t="n">
        <x:v>1</x:v>
      </x:c>
      <x:c r="D36" s="24" t="n">
        <x:v>1</x:v>
      </x:c>
      <x:c r="E36" s="29" t="n">
        <x:f>'指标计算'!K70</x:f>
        <x:v>0.029851784894398523</x:v>
      </x:c>
      <x:c r="F36" s="29" t="n">
        <x:f>'指标计算'!L70</x:f>
        <x:v>0.3582214187327823</x:v>
      </x:c>
      <x:c r="G36" s="29" t="n">
        <x:f>'指标计算'!M70</x:f>
        <x:v>0.3582214187327823</x:v>
      </x:c>
      <x:c r="H36" s="29" t="n">
        <x:f>'指标计算'!N70</x:f>
        <x:v>1</x:v>
      </x:c>
      <x:c r="I36" s="30" t="n">
        <x:f>IF(COUNT('总览与权重'!$H$6:$K$6)=4,ROUND(100*SUMPRODUCT(E36:H36,'总览与权重'!$H$6:$K$6),12),"NA")</x:f>
        <x:v>45.224410296143</x:v>
      </x:c>
      <x:c r="J36" s="30" t="n">
        <x:f>IF(ISNUMBER(I36),COUNTIFS($I$6:$I$179,"&gt;"&amp;I36)+(COUNTIFS($I$6:$I$179,I36)+1)/2,"NA")</x:f>
        <x:v>31.5</x:v>
      </x:c>
      <x:c r="K36" s="30" t="n">
        <x:f>IF(COUNT('总览与权重'!$H$7:$K$7)=4,ROUND(100*SUMPRODUCT(E36:H36,'总览与权重'!$H$7:$K$7),12),"NA")</x:f>
        <x:v>42.090320821855</x:v>
      </x:c>
      <x:c r="L36" s="30" t="n">
        <x:f>IF(ISNUMBER(K36),COUNTIFS($K$6:$K$179,"&gt;"&amp;K36)+(COUNTIFS($K$6:$K$179,K36)+1)/2,"NA")</x:f>
        <x:v>35.5</x:v>
      </x:c>
      <x:c r="M36" s="30" t="n">
        <x:f>IF(COUNT('总览与权重'!$H$8:$K$8)=4,ROUND(100*SUMPRODUCT(E36:H36,'总览与权重'!$H$8:$K$8),12),"NA")</x:f>
        <x:v>50.075151371671</x:v>
      </x:c>
      <x:c r="N36" s="30" t="n">
        <x:f>IF(ISNUMBER(M36),COUNTIFS($M$6:$M$179,"&gt;"&amp;M36)+(COUNTIFS($M$6:$M$179,M36)+1)/2,"NA")</x:f>
        <x:v>31.5</x:v>
      </x:c>
      <x:c r="O36" s="30" t="n">
        <x:f>IF(COUNT('总览与权重'!$H$9:$K$9)=4,ROUND(100*SUMPRODUCT(E36:H36,'总览与权重'!$H$9:$K$9),12),"NA")</x:f>
        <x:v>47.40068689296</x:v>
      </x:c>
      <x:c r="P36" s="30" t="n">
        <x:f>IF(ISNUMBER(O36),COUNTIFS($O$6:$O$179,"&gt;"&amp;O36)+(COUNTIFS($O$6:$O$179,O36)+1)/2,"NA")</x:f>
        <x:v>31.5</x:v>
      </x:c>
      <x:c r="Q36" s="30" t="n">
        <x:f>IF(COUNT('总览与权重'!$H$10:$K$10)=4,ROUND(100*SUMPRODUCT(E36:H36,'总览与权重'!$H$10:$K$10),12),"NA")</x:f>
        <x:v>27.430955599351</x:v>
      </x:c>
      <x:c r="R36" s="30" t="n">
        <x:f>IF(ISNUMBER(Q36),COUNTIFS($Q$6:$Q$179,"&gt;"&amp;Q36)+(COUNTIFS($Q$6:$Q$179,Q36)+1)/2,"NA")</x:f>
        <x:v>40.5</x:v>
      </x:c>
      <x:c r="S36" s="31" t="n">
        <x:f>IF(OR(B36="s3",B36="s6"),COUNTIFS($B$6:$B$179,B36,$I$6:$I$179,"&gt;"&amp;I36)+(COUNTIFS($B$6:$B$179,B36,$I$6:$I$179,I36)+1)/2,"NA")</x:f>
        <x:v>28.5</x:v>
      </x:c>
      <x:c r="T36" s="26" t="str">
        <x:f>IF(COUNTIFS($I$6:$I$179,"&gt;"&amp;I36)&gt;=35,"非前20%",IF(COUNTIFS($I$6:$I$179,"&gt;="&amp;I36)&gt;=35,"边界同分","严格前20%"))</x:f>
        <x:v>严格前20%</x:v>
      </x:c>
      <x:c r="U36" s="26" t="str">
        <x:f>IF(COUNTIFS($I$6:$I$179,"&lt;"&amp;I36)&gt;=35,"非后20%",IF(COUNTIFS($I$6:$I$179,"&lt;="&amp;I36)&gt;=35,"边界同分","严格后20%"))</x:f>
        <x:v>非后20%</x:v>
      </x:c>
      <x:c r="V36" s="26" t="str">
        <x:v>NA</x:v>
      </x:c>
      <x:c r="W36" s="26" t="str">
        <x:v>NA</x:v>
      </x:c>
      <x:c r="X36" s="22" t="str">
        <x:v>["S0455"]</x:v>
      </x:c>
      <x:c r="Y36" s="22" t="str">
        <x:v>evidence/student_evidence.jsonl；student_key=2025秋:259050</x:v>
      </x:c>
      <x:c r="Z36" s="26" t="n">
        <x:f>IF(OR(B36="s3",B36="s6"),COUNTIFS($B$6:$B$179,B36,$K$6:$K$179,"&gt;"&amp;K36)+(COUNTIFS($B$6:$B$179,B36,$K$6:$K$179,K36)+1)/2,"NA")</x:f>
        <x:v>32.5</x:v>
      </x:c>
      <x:c r="AA36" s="26" t="n">
        <x:f>IF(OR(B36="s3",B36="s6"),COUNTIFS($B$6:$B$179,B36,$M$6:$M$179,"&gt;"&amp;M36)+(COUNTIFS($B$6:$B$179,B36,$M$6:$M$179,M36)+1)/2,"NA")</x:f>
        <x:v>28.5</x:v>
      </x:c>
      <x:c r="AB36" s="26" t="n">
        <x:f>IF(OR(B36="s3",B36="s6"),COUNTIFS($B$6:$B$179,B36,$O$6:$O$179,"&gt;"&amp;O36)+(COUNTIFS($B$6:$B$179,B36,$O$6:$O$179,O36)+1)/2,"NA")</x:f>
        <x:v>28.5</x:v>
      </x:c>
      <x:c r="AC36" s="26" t="n">
        <x:f>IF(OR(B36="s3",B36="s6"),COUNTIFS($B$6:$B$179,B36,$Q$6:$Q$179,"&gt;"&amp;Q36)+(COUNTIFS($B$6:$B$179,B36,$Q$6:$Q$179,Q36)+1)/2,"NA")</x:f>
        <x:v>36.5</x:v>
      </x:c>
    </x:row>
    <x:row r="37" ht="23" customHeight="1">
      <x:c r="A37" s="21" t="str">
        <x:v>2025秋:259326</x:v>
      </x:c>
      <x:c r="B37" s="22" t="str">
        <x:v>s3</x:v>
      </x:c>
      <x:c r="C37" s="24" t="n">
        <x:v>1</x:v>
      </x:c>
      <x:c r="D37" s="24" t="n">
        <x:v>1</x:v>
      </x:c>
      <x:c r="E37" s="29" t="n">
        <x:f>'指标计算'!K86</x:f>
        <x:v>0.029851784894398523</x:v>
      </x:c>
      <x:c r="F37" s="29" t="n">
        <x:f>'指标计算'!L86</x:f>
        <x:v>0.3582214187327823</x:v>
      </x:c>
      <x:c r="G37" s="29" t="n">
        <x:f>'指标计算'!M86</x:f>
        <x:v>0.3582214187327823</x:v>
      </x:c>
      <x:c r="H37" s="29" t="n">
        <x:f>'指标计算'!N86</x:f>
        <x:v>1</x:v>
      </x:c>
      <x:c r="I37" s="30" t="n">
        <x:f>IF(COUNT('总览与权重'!$H$6:$K$6)=4,ROUND(100*SUMPRODUCT(E37:H37,'总览与权重'!$H$6:$K$6),12),"NA")</x:f>
        <x:v>45.224410296143</x:v>
      </x:c>
      <x:c r="J37" s="30" t="n">
        <x:f>IF(ISNUMBER(I37),COUNTIFS($I$6:$I$179,"&gt;"&amp;I37)+(COUNTIFS($I$6:$I$179,I37)+1)/2,"NA")</x:f>
        <x:v>31.5</x:v>
      </x:c>
      <x:c r="K37" s="30" t="n">
        <x:f>IF(COUNT('总览与权重'!$H$7:$K$7)=4,ROUND(100*SUMPRODUCT(E37:H37,'总览与权重'!$H$7:$K$7),12),"NA")</x:f>
        <x:v>42.090320821855</x:v>
      </x:c>
      <x:c r="L37" s="30" t="n">
        <x:f>IF(ISNUMBER(K37),COUNTIFS($K$6:$K$179,"&gt;"&amp;K37)+(COUNTIFS($K$6:$K$179,K37)+1)/2,"NA")</x:f>
        <x:v>35.5</x:v>
      </x:c>
      <x:c r="M37" s="30" t="n">
        <x:f>IF(COUNT('总览与权重'!$H$8:$K$8)=4,ROUND(100*SUMPRODUCT(E37:H37,'总览与权重'!$H$8:$K$8),12),"NA")</x:f>
        <x:v>50.075151371671</x:v>
      </x:c>
      <x:c r="N37" s="30" t="n">
        <x:f>IF(ISNUMBER(M37),COUNTIFS($M$6:$M$179,"&gt;"&amp;M37)+(COUNTIFS($M$6:$M$179,M37)+1)/2,"NA")</x:f>
        <x:v>31.5</x:v>
      </x:c>
      <x:c r="O37" s="30" t="n">
        <x:f>IF(COUNT('总览与权重'!$H$9:$K$9)=4,ROUND(100*SUMPRODUCT(E37:H37,'总览与权重'!$H$9:$K$9),12),"NA")</x:f>
        <x:v>47.40068689296</x:v>
      </x:c>
      <x:c r="P37" s="30" t="n">
        <x:f>IF(ISNUMBER(O37),COUNTIFS($O$6:$O$179,"&gt;"&amp;O37)+(COUNTIFS($O$6:$O$179,O37)+1)/2,"NA")</x:f>
        <x:v>31.5</x:v>
      </x:c>
      <x:c r="Q37" s="30" t="n">
        <x:f>IF(COUNT('总览与权重'!$H$10:$K$10)=4,ROUND(100*SUMPRODUCT(E37:H37,'总览与权重'!$H$10:$K$10),12),"NA")</x:f>
        <x:v>27.430955599351</x:v>
      </x:c>
      <x:c r="R37" s="30" t="n">
        <x:f>IF(ISNUMBER(Q37),COUNTIFS($Q$6:$Q$179,"&gt;"&amp;Q37)+(COUNTIFS($Q$6:$Q$179,Q37)+1)/2,"NA")</x:f>
        <x:v>40.5</x:v>
      </x:c>
      <x:c r="S37" s="31" t="n">
        <x:f>IF(OR(B37="s3",B37="s6"),COUNTIFS($B$6:$B$179,B37,$I$6:$I$179,"&gt;"&amp;I37)+(COUNTIFS($B$6:$B$179,B37,$I$6:$I$179,I37)+1)/2,"NA")</x:f>
        <x:v>28.5</x:v>
      </x:c>
      <x:c r="T37" s="26" t="str">
        <x:f>IF(COUNTIFS($I$6:$I$179,"&gt;"&amp;I37)&gt;=35,"非前20%",IF(COUNTIFS($I$6:$I$179,"&gt;="&amp;I37)&gt;=35,"边界同分","严格前20%"))</x:f>
        <x:v>严格前20%</x:v>
      </x:c>
      <x:c r="U37" s="26" t="str">
        <x:f>IF(COUNTIFS($I$6:$I$179,"&lt;"&amp;I37)&gt;=35,"非后20%",IF(COUNTIFS($I$6:$I$179,"&lt;="&amp;I37)&gt;=35,"边界同分","严格后20%"))</x:f>
        <x:v>非后20%</x:v>
      </x:c>
      <x:c r="V37" s="26" t="n">
        <x:f>'基线调整'!I33</x:f>
        <x:v>69.704519077959</x:v>
      </x:c>
      <x:c r="W37" s="26" t="n">
        <x:f>'基线调整'!J33</x:f>
        <x:v>28</x:v>
      </x:c>
      <x:c r="X37" s="22" t="str">
        <x:v>["S0496"]</x:v>
      </x:c>
      <x:c r="Y37" s="22" t="str">
        <x:v>evidence/student_evidence.jsonl；student_key=2025秋:259326</x:v>
      </x:c>
      <x:c r="Z37" s="26" t="n">
        <x:f>IF(OR(B37="s3",B37="s6"),COUNTIFS($B$6:$B$179,B37,$K$6:$K$179,"&gt;"&amp;K37)+(COUNTIFS($B$6:$B$179,B37,$K$6:$K$179,K37)+1)/2,"NA")</x:f>
        <x:v>32.5</x:v>
      </x:c>
      <x:c r="AA37" s="26" t="n">
        <x:f>IF(OR(B37="s3",B37="s6"),COUNTIFS($B$6:$B$179,B37,$M$6:$M$179,"&gt;"&amp;M37)+(COUNTIFS($B$6:$B$179,B37,$M$6:$M$179,M37)+1)/2,"NA")</x:f>
        <x:v>28.5</x:v>
      </x:c>
      <x:c r="AB37" s="26" t="n">
        <x:f>IF(OR(B37="s3",B37="s6"),COUNTIFS($B$6:$B$179,B37,$O$6:$O$179,"&gt;"&amp;O37)+(COUNTIFS($B$6:$B$179,B37,$O$6:$O$179,O37)+1)/2,"NA")</x:f>
        <x:v>28.5</x:v>
      </x:c>
      <x:c r="AC37" s="26" t="n">
        <x:f>IF(OR(B37="s3",B37="s6"),COUNTIFS($B$6:$B$179,B37,$Q$6:$Q$179,"&gt;"&amp;Q37)+(COUNTIFS($B$6:$B$179,B37,$Q$6:$Q$179,Q37)+1)/2,"NA")</x:f>
        <x:v>36.5</x:v>
      </x:c>
    </x:row>
    <x:row r="38" ht="23" customHeight="1">
      <x:c r="A38" s="21" t="str">
        <x:v>2026春:268174</x:v>
      </x:c>
      <x:c r="B38" s="22" t="str">
        <x:v>s3</x:v>
      </x:c>
      <x:c r="C38" s="24" t="n">
        <x:v>1</x:v>
      </x:c>
      <x:c r="D38" s="24" t="n">
        <x:v>1</x:v>
      </x:c>
      <x:c r="E38" s="29" t="n">
        <x:f>'指标计算'!K163</x:f>
        <x:v>0.029851784894398523</x:v>
      </x:c>
      <x:c r="F38" s="29" t="n">
        <x:f>'指标计算'!L163</x:f>
        <x:v>0.3582214187327823</x:v>
      </x:c>
      <x:c r="G38" s="29" t="n">
        <x:f>'指标计算'!M163</x:f>
        <x:v>0.3582214187327823</x:v>
      </x:c>
      <x:c r="H38" s="29" t="n">
        <x:f>'指标计算'!N163</x:f>
        <x:v>1</x:v>
      </x:c>
      <x:c r="I38" s="30" t="n">
        <x:f>IF(COUNT('总览与权重'!$H$6:$K$6)=4,ROUND(100*SUMPRODUCT(E38:H38,'总览与权重'!$H$6:$K$6),12),"NA")</x:f>
        <x:v>45.224410296143</x:v>
      </x:c>
      <x:c r="J38" s="30" t="n">
        <x:f>IF(ISNUMBER(I38),COUNTIFS($I$6:$I$179,"&gt;"&amp;I38)+(COUNTIFS($I$6:$I$179,I38)+1)/2,"NA")</x:f>
        <x:v>31.5</x:v>
      </x:c>
      <x:c r="K38" s="30" t="n">
        <x:f>IF(COUNT('总览与权重'!$H$7:$K$7)=4,ROUND(100*SUMPRODUCT(E38:H38,'总览与权重'!$H$7:$K$7),12),"NA")</x:f>
        <x:v>42.090320821855</x:v>
      </x:c>
      <x:c r="L38" s="30" t="n">
        <x:f>IF(ISNUMBER(K38),COUNTIFS($K$6:$K$179,"&gt;"&amp;K38)+(COUNTIFS($K$6:$K$179,K38)+1)/2,"NA")</x:f>
        <x:v>35.5</x:v>
      </x:c>
      <x:c r="M38" s="30" t="n">
        <x:f>IF(COUNT('总览与权重'!$H$8:$K$8)=4,ROUND(100*SUMPRODUCT(E38:H38,'总览与权重'!$H$8:$K$8),12),"NA")</x:f>
        <x:v>50.075151371671</x:v>
      </x:c>
      <x:c r="N38" s="30" t="n">
        <x:f>IF(ISNUMBER(M38),COUNTIFS($M$6:$M$179,"&gt;"&amp;M38)+(COUNTIFS($M$6:$M$179,M38)+1)/2,"NA")</x:f>
        <x:v>31.5</x:v>
      </x:c>
      <x:c r="O38" s="30" t="n">
        <x:f>IF(COUNT('总览与权重'!$H$9:$K$9)=4,ROUND(100*SUMPRODUCT(E38:H38,'总览与权重'!$H$9:$K$9),12),"NA")</x:f>
        <x:v>47.40068689296</x:v>
      </x:c>
      <x:c r="P38" s="30" t="n">
        <x:f>IF(ISNUMBER(O38),COUNTIFS($O$6:$O$179,"&gt;"&amp;O38)+(COUNTIFS($O$6:$O$179,O38)+1)/2,"NA")</x:f>
        <x:v>31.5</x:v>
      </x:c>
      <x:c r="Q38" s="30" t="n">
        <x:f>IF(COUNT('总览与权重'!$H$10:$K$10)=4,ROUND(100*SUMPRODUCT(E38:H38,'总览与权重'!$H$10:$K$10),12),"NA")</x:f>
        <x:v>27.430955599351</x:v>
      </x:c>
      <x:c r="R38" s="30" t="n">
        <x:f>IF(ISNUMBER(Q38),COUNTIFS($Q$6:$Q$179,"&gt;"&amp;Q38)+(COUNTIFS($Q$6:$Q$179,Q38)+1)/2,"NA")</x:f>
        <x:v>40.5</x:v>
      </x:c>
      <x:c r="S38" s="31" t="n">
        <x:f>IF(OR(B38="s3",B38="s6"),COUNTIFS($B$6:$B$179,B38,$I$6:$I$179,"&gt;"&amp;I38)+(COUNTIFS($B$6:$B$179,B38,$I$6:$I$179,I38)+1)/2,"NA")</x:f>
        <x:v>28.5</x:v>
      </x:c>
      <x:c r="T38" s="26" t="str">
        <x:f>IF(COUNTIFS($I$6:$I$179,"&gt;"&amp;I38)&gt;=35,"非前20%",IF(COUNTIFS($I$6:$I$179,"&gt;="&amp;I38)&gt;=35,"边界同分","严格前20%"))</x:f>
        <x:v>严格前20%</x:v>
      </x:c>
      <x:c r="U38" s="26" t="str">
        <x:f>IF(COUNTIFS($I$6:$I$179,"&lt;"&amp;I38)&gt;=35,"非后20%",IF(COUNTIFS($I$6:$I$179,"&lt;="&amp;I38)&gt;=35,"边界同分","严格后20%"))</x:f>
        <x:v>非后20%</x:v>
      </x:c>
      <x:c r="V38" s="26" t="n">
        <x:f>'基线调整'!I34</x:f>
        <x:v>69.704519077959</x:v>
      </x:c>
      <x:c r="W38" s="26" t="n">
        <x:f>'基线调整'!J34</x:f>
        <x:v>28</x:v>
      </x:c>
      <x:c r="X38" s="22" t="str">
        <x:v>["S1044"]</x:v>
      </x:c>
      <x:c r="Y38" s="22" t="str">
        <x:v>evidence/student_evidence.jsonl；student_key=2026春:268174</x:v>
      </x:c>
      <x:c r="Z38" s="26" t="n">
        <x:f>IF(OR(B38="s3",B38="s6"),COUNTIFS($B$6:$B$179,B38,$K$6:$K$179,"&gt;"&amp;K38)+(COUNTIFS($B$6:$B$179,B38,$K$6:$K$179,K38)+1)/2,"NA")</x:f>
        <x:v>32.5</x:v>
      </x:c>
      <x:c r="AA38" s="26" t="n">
        <x:f>IF(OR(B38="s3",B38="s6"),COUNTIFS($B$6:$B$179,B38,$M$6:$M$179,"&gt;"&amp;M38)+(COUNTIFS($B$6:$B$179,B38,$M$6:$M$179,M38)+1)/2,"NA")</x:f>
        <x:v>28.5</x:v>
      </x:c>
      <x:c r="AB38" s="26" t="n">
        <x:f>IF(OR(B38="s3",B38="s6"),COUNTIFS($B$6:$B$179,B38,$O$6:$O$179,"&gt;"&amp;O38)+(COUNTIFS($B$6:$B$179,B38,$O$6:$O$179,O38)+1)/2,"NA")</x:f>
        <x:v>28.5</x:v>
      </x:c>
      <x:c r="AC38" s="26" t="n">
        <x:f>IF(OR(B38="s3",B38="s6"),COUNTIFS($B$6:$B$179,B38,$Q$6:$Q$179,"&gt;"&amp;Q38)+(COUNTIFS($B$6:$B$179,B38,$Q$6:$Q$179,Q38)+1)/2,"NA")</x:f>
        <x:v>36.5</x:v>
      </x:c>
    </x:row>
    <x:row r="39" ht="23" customHeight="1">
      <x:c r="A39" s="21" t="str">
        <x:v>2025秋:258924</x:v>
      </x:c>
      <x:c r="B39" s="22" t="str">
        <x:v>s3</x:v>
      </x:c>
      <x:c r="C39" s="24" t="n">
        <x:v>1</x:v>
      </x:c>
      <x:c r="D39" s="24" t="n">
        <x:v>1</x:v>
      </x:c>
      <x:c r="E39" s="29" t="n">
        <x:f>'指标计算'!K44</x:f>
        <x:v>0.029365189523728057</x:v>
      </x:c>
      <x:c r="F39" s="29" t="n">
        <x:f>'指标计算'!L44</x:f>
        <x:v>0.3523822742847367</x:v>
      </x:c>
      <x:c r="G39" s="29" t="n">
        <x:f>'指标计算'!M44</x:f>
        <x:v>0.3523822742847367</x:v>
      </x:c>
      <x:c r="H39" s="29" t="n">
        <x:f>'指标计算'!N44</x:f>
        <x:v>1</x:v>
      </x:c>
      <x:c r="I39" s="30" t="n">
        <x:f>IF(COUNT('总览与权重'!$H$6:$K$6)=4,ROUND(100*SUMPRODUCT(E39:H39,'总览与权重'!$H$6:$K$6),12),"NA")</x:f>
        <x:v>44.976246657101</x:v>
      </x:c>
      <x:c r="J39" s="30" t="n">
        <x:f>IF(ISNUMBER(I39),COUNTIFS($I$6:$I$179,"&gt;"&amp;I39)+(COUNTIFS($I$6:$I$179,I39)+1)/2,"NA")</x:f>
        <x:v>34.5</x:v>
      </x:c>
      <x:c r="K39" s="30" t="n">
        <x:f>IF(COUNT('总览与权重'!$H$7:$K$7)=4,ROUND(100*SUMPRODUCT(E39:H39,'总览与权重'!$H$7:$K$7),12),"NA")</x:f>
        <x:v>41.730240247559</x:v>
      </x:c>
      <x:c r="L39" s="30" t="n">
        <x:f>IF(ISNUMBER(K39),COUNTIFS($K$6:$K$179,"&gt;"&amp;K39)+(COUNTIFS($K$6:$K$179,K39)+1)/2,"NA")</x:f>
        <x:v>38.5</x:v>
      </x:c>
      <x:c r="M39" s="30" t="n">
        <x:f>IF(COUNT('总览与权重'!$H$8:$K$8)=4,ROUND(100*SUMPRODUCT(E39:H39,'总览与权重'!$H$8:$K$8),12),"NA")</x:f>
        <x:v>49.829420709483</x:v>
      </x:c>
      <x:c r="N39" s="30" t="n">
        <x:f>IF(ISNUMBER(M39),COUNTIFS($M$6:$M$179,"&gt;"&amp;M39)+(COUNTIFS($M$6:$M$179,M39)+1)/2,"NA")</x:f>
        <x:v>34.5</x:v>
      </x:c>
      <x:c r="O39" s="30" t="n">
        <x:f>IF(COUNT('总览与权重'!$H$9:$K$9)=4,ROUND(100*SUMPRODUCT(E39:H39,'总览与权重'!$H$9:$K$9),12),"NA")</x:f>
        <x:v>47.117049123273</x:v>
      </x:c>
      <x:c r="P39" s="30" t="n">
        <x:f>IF(ISNUMBER(O39),COUNTIFS($O$6:$O$179,"&gt;"&amp;O39)+(COUNTIFS($O$6:$O$179,O39)+1)/2,"NA")</x:f>
        <x:v>34.5</x:v>
      </x:c>
      <x:c r="Q39" s="30" t="n">
        <x:f>IF(COUNT('总览与权重'!$H$10:$K$10)=4,ROUND(100*SUMPRODUCT(E39:H39,'总览与权重'!$H$10:$K$10),12),"NA")</x:f>
        <x:v>27.039632582258</x:v>
      </x:c>
      <x:c r="R39" s="30" t="n">
        <x:f>IF(ISNUMBER(Q39),COUNTIFS($Q$6:$Q$179,"&gt;"&amp;Q39)+(COUNTIFS($Q$6:$Q$179,Q39)+1)/2,"NA")</x:f>
        <x:v>46.5</x:v>
      </x:c>
      <x:c r="S39" s="31" t="n">
        <x:f>IF(OR(B39="s3",B39="s6"),COUNTIFS($B$6:$B$179,B39,$I$6:$I$179,"&gt;"&amp;I39)+(COUNTIFS($B$6:$B$179,B39,$I$6:$I$179,I39)+1)/2,"NA")</x:f>
        <x:v>31.5</x:v>
      </x:c>
      <x:c r="T39" s="26" t="str">
        <x:f>IF(COUNTIFS($I$6:$I$179,"&gt;"&amp;I39)&gt;=35,"非前20%",IF(COUNTIFS($I$6:$I$179,"&gt;="&amp;I39)&gt;=35,"边界同分","严格前20%"))</x:f>
        <x:v>边界同分</x:v>
      </x:c>
      <x:c r="U39" s="26" t="str">
        <x:f>IF(COUNTIFS($I$6:$I$179,"&lt;"&amp;I39)&gt;=35,"非后20%",IF(COUNTIFS($I$6:$I$179,"&lt;="&amp;I39)&gt;=35,"边界同分","严格后20%"))</x:f>
        <x:v>非后20%</x:v>
      </x:c>
      <x:c r="V39" s="26" t="n">
        <x:f>'基线调整'!I37</x:f>
        <x:v>69.581039884984</x:v>
      </x:c>
      <x:c r="W39" s="26" t="n">
        <x:f>'基线调整'!J37</x:f>
        <x:v>32.5</x:v>
      </x:c>
      <x:c r="X39" s="22" t="str">
        <x:v>["S0075"]</x:v>
      </x:c>
      <x:c r="Y39" s="22" t="str">
        <x:v>evidence/student_evidence.jsonl；student_key=2025秋:258924</x:v>
      </x:c>
      <x:c r="Z39" s="26" t="n">
        <x:f>IF(OR(B39="s3",B39="s6"),COUNTIFS($B$6:$B$179,B39,$K$6:$K$179,"&gt;"&amp;K39)+(COUNTIFS($B$6:$B$179,B39,$K$6:$K$179,K39)+1)/2,"NA")</x:f>
        <x:v>35.5</x:v>
      </x:c>
      <x:c r="AA39" s="26" t="n">
        <x:f>IF(OR(B39="s3",B39="s6"),COUNTIFS($B$6:$B$179,B39,$M$6:$M$179,"&gt;"&amp;M39)+(COUNTIFS($B$6:$B$179,B39,$M$6:$M$179,M39)+1)/2,"NA")</x:f>
        <x:v>31.5</x:v>
      </x:c>
      <x:c r="AB39" s="26" t="n">
        <x:f>IF(OR(B39="s3",B39="s6"),COUNTIFS($B$6:$B$179,B39,$O$6:$O$179,"&gt;"&amp;O39)+(COUNTIFS($B$6:$B$179,B39,$O$6:$O$179,O39)+1)/2,"NA")</x:f>
        <x:v>31.5</x:v>
      </x:c>
      <x:c r="AC39" s="26" t="n">
        <x:f>IF(OR(B39="s3",B39="s6"),COUNTIFS($B$6:$B$179,B39,$Q$6:$Q$179,"&gt;"&amp;Q39)+(COUNTIFS($B$6:$B$179,B39,$Q$6:$Q$179,Q39)+1)/2,"NA")</x:f>
        <x:v>42.5</x:v>
      </x:c>
    </x:row>
    <x:row r="40" ht="23" customHeight="1">
      <x:c r="A40" s="21" t="str">
        <x:v>2025秋:259334</x:v>
      </x:c>
      <x:c r="B40" s="22" t="str">
        <x:v>s3</x:v>
      </x:c>
      <x:c r="C40" s="24" t="n">
        <x:v>1</x:v>
      </x:c>
      <x:c r="D40" s="24" t="n">
        <x:v>1</x:v>
      </x:c>
      <x:c r="E40" s="29" t="n">
        <x:f>'指标计算'!K89</x:f>
        <x:v>0.029365189523728057</x:v>
      </x:c>
      <x:c r="F40" s="29" t="n">
        <x:f>'指标计算'!L89</x:f>
        <x:v>0.3523822742847367</x:v>
      </x:c>
      <x:c r="G40" s="29" t="n">
        <x:f>'指标计算'!M89</x:f>
        <x:v>0.3523822742847367</x:v>
      </x:c>
      <x:c r="H40" s="29" t="n">
        <x:f>'指标计算'!N89</x:f>
        <x:v>1</x:v>
      </x:c>
      <x:c r="I40" s="30" t="n">
        <x:f>IF(COUNT('总览与权重'!$H$6:$K$6)=4,ROUND(100*SUMPRODUCT(E40:H40,'总览与权重'!$H$6:$K$6),12),"NA")</x:f>
        <x:v>44.976246657101</x:v>
      </x:c>
      <x:c r="J40" s="30" t="n">
        <x:f>IF(ISNUMBER(I40),COUNTIFS($I$6:$I$179,"&gt;"&amp;I40)+(COUNTIFS($I$6:$I$179,I40)+1)/2,"NA")</x:f>
        <x:v>34.5</x:v>
      </x:c>
      <x:c r="K40" s="30" t="n">
        <x:f>IF(COUNT('总览与权重'!$H$7:$K$7)=4,ROUND(100*SUMPRODUCT(E40:H40,'总览与权重'!$H$7:$K$7),12),"NA")</x:f>
        <x:v>41.730240247559</x:v>
      </x:c>
      <x:c r="L40" s="30" t="n">
        <x:f>IF(ISNUMBER(K40),COUNTIFS($K$6:$K$179,"&gt;"&amp;K40)+(COUNTIFS($K$6:$K$179,K40)+1)/2,"NA")</x:f>
        <x:v>38.5</x:v>
      </x:c>
      <x:c r="M40" s="30" t="n">
        <x:f>IF(COUNT('总览与权重'!$H$8:$K$8)=4,ROUND(100*SUMPRODUCT(E40:H40,'总览与权重'!$H$8:$K$8),12),"NA")</x:f>
        <x:v>49.829420709483</x:v>
      </x:c>
      <x:c r="N40" s="30" t="n">
        <x:f>IF(ISNUMBER(M40),COUNTIFS($M$6:$M$179,"&gt;"&amp;M40)+(COUNTIFS($M$6:$M$179,M40)+1)/2,"NA")</x:f>
        <x:v>34.5</x:v>
      </x:c>
      <x:c r="O40" s="30" t="n">
        <x:f>IF(COUNT('总览与权重'!$H$9:$K$9)=4,ROUND(100*SUMPRODUCT(E40:H40,'总览与权重'!$H$9:$K$9),12),"NA")</x:f>
        <x:v>47.117049123273</x:v>
      </x:c>
      <x:c r="P40" s="30" t="n">
        <x:f>IF(ISNUMBER(O40),COUNTIFS($O$6:$O$179,"&gt;"&amp;O40)+(COUNTIFS($O$6:$O$179,O40)+1)/2,"NA")</x:f>
        <x:v>34.5</x:v>
      </x:c>
      <x:c r="Q40" s="30" t="n">
        <x:f>IF(COUNT('总览与权重'!$H$10:$K$10)=4,ROUND(100*SUMPRODUCT(E40:H40,'总览与权重'!$H$10:$K$10),12),"NA")</x:f>
        <x:v>27.039632582258</x:v>
      </x:c>
      <x:c r="R40" s="30" t="n">
        <x:f>IF(ISNUMBER(Q40),COUNTIFS($Q$6:$Q$179,"&gt;"&amp;Q40)+(COUNTIFS($Q$6:$Q$179,Q40)+1)/2,"NA")</x:f>
        <x:v>46.5</x:v>
      </x:c>
      <x:c r="S40" s="31" t="n">
        <x:f>IF(OR(B40="s3",B40="s6"),COUNTIFS($B$6:$B$179,B40,$I$6:$I$179,"&gt;"&amp;I40)+(COUNTIFS($B$6:$B$179,B40,$I$6:$I$179,I40)+1)/2,"NA")</x:f>
        <x:v>31.5</x:v>
      </x:c>
      <x:c r="T40" s="26" t="str">
        <x:f>IF(COUNTIFS($I$6:$I$179,"&gt;"&amp;I40)&gt;=35,"非前20%",IF(COUNTIFS($I$6:$I$179,"&gt;="&amp;I40)&gt;=35,"边界同分","严格前20%"))</x:f>
        <x:v>边界同分</x:v>
      </x:c>
      <x:c r="U40" s="26" t="str">
        <x:f>IF(COUNTIFS($I$6:$I$179,"&lt;"&amp;I40)&gt;=35,"非后20%",IF(COUNTIFS($I$6:$I$179,"&lt;="&amp;I40)&gt;=35,"边界同分","严格后20%"))</x:f>
        <x:v>非后20%</x:v>
      </x:c>
      <x:c r="V40" s="26" t="n">
        <x:f>'基线调整'!I38</x:f>
        <x:v>69.581039884984</x:v>
      </x:c>
      <x:c r="W40" s="26" t="n">
        <x:f>'基线调整'!J38</x:f>
        <x:v>32.5</x:v>
      </x:c>
      <x:c r="X40" s="22" t="str">
        <x:v>["S0399"]</x:v>
      </x:c>
      <x:c r="Y40" s="22" t="str">
        <x:v>evidence/student_evidence.jsonl；student_key=2025秋:259334</x:v>
      </x:c>
      <x:c r="Z40" s="26" t="n">
        <x:f>IF(OR(B40="s3",B40="s6"),COUNTIFS($B$6:$B$179,B40,$K$6:$K$179,"&gt;"&amp;K40)+(COUNTIFS($B$6:$B$179,B40,$K$6:$K$179,K40)+1)/2,"NA")</x:f>
        <x:v>35.5</x:v>
      </x:c>
      <x:c r="AA40" s="26" t="n">
        <x:f>IF(OR(B40="s3",B40="s6"),COUNTIFS($B$6:$B$179,B40,$M$6:$M$179,"&gt;"&amp;M40)+(COUNTIFS($B$6:$B$179,B40,$M$6:$M$179,M40)+1)/2,"NA")</x:f>
        <x:v>31.5</x:v>
      </x:c>
      <x:c r="AB40" s="26" t="n">
        <x:f>IF(OR(B40="s3",B40="s6"),COUNTIFS($B$6:$B$179,B40,$O$6:$O$179,"&gt;"&amp;O40)+(COUNTIFS($B$6:$B$179,B40,$O$6:$O$179,O40)+1)/2,"NA")</x:f>
        <x:v>31.5</x:v>
      </x:c>
      <x:c r="AC40" s="26" t="n">
        <x:f>IF(OR(B40="s3",B40="s6"),COUNTIFS($B$6:$B$179,B40,$Q$6:$Q$179,"&gt;"&amp;Q40)+(COUNTIFS($B$6:$B$179,B40,$Q$6:$Q$179,Q40)+1)/2,"NA")</x:f>
        <x:v>42.5</x:v>
      </x:c>
    </x:row>
    <x:row r="41" ht="23" customHeight="1">
      <x:c r="A41" s="21" t="str">
        <x:v>2025秋:258755</x:v>
      </x:c>
      <x:c r="B41" s="22" t="str">
        <x:v>s3</x:v>
      </x:c>
      <x:c r="C41" s="24" t="n">
        <x:v>1</x:v>
      </x:c>
      <x:c r="D41" s="24" t="n">
        <x:v>1</x:v>
      </x:c>
      <x:c r="E41" s="29" t="n">
        <x:f>'指标计算'!K22</x:f>
        <x:v>0.029185171634636558</x:v>
      </x:c>
      <x:c r="F41" s="29" t="n">
        <x:f>'指标计算'!L22</x:f>
        <x:v>0.3502220596156387</x:v>
      </x:c>
      <x:c r="G41" s="29" t="n">
        <x:f>'指标计算'!M22</x:f>
        <x:v>0.3502220596156387</x:v>
      </x:c>
      <x:c r="H41" s="29" t="n">
        <x:f>'指标计算'!N22</x:f>
        <x:v>1</x:v>
      </x:c>
      <x:c r="I41" s="30" t="n">
        <x:f>IF(COUNT('总览与权重'!$H$6:$K$6)=4,ROUND(100*SUMPRODUCT(E41:H41,'总览与权重'!$H$6:$K$6),12),"NA")</x:f>
        <x:v>44.884437533665</x:v>
      </x:c>
      <x:c r="J41" s="30" t="n">
        <x:f>IF(ISNUMBER(I41),COUNTIFS($I$6:$I$179,"&gt;"&amp;I41)+(COUNTIFS($I$6:$I$179,I41)+1)/2,"NA")</x:f>
        <x:v>37</x:v>
      </x:c>
      <x:c r="K41" s="30" t="n">
        <x:f>IF(COUNT('总览与权重'!$H$7:$K$7)=4,ROUND(100*SUMPRODUCT(E41:H41,'总览与权重'!$H$7:$K$7),12),"NA")</x:f>
        <x:v>41.597027009631</x:v>
      </x:c>
      <x:c r="L41" s="30" t="n">
        <x:f>IF(ISNUMBER(K41),COUNTIFS($K$6:$K$179,"&gt;"&amp;K41)+(COUNTIFS($K$6:$K$179,K41)+1)/2,"NA")</x:f>
        <x:v>42</x:v>
      </x:c>
      <x:c r="M41" s="30" t="n">
        <x:f>IF(COUNT('总览与权重'!$H$8:$K$8)=4,ROUND(100*SUMPRODUCT(E41:H41,'总览与权重'!$H$8:$K$8),12),"NA")</x:f>
        <x:v>49.738511675491</x:v>
      </x:c>
      <x:c r="N41" s="30" t="n">
        <x:f>IF(ISNUMBER(M41),COUNTIFS($M$6:$M$179,"&gt;"&amp;M41)+(COUNTIFS($M$6:$M$179,M41)+1)/2,"NA")</x:f>
        <x:v>37</x:v>
      </x:c>
      <x:c r="O41" s="30" t="n">
        <x:f>IF(COUNT('总览与权重'!$H$9:$K$9)=4,ROUND(100*SUMPRODUCT(E41:H41,'总览与权重'!$H$9:$K$9),12),"NA")</x:f>
        <x:v>47.012116204378</x:v>
      </x:c>
      <x:c r="P41" s="30" t="n">
        <x:f>IF(ISNUMBER(O41),COUNTIFS($O$6:$O$179,"&gt;"&amp;O41)+(COUNTIFS($O$6:$O$179,O41)+1)/2,"NA")</x:f>
        <x:v>37</x:v>
      </x:c>
      <x:c r="Q41" s="30" t="n">
        <x:f>IF(COUNT('总览与权重'!$H$10:$K$10)=4,ROUND(100*SUMPRODUCT(E41:H41,'总览与权重'!$H$10:$K$10),12),"NA")</x:f>
        <x:v>26.89486107859</x:v>
      </x:c>
      <x:c r="R41" s="30" t="n">
        <x:f>IF(ISNUMBER(Q41),COUNTIFS($Q$6:$Q$179,"&gt;"&amp;Q41)+(COUNTIFS($Q$6:$Q$179,Q41)+1)/2,"NA")</x:f>
        <x:v>50</x:v>
      </x:c>
      <x:c r="S41" s="31" t="n">
        <x:f>IF(OR(B41="s3",B41="s6"),COUNTIFS($B$6:$B$179,B41,$I$6:$I$179,"&gt;"&amp;I41)+(COUNTIFS($B$6:$B$179,B41,$I$6:$I$179,I41)+1)/2,"NA")</x:f>
        <x:v>34</x:v>
      </x:c>
      <x:c r="T41" s="26" t="str">
        <x:f>IF(COUNTIFS($I$6:$I$179,"&gt;"&amp;I41)&gt;=35,"非前20%",IF(COUNTIFS($I$6:$I$179,"&gt;="&amp;I41)&gt;=35,"边界同分","严格前20%"))</x:f>
        <x:v>非前20%</x:v>
      </x:c>
      <x:c r="U41" s="26" t="str">
        <x:f>IF(COUNTIFS($I$6:$I$179,"&lt;"&amp;I41)&gt;=35,"非后20%",IF(COUNTIFS($I$6:$I$179,"&lt;="&amp;I41)&gt;=35,"边界同分","严格后20%"))</x:f>
        <x:v>非后20%</x:v>
      </x:c>
      <x:c r="V41" s="26" t="n">
        <x:f>'基线调整'!I39</x:f>
        <x:v>69.535135323265</x:v>
      </x:c>
      <x:c r="W41" s="26" t="n">
        <x:f>'基线调整'!J39</x:f>
        <x:v>34.5</x:v>
      </x:c>
      <x:c r="X41" s="22" t="str">
        <x:v>["S0263"]</x:v>
      </x:c>
      <x:c r="Y41" s="22" t="str">
        <x:v>evidence/student_evidence.jsonl；student_key=2025秋:258755</x:v>
      </x:c>
      <x:c r="Z41" s="26" t="n">
        <x:f>IF(OR(B41="s3",B41="s6"),COUNTIFS($B$6:$B$179,B41,$K$6:$K$179,"&gt;"&amp;K41)+(COUNTIFS($B$6:$B$179,B41,$K$6:$K$179,K41)+1)/2,"NA")</x:f>
        <x:v>39</x:v>
      </x:c>
      <x:c r="AA41" s="26" t="n">
        <x:f>IF(OR(B41="s3",B41="s6"),COUNTIFS($B$6:$B$179,B41,$M$6:$M$179,"&gt;"&amp;M41)+(COUNTIFS($B$6:$B$179,B41,$M$6:$M$179,M41)+1)/2,"NA")</x:f>
        <x:v>34</x:v>
      </x:c>
      <x:c r="AB41" s="26" t="n">
        <x:f>IF(OR(B41="s3",B41="s6"),COUNTIFS($B$6:$B$179,B41,$O$6:$O$179,"&gt;"&amp;O41)+(COUNTIFS($B$6:$B$179,B41,$O$6:$O$179,O41)+1)/2,"NA")</x:f>
        <x:v>34</x:v>
      </x:c>
      <x:c r="AC41" s="26" t="n">
        <x:f>IF(OR(B41="s3",B41="s6"),COUNTIFS($B$6:$B$179,B41,$Q$6:$Q$179,"&gt;"&amp;Q41)+(COUNTIFS($B$6:$B$179,B41,$Q$6:$Q$179,Q41)+1)/2,"NA")</x:f>
        <x:v>46</x:v>
      </x:c>
    </x:row>
    <x:row r="42" ht="23" customHeight="1">
      <x:c r="A42" s="21" t="str">
        <x:v>2025秋:259789</x:v>
      </x:c>
      <x:c r="B42" s="22" t="str">
        <x:v>s3</x:v>
      </x:c>
      <x:c r="C42" s="24" t="n">
        <x:v>1</x:v>
      </x:c>
      <x:c r="D42" s="24" t="n">
        <x:v>1</x:v>
      </x:c>
      <x:c r="E42" s="29" t="n">
        <x:f>'指标计算'!K111</x:f>
        <x:v>0.029185171634636558</x:v>
      </x:c>
      <x:c r="F42" s="29" t="n">
        <x:f>'指标计算'!L111</x:f>
        <x:v>0.3502220596156387</x:v>
      </x:c>
      <x:c r="G42" s="29" t="n">
        <x:f>'指标计算'!M111</x:f>
        <x:v>0.3502220596156387</x:v>
      </x:c>
      <x:c r="H42" s="29" t="n">
        <x:f>'指标计算'!N111</x:f>
        <x:v>1</x:v>
      </x:c>
      <x:c r="I42" s="30" t="n">
        <x:f>IF(COUNT('总览与权重'!$H$6:$K$6)=4,ROUND(100*SUMPRODUCT(E42:H42,'总览与权重'!$H$6:$K$6),12),"NA")</x:f>
        <x:v>44.884437533665</x:v>
      </x:c>
      <x:c r="J42" s="30" t="n">
        <x:f>IF(ISNUMBER(I42),COUNTIFS($I$6:$I$179,"&gt;"&amp;I42)+(COUNTIFS($I$6:$I$179,I42)+1)/2,"NA")</x:f>
        <x:v>37</x:v>
      </x:c>
      <x:c r="K42" s="30" t="n">
        <x:f>IF(COUNT('总览与权重'!$H$7:$K$7)=4,ROUND(100*SUMPRODUCT(E42:H42,'总览与权重'!$H$7:$K$7),12),"NA")</x:f>
        <x:v>41.597027009631</x:v>
      </x:c>
      <x:c r="L42" s="30" t="n">
        <x:f>IF(ISNUMBER(K42),COUNTIFS($K$6:$K$179,"&gt;"&amp;K42)+(COUNTIFS($K$6:$K$179,K42)+1)/2,"NA")</x:f>
        <x:v>42</x:v>
      </x:c>
      <x:c r="M42" s="30" t="n">
        <x:f>IF(COUNT('总览与权重'!$H$8:$K$8)=4,ROUND(100*SUMPRODUCT(E42:H42,'总览与权重'!$H$8:$K$8),12),"NA")</x:f>
        <x:v>49.738511675491</x:v>
      </x:c>
      <x:c r="N42" s="30" t="n">
        <x:f>IF(ISNUMBER(M42),COUNTIFS($M$6:$M$179,"&gt;"&amp;M42)+(COUNTIFS($M$6:$M$179,M42)+1)/2,"NA")</x:f>
        <x:v>37</x:v>
      </x:c>
      <x:c r="O42" s="30" t="n">
        <x:f>IF(COUNT('总览与权重'!$H$9:$K$9)=4,ROUND(100*SUMPRODUCT(E42:H42,'总览与权重'!$H$9:$K$9),12),"NA")</x:f>
        <x:v>47.012116204378</x:v>
      </x:c>
      <x:c r="P42" s="30" t="n">
        <x:f>IF(ISNUMBER(O42),COUNTIFS($O$6:$O$179,"&gt;"&amp;O42)+(COUNTIFS($O$6:$O$179,O42)+1)/2,"NA")</x:f>
        <x:v>37</x:v>
      </x:c>
      <x:c r="Q42" s="30" t="n">
        <x:f>IF(COUNT('总览与权重'!$H$10:$K$10)=4,ROUND(100*SUMPRODUCT(E42:H42,'总览与权重'!$H$10:$K$10),12),"NA")</x:f>
        <x:v>26.89486107859</x:v>
      </x:c>
      <x:c r="R42" s="30" t="n">
        <x:f>IF(ISNUMBER(Q42),COUNTIFS($Q$6:$Q$179,"&gt;"&amp;Q42)+(COUNTIFS($Q$6:$Q$179,Q42)+1)/2,"NA")</x:f>
        <x:v>50</x:v>
      </x:c>
      <x:c r="S42" s="31" t="n">
        <x:f>IF(OR(B42="s3",B42="s6"),COUNTIFS($B$6:$B$179,B42,$I$6:$I$179,"&gt;"&amp;I42)+(COUNTIFS($B$6:$B$179,B42,$I$6:$I$179,I42)+1)/2,"NA")</x:f>
        <x:v>34</x:v>
      </x:c>
      <x:c r="T42" s="26" t="str">
        <x:f>IF(COUNTIFS($I$6:$I$179,"&gt;"&amp;I42)&gt;=35,"非前20%",IF(COUNTIFS($I$6:$I$179,"&gt;="&amp;I42)&gt;=35,"边界同分","严格前20%"))</x:f>
        <x:v>非前20%</x:v>
      </x:c>
      <x:c r="U42" s="26" t="str">
        <x:f>IF(COUNTIFS($I$6:$I$179,"&lt;"&amp;I42)&gt;=35,"非后20%",IF(COUNTIFS($I$6:$I$179,"&lt;="&amp;I42)&gt;=35,"边界同分","严格后20%"))</x:f>
        <x:v>非后20%</x:v>
      </x:c>
      <x:c r="V42" s="26" t="n">
        <x:f>'基线调整'!I40</x:f>
        <x:v>69.535135323265</x:v>
      </x:c>
      <x:c r="W42" s="26" t="n">
        <x:f>'基线调整'!J40</x:f>
        <x:v>34.5</x:v>
      </x:c>
      <x:c r="X42" s="22" t="str">
        <x:v>["S0022"]</x:v>
      </x:c>
      <x:c r="Y42" s="22" t="str">
        <x:v>evidence/student_evidence.jsonl；student_key=2025秋:259789</x:v>
      </x:c>
      <x:c r="Z42" s="26" t="n">
        <x:f>IF(OR(B42="s3",B42="s6"),COUNTIFS($B$6:$B$179,B42,$K$6:$K$179,"&gt;"&amp;K42)+(COUNTIFS($B$6:$B$179,B42,$K$6:$K$179,K42)+1)/2,"NA")</x:f>
        <x:v>39</x:v>
      </x:c>
      <x:c r="AA42" s="26" t="n">
        <x:f>IF(OR(B42="s3",B42="s6"),COUNTIFS($B$6:$B$179,B42,$M$6:$M$179,"&gt;"&amp;M42)+(COUNTIFS($B$6:$B$179,B42,$M$6:$M$179,M42)+1)/2,"NA")</x:f>
        <x:v>34</x:v>
      </x:c>
      <x:c r="AB42" s="26" t="n">
        <x:f>IF(OR(B42="s3",B42="s6"),COUNTIFS($B$6:$B$179,B42,$O$6:$O$179,"&gt;"&amp;O42)+(COUNTIFS($B$6:$B$179,B42,$O$6:$O$179,O42)+1)/2,"NA")</x:f>
        <x:v>34</x:v>
      </x:c>
      <x:c r="AC42" s="26" t="n">
        <x:f>IF(OR(B42="s3",B42="s6"),COUNTIFS($B$6:$B$179,B42,$Q$6:$Q$179,"&gt;"&amp;Q42)+(COUNTIFS($B$6:$B$179,B42,$Q$6:$Q$179,Q42)+1)/2,"NA")</x:f>
        <x:v>46</x:v>
      </x:c>
    </x:row>
    <x:row r="43" ht="23" customHeight="1">
      <x:c r="A43" s="21" t="str">
        <x:v>2026春:268139</x:v>
      </x:c>
      <x:c r="B43" s="22" t="str">
        <x:v>s3</x:v>
      </x:c>
      <x:c r="C43" s="24" t="n">
        <x:v>1</x:v>
      </x:c>
      <x:c r="D43" s="24" t="n">
        <x:v>1</x:v>
      </x:c>
      <x:c r="E43" s="29" t="n">
        <x:f>'指标计算'!K157</x:f>
        <x:v>0.029185171634636558</x:v>
      </x:c>
      <x:c r="F43" s="29" t="n">
        <x:f>'指标计算'!L157</x:f>
        <x:v>0.3502220596156387</x:v>
      </x:c>
      <x:c r="G43" s="29" t="n">
        <x:f>'指标计算'!M157</x:f>
        <x:v>0.3502220596156387</x:v>
      </x:c>
      <x:c r="H43" s="29" t="n">
        <x:f>'指标计算'!N157</x:f>
        <x:v>1</x:v>
      </x:c>
      <x:c r="I43" s="30" t="n">
        <x:f>IF(COUNT('总览与权重'!$H$6:$K$6)=4,ROUND(100*SUMPRODUCT(E43:H43,'总览与权重'!$H$6:$K$6),12),"NA")</x:f>
        <x:v>44.884437533665</x:v>
      </x:c>
      <x:c r="J43" s="30" t="n">
        <x:f>IF(ISNUMBER(I43),COUNTIFS($I$6:$I$179,"&gt;"&amp;I43)+(COUNTIFS($I$6:$I$179,I43)+1)/2,"NA")</x:f>
        <x:v>37</x:v>
      </x:c>
      <x:c r="K43" s="30" t="n">
        <x:f>IF(COUNT('总览与权重'!$H$7:$K$7)=4,ROUND(100*SUMPRODUCT(E43:H43,'总览与权重'!$H$7:$K$7),12),"NA")</x:f>
        <x:v>41.597027009631</x:v>
      </x:c>
      <x:c r="L43" s="30" t="n">
        <x:f>IF(ISNUMBER(K43),COUNTIFS($K$6:$K$179,"&gt;"&amp;K43)+(COUNTIFS($K$6:$K$179,K43)+1)/2,"NA")</x:f>
        <x:v>42</x:v>
      </x:c>
      <x:c r="M43" s="30" t="n">
        <x:f>IF(COUNT('总览与权重'!$H$8:$K$8)=4,ROUND(100*SUMPRODUCT(E43:H43,'总览与权重'!$H$8:$K$8),12),"NA")</x:f>
        <x:v>49.738511675491</x:v>
      </x:c>
      <x:c r="N43" s="30" t="n">
        <x:f>IF(ISNUMBER(M43),COUNTIFS($M$6:$M$179,"&gt;"&amp;M43)+(COUNTIFS($M$6:$M$179,M43)+1)/2,"NA")</x:f>
        <x:v>37</x:v>
      </x:c>
      <x:c r="O43" s="30" t="n">
        <x:f>IF(COUNT('总览与权重'!$H$9:$K$9)=4,ROUND(100*SUMPRODUCT(E43:H43,'总览与权重'!$H$9:$K$9),12),"NA")</x:f>
        <x:v>47.012116204378</x:v>
      </x:c>
      <x:c r="P43" s="30" t="n">
        <x:f>IF(ISNUMBER(O43),COUNTIFS($O$6:$O$179,"&gt;"&amp;O43)+(COUNTIFS($O$6:$O$179,O43)+1)/2,"NA")</x:f>
        <x:v>37</x:v>
      </x:c>
      <x:c r="Q43" s="30" t="n">
        <x:f>IF(COUNT('总览与权重'!$H$10:$K$10)=4,ROUND(100*SUMPRODUCT(E43:H43,'总览与权重'!$H$10:$K$10),12),"NA")</x:f>
        <x:v>26.89486107859</x:v>
      </x:c>
      <x:c r="R43" s="30" t="n">
        <x:f>IF(ISNUMBER(Q43),COUNTIFS($Q$6:$Q$179,"&gt;"&amp;Q43)+(COUNTIFS($Q$6:$Q$179,Q43)+1)/2,"NA")</x:f>
        <x:v>50</x:v>
      </x:c>
      <x:c r="S43" s="31" t="n">
        <x:f>IF(OR(B43="s3",B43="s6"),COUNTIFS($B$6:$B$179,B43,$I$6:$I$179,"&gt;"&amp;I43)+(COUNTIFS($B$6:$B$179,B43,$I$6:$I$179,I43)+1)/2,"NA")</x:f>
        <x:v>34</x:v>
      </x:c>
      <x:c r="T43" s="26" t="str">
        <x:f>IF(COUNTIFS($I$6:$I$179,"&gt;"&amp;I43)&gt;=35,"非前20%",IF(COUNTIFS($I$6:$I$179,"&gt;="&amp;I43)&gt;=35,"边界同分","严格前20%"))</x:f>
        <x:v>非前20%</x:v>
      </x:c>
      <x:c r="U43" s="26" t="str">
        <x:f>IF(COUNTIFS($I$6:$I$179,"&lt;"&amp;I43)&gt;=35,"非后20%",IF(COUNTIFS($I$6:$I$179,"&lt;="&amp;I43)&gt;=35,"边界同分","严格后20%"))</x:f>
        <x:v>非后20%</x:v>
      </x:c>
      <x:c r="V43" s="26" t="str">
        <x:v>NA</x:v>
      </x:c>
      <x:c r="W43" s="26" t="str">
        <x:v>NA</x:v>
      </x:c>
      <x:c r="X43" s="22" t="str">
        <x:v>["S0956"]</x:v>
      </x:c>
      <x:c r="Y43" s="22" t="str">
        <x:v>evidence/student_evidence.jsonl；student_key=2026春:268139</x:v>
      </x:c>
      <x:c r="Z43" s="26" t="n">
        <x:f>IF(OR(B43="s3",B43="s6"),COUNTIFS($B$6:$B$179,B43,$K$6:$K$179,"&gt;"&amp;K43)+(COUNTIFS($B$6:$B$179,B43,$K$6:$K$179,K43)+1)/2,"NA")</x:f>
        <x:v>39</x:v>
      </x:c>
      <x:c r="AA43" s="26" t="n">
        <x:f>IF(OR(B43="s3",B43="s6"),COUNTIFS($B$6:$B$179,B43,$M$6:$M$179,"&gt;"&amp;M43)+(COUNTIFS($B$6:$B$179,B43,$M$6:$M$179,M43)+1)/2,"NA")</x:f>
        <x:v>34</x:v>
      </x:c>
      <x:c r="AB43" s="26" t="n">
        <x:f>IF(OR(B43="s3",B43="s6"),COUNTIFS($B$6:$B$179,B43,$O$6:$O$179,"&gt;"&amp;O43)+(COUNTIFS($B$6:$B$179,B43,$O$6:$O$179,O43)+1)/2,"NA")</x:f>
        <x:v>34</x:v>
      </x:c>
      <x:c r="AC43" s="26" t="n">
        <x:f>IF(OR(B43="s3",B43="s6"),COUNTIFS($B$6:$B$179,B43,$Q$6:$Q$179,"&gt;"&amp;Q43)+(COUNTIFS($B$6:$B$179,B43,$Q$6:$Q$179,Q43)+1)/2,"NA")</x:f>
        <x:v>46</x:v>
      </x:c>
    </x:row>
    <x:row r="44" ht="23" customHeight="1">
      <x:c r="A44" s="21" t="str">
        <x:v>2025秋:259043</x:v>
      </x:c>
      <x:c r="B44" s="22" t="str">
        <x:v>s3</x:v>
      </x:c>
      <x:c r="C44" s="24" t="n">
        <x:v>1</x:v>
      </x:c>
      <x:c r="D44" s="24" t="n">
        <x:v>1</x:v>
      </x:c>
      <x:c r="E44" s="29" t="n">
        <x:f>'指标计算'!K68</x:f>
        <x:v>0.02895830519766991</x:v>
      </x:c>
      <x:c r="F44" s="29" t="n">
        <x:f>'指标计算'!L68</x:f>
        <x:v>0.3474996623720389</x:v>
      </x:c>
      <x:c r="G44" s="29" t="n">
        <x:f>'指标计算'!M68</x:f>
        <x:v>0.3474996623720389</x:v>
      </x:c>
      <x:c r="H44" s="29" t="n">
        <x:f>'指标计算'!N68</x:f>
        <x:v>1</x:v>
      </x:c>
      <x:c r="I44" s="30" t="n">
        <x:f>IF(COUNT('总览与权重'!$H$6:$K$6)=4,ROUND(100*SUMPRODUCT(E44:H44,'总览与权重'!$H$6:$K$6),12),"NA")</x:f>
        <x:v>44.768735650812</x:v>
      </x:c>
      <x:c r="J44" s="30" t="n">
        <x:f>IF(ISNUMBER(I44),COUNTIFS($I$6:$I$179,"&gt;"&amp;I44)+(COUNTIFS($I$6:$I$179,I44)+1)/2,"NA")</x:f>
        <x:v>39</x:v>
      </x:c>
      <x:c r="K44" s="30" t="n">
        <x:f>IF(COUNT('总览与权重'!$H$7:$K$7)=4,ROUND(100*SUMPRODUCT(E44:H44,'总览与权重'!$H$7:$K$7),12),"NA")</x:f>
        <x:v>41.429145846276</x:v>
      </x:c>
      <x:c r="L44" s="30" t="n">
        <x:f>IF(ISNUMBER(K44),COUNTIFS($K$6:$K$179,"&gt;"&amp;K44)+(COUNTIFS($K$6:$K$179,K44)+1)/2,"NA")</x:f>
        <x:v>44</x:v>
      </x:c>
      <x:c r="M44" s="30" t="n">
        <x:f>IF(COUNT('总览与权重'!$H$8:$K$8)=4,ROUND(100*SUMPRODUCT(E44:H44,'总览与权重'!$H$8:$K$8),12),"NA")</x:f>
        <x:v>49.623944124823</x:v>
      </x:c>
      <x:c r="N44" s="30" t="n">
        <x:f>IF(ISNUMBER(M44),COUNTIFS($M$6:$M$179,"&gt;"&amp;M44)+(COUNTIFS($M$6:$M$179,M44)+1)/2,"NA")</x:f>
        <x:v>39</x:v>
      </x:c>
      <x:c r="O44" s="30" t="n">
        <x:f>IF(COUNT('总览与权重'!$H$9:$K$9)=4,ROUND(100*SUMPRODUCT(E44:H44,'总览与权重'!$H$9:$K$9),12),"NA")</x:f>
        <x:v>46.879875139056</x:v>
      </x:c>
      <x:c r="P44" s="30" t="n">
        <x:f>IF(ISNUMBER(O44),COUNTIFS($O$6:$O$179,"&gt;"&amp;O44)+(COUNTIFS($O$6:$O$179,O44)+1)/2,"NA")</x:f>
        <x:v>40</x:v>
      </x:c>
      <x:c r="Q44" s="30" t="n">
        <x:f>IF(COUNT('总览与权重'!$H$10:$K$10)=4,ROUND(100*SUMPRODUCT(E44:H44,'总览与权重'!$H$10:$K$10),12),"NA")</x:f>
        <x:v>26.71241368196</x:v>
      </x:c>
      <x:c r="R44" s="30" t="n">
        <x:f>IF(ISNUMBER(Q44),COUNTIFS($Q$6:$Q$179,"&gt;"&amp;Q44)+(COUNTIFS($Q$6:$Q$179,Q44)+1)/2,"NA")</x:f>
        <x:v>53</x:v>
      </x:c>
      <x:c r="S44" s="31" t="n">
        <x:f>IF(OR(B44="s3",B44="s6"),COUNTIFS($B$6:$B$179,B44,$I$6:$I$179,"&gt;"&amp;I44)+(COUNTIFS($B$6:$B$179,B44,$I$6:$I$179,I44)+1)/2,"NA")</x:f>
        <x:v>36</x:v>
      </x:c>
      <x:c r="T44" s="26" t="str">
        <x:f>IF(COUNTIFS($I$6:$I$179,"&gt;"&amp;I44)&gt;=35,"非前20%",IF(COUNTIFS($I$6:$I$179,"&gt;="&amp;I44)&gt;=35,"边界同分","严格前20%"))</x:f>
        <x:v>非前20%</x:v>
      </x:c>
      <x:c r="U44" s="26" t="str">
        <x:f>IF(COUNTIFS($I$6:$I$179,"&lt;"&amp;I44)&gt;=35,"非后20%",IF(COUNTIFS($I$6:$I$179,"&lt;="&amp;I44)&gt;=35,"边界同分","严格后20%"))</x:f>
        <x:v>非后20%</x:v>
      </x:c>
      <x:c r="V44" s="26" t="n">
        <x:f>'基线调整'!I26</x:f>
        <x:v>69.87931188054</x:v>
      </x:c>
      <x:c r="W44" s="26" t="n">
        <x:f>'基线调整'!J26</x:f>
        <x:v>21</x:v>
      </x:c>
      <x:c r="X44" s="22" t="str">
        <x:v>["S0066"]</x:v>
      </x:c>
      <x:c r="Y44" s="22" t="str">
        <x:v>evidence/student_evidence.jsonl；student_key=2025秋:259043</x:v>
      </x:c>
      <x:c r="Z44" s="26" t="n">
        <x:f>IF(OR(B44="s3",B44="s6"),COUNTIFS($B$6:$B$179,B44,$K$6:$K$179,"&gt;"&amp;K44)+(COUNTIFS($B$6:$B$179,B44,$K$6:$K$179,K44)+1)/2,"NA")</x:f>
        <x:v>41</x:v>
      </x:c>
      <x:c r="AA44" s="26" t="n">
        <x:f>IF(OR(B44="s3",B44="s6"),COUNTIFS($B$6:$B$179,B44,$M$6:$M$179,"&gt;"&amp;M44)+(COUNTIFS($B$6:$B$179,B44,$M$6:$M$179,M44)+1)/2,"NA")</x:f>
        <x:v>36</x:v>
      </x:c>
      <x:c r="AB44" s="26" t="n">
        <x:f>IF(OR(B44="s3",B44="s6"),COUNTIFS($B$6:$B$179,B44,$O$6:$O$179,"&gt;"&amp;O44)+(COUNTIFS($B$6:$B$179,B44,$O$6:$O$179,O44)+1)/2,"NA")</x:f>
        <x:v>37</x:v>
      </x:c>
      <x:c r="AC44" s="26" t="n">
        <x:f>IF(OR(B44="s3",B44="s6"),COUNTIFS($B$6:$B$179,B44,$Q$6:$Q$179,"&gt;"&amp;Q44)+(COUNTIFS($B$6:$B$179,B44,$Q$6:$Q$179,Q44)+1)/2,"NA")</x:f>
        <x:v>49</x:v>
      </x:c>
    </x:row>
    <x:row r="45" ht="23" customHeight="1">
      <x:c r="A45" s="21" t="str">
        <x:v>2025秋:258526</x:v>
      </x:c>
      <x:c r="B45" s="22" t="str">
        <x:v>s3</x:v>
      </x:c>
      <x:c r="C45" s="24" t="n">
        <x:v>1</x:v>
      </x:c>
      <x:c r="D45" s="24" t="n">
        <x:v>1</x:v>
      </x:c>
      <x:c r="E45" s="29" t="n">
        <x:f>'指标计算'!K20</x:f>
        <x:v>0.027402584113204814</x:v>
      </x:c>
      <x:c r="F45" s="29" t="n">
        <x:f>'指标计算'!L20</x:f>
        <x:v>0.32883100935845777</x:v>
      </x:c>
      <x:c r="G45" s="29" t="n">
        <x:f>'指标计算'!M20</x:f>
        <x:v>0.32883100935845777</x:v>
      </x:c>
      <x:c r="H45" s="29" t="n">
        <x:f>'指标计算'!N20</x:f>
        <x:v>1</x:v>
      </x:c>
      <x:c r="I45" s="30" t="n">
        <x:f>IF(COUNT('总览与权重'!$H$6:$K$6)=4,ROUND(100*SUMPRODUCT(E45:H45,'总览与权重'!$H$6:$K$6),12),"NA")</x:f>
        <x:v>43.975317897734</x:v>
      </x:c>
      <x:c r="J45" s="30" t="n">
        <x:f>IF(ISNUMBER(I45),COUNTIFS($I$6:$I$179,"&gt;"&amp;I45)+(COUNTIFS($I$6:$I$179,I45)+1)/2,"NA")</x:f>
        <x:v>40.5</x:v>
      </x:c>
      <x:c r="K45" s="30" t="n">
        <x:f>IF(COUNT('总览与权重'!$H$7:$K$7)=4,ROUND(100*SUMPRODUCT(E45:H45,'总览与权重'!$H$7:$K$7),12),"NA")</x:f>
        <x:v>40.277912243772</x:v>
      </x:c>
      <x:c r="L45" s="30" t="n">
        <x:f>IF(ISNUMBER(K45),COUNTIFS($K$6:$K$179,"&gt;"&amp;K45)+(COUNTIFS($K$6:$K$179,K45)+1)/2,"NA")</x:f>
        <x:v>46.5</x:v>
      </x:c>
      <x:c r="M45" s="30" t="n">
        <x:f>IF(COUNT('总览与权重'!$H$8:$K$8)=4,ROUND(100*SUMPRODUCT(E45:H45,'总览与权重'!$H$8:$K$8),12),"NA")</x:f>
        <x:v>48.838304977168</x:v>
      </x:c>
      <x:c r="N45" s="30" t="n">
        <x:f>IF(ISNUMBER(M45),COUNTIFS($M$6:$M$179,"&gt;"&amp;M45)+(COUNTIFS($M$6:$M$179,M45)+1)/2,"NA")</x:f>
        <x:v>40.5</x:v>
      </x:c>
      <x:c r="O45" s="30" t="n">
        <x:f>IF(COUNT('总览与权重'!$H$9:$K$9)=4,ROUND(100*SUMPRODUCT(E45:H45,'总览与权重'!$H$9:$K$9),12),"NA")</x:f>
        <x:v>45.973041072708</x:v>
      </x:c>
      <x:c r="P45" s="30" t="n">
        <x:f>IF(ISNUMBER(O45),COUNTIFS($O$6:$O$179,"&gt;"&amp;O45)+(COUNTIFS($O$6:$O$179,O45)+1)/2,"NA")</x:f>
        <x:v>41.5</x:v>
      </x:c>
      <x:c r="Q45" s="30" t="n">
        <x:f>IF(COUNT('总览与权重'!$H$10:$K$10)=4,ROUND(100*SUMPRODUCT(E45:H45,'总览与权重'!$H$10:$K$10),12),"NA")</x:f>
        <x:v>25.461293130424</x:v>
      </x:c>
      <x:c r="R45" s="30" t="n">
        <x:f>IF(ISNUMBER(Q45),COUNTIFS($Q$6:$Q$179,"&gt;"&amp;Q45)+(COUNTIFS($Q$6:$Q$179,Q45)+1)/2,"NA")</x:f>
        <x:v>61.5</x:v>
      </x:c>
      <x:c r="S45" s="31" t="n">
        <x:f>IF(OR(B45="s3",B45="s6"),COUNTIFS($B$6:$B$179,B45,$I$6:$I$179,"&gt;"&amp;I45)+(COUNTIFS($B$6:$B$179,B45,$I$6:$I$179,I45)+1)/2,"NA")</x:f>
        <x:v>37.5</x:v>
      </x:c>
      <x:c r="T45" s="26" t="str">
        <x:f>IF(COUNTIFS($I$6:$I$179,"&gt;"&amp;I45)&gt;=35,"非前20%",IF(COUNTIFS($I$6:$I$179,"&gt;="&amp;I45)&gt;=35,"边界同分","严格前20%"))</x:f>
        <x:v>非前20%</x:v>
      </x:c>
      <x:c r="U45" s="26" t="str">
        <x:f>IF(COUNTIFS($I$6:$I$179,"&lt;"&amp;I45)&gt;=35,"非后20%",IF(COUNTIFS($I$6:$I$179,"&lt;="&amp;I45)&gt;=35,"边界同分","严格后20%"))</x:f>
        <x:v>非后20%</x:v>
      </x:c>
      <x:c r="V45" s="26" t="n">
        <x:f>'基线调整'!I41</x:f>
        <x:v>69.482603004001</x:v>
      </x:c>
      <x:c r="W45" s="26" t="n">
        <x:f>'基线调整'!J41</x:f>
        <x:v>36</x:v>
      </x:c>
      <x:c r="X45" s="22" t="str">
        <x:v>["S0300"]</x:v>
      </x:c>
      <x:c r="Y45" s="22" t="str">
        <x:v>evidence/student_evidence.jsonl；student_key=2025秋:258526</x:v>
      </x:c>
      <x:c r="Z45" s="26" t="n">
        <x:f>IF(OR(B45="s3",B45="s6"),COUNTIFS($B$6:$B$179,B45,$K$6:$K$179,"&gt;"&amp;K45)+(COUNTIFS($B$6:$B$179,B45,$K$6:$K$179,K45)+1)/2,"NA")</x:f>
        <x:v>43.5</x:v>
      </x:c>
      <x:c r="AA45" s="26" t="n">
        <x:f>IF(OR(B45="s3",B45="s6"),COUNTIFS($B$6:$B$179,B45,$M$6:$M$179,"&gt;"&amp;M45)+(COUNTIFS($B$6:$B$179,B45,$M$6:$M$179,M45)+1)/2,"NA")</x:f>
        <x:v>37.5</x:v>
      </x:c>
      <x:c r="AB45" s="26" t="n">
        <x:f>IF(OR(B45="s3",B45="s6"),COUNTIFS($B$6:$B$179,B45,$O$6:$O$179,"&gt;"&amp;O45)+(COUNTIFS($B$6:$B$179,B45,$O$6:$O$179,O45)+1)/2,"NA")</x:f>
        <x:v>38.5</x:v>
      </x:c>
      <x:c r="AC45" s="26" t="n">
        <x:f>IF(OR(B45="s3",B45="s6"),COUNTIFS($B$6:$B$179,B45,$Q$6:$Q$179,"&gt;"&amp;Q45)+(COUNTIFS($B$6:$B$179,B45,$Q$6:$Q$179,Q45)+1)/2,"NA")</x:f>
        <x:v>57.5</x:v>
      </x:c>
    </x:row>
    <x:row r="46" ht="23" customHeight="1">
      <x:c r="A46" s="21" t="str">
        <x:v>2026春:268246</x:v>
      </x:c>
      <x:c r="B46" s="22" t="str">
        <x:v>s3</x:v>
      </x:c>
      <x:c r="C46" s="24" t="n">
        <x:v>2</x:v>
      </x:c>
      <x:c r="D46" s="24" t="n">
        <x:v>1</x:v>
      </x:c>
      <x:c r="E46" s="29" t="n">
        <x:f>'指标计算'!K172</x:f>
        <x:v>0.027402584113204814</x:v>
      </x:c>
      <x:c r="F46" s="29" t="n">
        <x:f>'指标计算'!L172</x:f>
        <x:v>0.32883100935845777</x:v>
      </x:c>
      <x:c r="G46" s="29" t="n">
        <x:f>'指标计算'!M172</x:f>
        <x:v>0.32883100935845777</x:v>
      </x:c>
      <x:c r="H46" s="29" t="n">
        <x:f>'指标计算'!N172</x:f>
        <x:v>1</x:v>
      </x:c>
      <x:c r="I46" s="30" t="n">
        <x:f>IF(COUNT('总览与权重'!$H$6:$K$6)=4,ROUND(100*SUMPRODUCT(E46:H46,'总览与权重'!$H$6:$K$6),12),"NA")</x:f>
        <x:v>43.975317897734</x:v>
      </x:c>
      <x:c r="J46" s="30" t="n">
        <x:f>IF(ISNUMBER(I46),COUNTIFS($I$6:$I$179,"&gt;"&amp;I46)+(COUNTIFS($I$6:$I$179,I46)+1)/2,"NA")</x:f>
        <x:v>40.5</x:v>
      </x:c>
      <x:c r="K46" s="30" t="n">
        <x:f>IF(COUNT('总览与权重'!$H$7:$K$7)=4,ROUND(100*SUMPRODUCT(E46:H46,'总览与权重'!$H$7:$K$7),12),"NA")</x:f>
        <x:v>40.277912243772</x:v>
      </x:c>
      <x:c r="L46" s="30" t="n">
        <x:f>IF(ISNUMBER(K46),COUNTIFS($K$6:$K$179,"&gt;"&amp;K46)+(COUNTIFS($K$6:$K$179,K46)+1)/2,"NA")</x:f>
        <x:v>46.5</x:v>
      </x:c>
      <x:c r="M46" s="30" t="n">
        <x:f>IF(COUNT('总览与权重'!$H$8:$K$8)=4,ROUND(100*SUMPRODUCT(E46:H46,'总览与权重'!$H$8:$K$8),12),"NA")</x:f>
        <x:v>48.838304977168</x:v>
      </x:c>
      <x:c r="N46" s="30" t="n">
        <x:f>IF(ISNUMBER(M46),COUNTIFS($M$6:$M$179,"&gt;"&amp;M46)+(COUNTIFS($M$6:$M$179,M46)+1)/2,"NA")</x:f>
        <x:v>40.5</x:v>
      </x:c>
      <x:c r="O46" s="30" t="n">
        <x:f>IF(COUNT('总览与权重'!$H$9:$K$9)=4,ROUND(100*SUMPRODUCT(E46:H46,'总览与权重'!$H$9:$K$9),12),"NA")</x:f>
        <x:v>45.973041072708</x:v>
      </x:c>
      <x:c r="P46" s="30" t="n">
        <x:f>IF(ISNUMBER(O46),COUNTIFS($O$6:$O$179,"&gt;"&amp;O46)+(COUNTIFS($O$6:$O$179,O46)+1)/2,"NA")</x:f>
        <x:v>41.5</x:v>
      </x:c>
      <x:c r="Q46" s="30" t="n">
        <x:f>IF(COUNT('总览与权重'!$H$10:$K$10)=4,ROUND(100*SUMPRODUCT(E46:H46,'总览与权重'!$H$10:$K$10),12),"NA")</x:f>
        <x:v>25.461293130424</x:v>
      </x:c>
      <x:c r="R46" s="30" t="n">
        <x:f>IF(ISNUMBER(Q46),COUNTIFS($Q$6:$Q$179,"&gt;"&amp;Q46)+(COUNTIFS($Q$6:$Q$179,Q46)+1)/2,"NA")</x:f>
        <x:v>61.5</x:v>
      </x:c>
      <x:c r="S46" s="31" t="n">
        <x:f>IF(OR(B46="s3",B46="s6"),COUNTIFS($B$6:$B$179,B46,$I$6:$I$179,"&gt;"&amp;I46)+(COUNTIFS($B$6:$B$179,B46,$I$6:$I$179,I46)+1)/2,"NA")</x:f>
        <x:v>37.5</x:v>
      </x:c>
      <x:c r="T46" s="26" t="str">
        <x:f>IF(COUNTIFS($I$6:$I$179,"&gt;"&amp;I46)&gt;=35,"非前20%",IF(COUNTIFS($I$6:$I$179,"&gt;="&amp;I46)&gt;=35,"边界同分","严格前20%"))</x:f>
        <x:v>非前20%</x:v>
      </x:c>
      <x:c r="U46" s="26" t="str">
        <x:f>IF(COUNTIFS($I$6:$I$179,"&lt;"&amp;I46)&gt;=35,"非后20%",IF(COUNTIFS($I$6:$I$179,"&lt;="&amp;I46)&gt;=35,"边界同分","严格后20%"))</x:f>
        <x:v>非后20%</x:v>
      </x:c>
      <x:c r="V46" s="26" t="str">
        <x:v>NA</x:v>
      </x:c>
      <x:c r="W46" s="26" t="str">
        <x:v>NA</x:v>
      </x:c>
      <x:c r="X46" s="22" t="str">
        <x:v>["S1132","S1133"]</x:v>
      </x:c>
      <x:c r="Y46" s="22" t="str">
        <x:v>evidence/student_evidence.jsonl；student_key=2026春:268246</x:v>
      </x:c>
      <x:c r="Z46" s="26" t="n">
        <x:f>IF(OR(B46="s3",B46="s6"),COUNTIFS($B$6:$B$179,B46,$K$6:$K$179,"&gt;"&amp;K46)+(COUNTIFS($B$6:$B$179,B46,$K$6:$K$179,K46)+1)/2,"NA")</x:f>
        <x:v>43.5</x:v>
      </x:c>
      <x:c r="AA46" s="26" t="n">
        <x:f>IF(OR(B46="s3",B46="s6"),COUNTIFS($B$6:$B$179,B46,$M$6:$M$179,"&gt;"&amp;M46)+(COUNTIFS($B$6:$B$179,B46,$M$6:$M$179,M46)+1)/2,"NA")</x:f>
        <x:v>37.5</x:v>
      </x:c>
      <x:c r="AB46" s="26" t="n">
        <x:f>IF(OR(B46="s3",B46="s6"),COUNTIFS($B$6:$B$179,B46,$O$6:$O$179,"&gt;"&amp;O46)+(COUNTIFS($B$6:$B$179,B46,$O$6:$O$179,O46)+1)/2,"NA")</x:f>
        <x:v>38.5</x:v>
      </x:c>
      <x:c r="AC46" s="26" t="n">
        <x:f>IF(OR(B46="s3",B46="s6"),COUNTIFS($B$6:$B$179,B46,$Q$6:$Q$179,"&gt;"&amp;Q46)+(COUNTIFS($B$6:$B$179,B46,$Q$6:$Q$179,Q46)+1)/2,"NA")</x:f>
        <x:v>57.5</x:v>
      </x:c>
    </x:row>
    <x:row r="47" ht="23" customHeight="1">
      <x:c r="A47" s="21" t="str">
        <x:v>2026春:268140</x:v>
      </x:c>
      <x:c r="B47" s="22" t="str">
        <x:v>s3</x:v>
      </x:c>
      <x:c r="C47" s="24" t="n">
        <x:v>1</x:v>
      </x:c>
      <x:c r="D47" s="24" t="n">
        <x:v>1</x:v>
      </x:c>
      <x:c r="E47" s="29" t="n">
        <x:f>'指标计算'!K158</x:f>
        <x:v>0.04189232488822653</x:v>
      </x:c>
      <x:c r="F47" s="29" t="n">
        <x:f>'指标计算'!L158</x:f>
        <x:v>0.5027078986587183</x:v>
      </x:c>
      <x:c r="G47" s="29" t="n">
        <x:f>'指标计算'!M158</x:f>
        <x:v>0.5027078986587183</x:v>
      </x:c>
      <x:c r="H47" s="29" t="n">
        <x:f>'指标计算'!N158</x:f>
        <x:v>0.75</x:v>
      </x:c>
      <x:c r="I47" s="30" t="n">
        <x:f>IF(COUNT('总览与权重'!$H$6:$K$6)=4,ROUND(100*SUMPRODUCT(E47:H47,'总览与权重'!$H$6:$K$6),12),"NA")</x:f>
        <x:v>43.865085692996</x:v>
      </x:c>
      <x:c r="J47" s="30" t="n">
        <x:f>IF(ISNUMBER(I47),COUNTIFS($I$6:$I$179,"&gt;"&amp;I47)+(COUNTIFS($I$6:$I$179,I47)+1)/2,"NA")</x:f>
        <x:v>42</x:v>
      </x:c>
      <x:c r="K47" s="30" t="n">
        <x:f>IF(COUNT('总览与权重'!$H$7:$K$7)=4,ROUND(100*SUMPRODUCT(E47:H47,'总览与权重'!$H$7:$K$7),12),"NA")</x:f>
        <x:v>46.000320417288</x:v>
      </x:c>
      <x:c r="L47" s="30" t="n">
        <x:f>IF(ISNUMBER(K47),COUNTIFS($K$6:$K$179,"&gt;"&amp;K47)+(COUNTIFS($K$6:$K$179,K47)+1)/2,"NA")</x:f>
        <x:v>16</x:v>
      </x:c>
      <x:c r="M47" s="30" t="n">
        <x:f>IF(COUNT('总览与权重'!$H$8:$K$8)=4,ROUND(100*SUMPRODUCT(E47:H47,'总览与权重'!$H$8:$K$8),12),"NA")</x:f>
        <x:v>47.405624068554</x:v>
      </x:c>
      <x:c r="N47" s="30" t="n">
        <x:f>IF(ISNUMBER(M47),COUNTIFS($M$6:$M$179,"&gt;"&amp;M47)+(COUNTIFS($M$6:$M$179,M47)+1)/2,"NA")</x:f>
        <x:v>47</x:v>
      </x:c>
      <x:c r="O47" s="30" t="n">
        <x:f>IF(COUNT('总览与权重'!$H$9:$K$9)=4,ROUND(100*SUMPRODUCT(E47:H47,'总览与权重'!$H$9:$K$9),12),"NA")</x:f>
        <x:v>46.919150519035</x:v>
      </x:c>
      <x:c r="P47" s="30" t="n">
        <x:f>IF(ISNUMBER(O47),COUNTIFS($O$6:$O$179,"&gt;"&amp;O47)+(COUNTIFS($O$6:$O$179,O47)+1)/2,"NA")</x:f>
        <x:v>39</x:v>
      </x:c>
      <x:c r="Q47" s="30" t="n">
        <x:f>IF(COUNT('总览与权重'!$H$10:$K$10)=4,ROUND(100*SUMPRODUCT(E47:H47,'总览与权重'!$H$10:$K$10),12),"NA")</x:f>
        <x:v>36.258041361773</x:v>
      </x:c>
      <x:c r="R47" s="30" t="n">
        <x:f>IF(ISNUMBER(Q47),COUNTIFS($Q$6:$Q$179,"&gt;"&amp;Q47)+(COUNTIFS($Q$6:$Q$179,Q47)+1)/2,"NA")</x:f>
        <x:v>11</x:v>
      </x:c>
      <x:c r="S47" s="31" t="n">
        <x:f>IF(OR(B47="s3",B47="s6"),COUNTIFS($B$6:$B$179,B47,$I$6:$I$179,"&gt;"&amp;I47)+(COUNTIFS($B$6:$B$179,B47,$I$6:$I$179,I47)+1)/2,"NA")</x:f>
        <x:v>39</x:v>
      </x:c>
      <x:c r="T47" s="26" t="str">
        <x:f>IF(COUNTIFS($I$6:$I$179,"&gt;"&amp;I47)&gt;=35,"非前20%",IF(COUNTIFS($I$6:$I$179,"&gt;="&amp;I47)&gt;=35,"边界同分","严格前20%"))</x:f>
        <x:v>非前20%</x:v>
      </x:c>
      <x:c r="U47" s="26" t="str">
        <x:f>IF(COUNTIFS($I$6:$I$179,"&lt;"&amp;I47)&gt;=35,"非后20%",IF(COUNTIFS($I$6:$I$179,"&lt;="&amp;I47)&gt;=35,"边界同分","严格后20%"))</x:f>
        <x:v>非后20%</x:v>
      </x:c>
      <x:c r="V47" s="26" t="n">
        <x:f>'基线调整'!I52</x:f>
        <x:v>65.274856776385</x:v>
      </x:c>
      <x:c r="W47" s="26" t="n">
        <x:f>'基线调整'!J52</x:f>
        <x:v>47</x:v>
      </x:c>
      <x:c r="X47" s="22" t="str">
        <x:v>["S0964"]</x:v>
      </x:c>
      <x:c r="Y47" s="22" t="str">
        <x:v>evidence/student_evidence.jsonl；student_key=2026春:268140</x:v>
      </x:c>
      <x:c r="Z47" s="26" t="n">
        <x:f>IF(OR(B47="s3",B47="s6"),COUNTIFS($B$6:$B$179,B47,$K$6:$K$179,"&gt;"&amp;K47)+(COUNTIFS($B$6:$B$179,B47,$K$6:$K$179,K47)+1)/2,"NA")</x:f>
        <x:v>13</x:v>
      </x:c>
      <x:c r="AA47" s="26" t="n">
        <x:f>IF(OR(B47="s3",B47="s6"),COUNTIFS($B$6:$B$179,B47,$M$6:$M$179,"&gt;"&amp;M47)+(COUNTIFS($B$6:$B$179,B47,$M$6:$M$179,M47)+1)/2,"NA")</x:f>
        <x:v>44</x:v>
      </x:c>
      <x:c r="AB47" s="26" t="n">
        <x:f>IF(OR(B47="s3",B47="s6"),COUNTIFS($B$6:$B$179,B47,$O$6:$O$179,"&gt;"&amp;O47)+(COUNTIFS($B$6:$B$179,B47,$O$6:$O$179,O47)+1)/2,"NA")</x:f>
        <x:v>36</x:v>
      </x:c>
      <x:c r="AC47" s="26" t="n">
        <x:f>IF(OR(B47="s3",B47="s6"),COUNTIFS($B$6:$B$179,B47,$Q$6:$Q$179,"&gt;"&amp;Q47)+(COUNTIFS($B$6:$B$179,B47,$Q$6:$Q$179,Q47)+1)/2,"NA")</x:f>
        <x:v>8</x:v>
      </x:c>
    </x:row>
    <x:row r="48" ht="23" customHeight="1">
      <x:c r="A48" s="21" t="str">
        <x:v>2025秋:252265</x:v>
      </x:c>
      <x:c r="B48" s="22" t="str">
        <x:v>s3</x:v>
      </x:c>
      <x:c r="C48" s="24" t="n">
        <x:v>1</x:v>
      </x:c>
      <x:c r="D48" s="24" t="n">
        <x:v>1</x:v>
      </x:c>
      <x:c r="E48" s="29" t="n">
        <x:f>'指标计算'!K7</x:f>
        <x:v>0.02705909554790152</x:v>
      </x:c>
      <x:c r="F48" s="29" t="n">
        <x:f>'指标计算'!L7</x:f>
        <x:v>0.32470914657481825</x:v>
      </x:c>
      <x:c r="G48" s="29" t="n">
        <x:f>'指标计算'!M7</x:f>
        <x:v>0.32470914657481825</x:v>
      </x:c>
      <x:c r="H48" s="29" t="n">
        <x:f>'指标计算'!N7</x:f>
        <x:v>1</x:v>
      </x:c>
      <x:c r="I48" s="30" t="n">
        <x:f>IF(COUNT('总览与权重'!$H$6:$K$6)=4,ROUND(100*SUMPRODUCT(E48:H48,'总览与权重'!$H$6:$K$6),12),"NA")</x:f>
        <x:v>43.80013872943</x:v>
      </x:c>
      <x:c r="J48" s="30" t="n">
        <x:f>IF(ISNUMBER(I48),COUNTIFS($I$6:$I$179,"&gt;"&amp;I48)+(COUNTIFS($I$6:$I$179,I48)+1)/2,"NA")</x:f>
        <x:v>43.5</x:v>
      </x:c>
      <x:c r="K48" s="30" t="n">
        <x:f>IF(COUNT('总览与权重'!$H$7:$K$7)=4,ROUND(100*SUMPRODUCT(E48:H48,'总览与权重'!$H$7:$K$7),12),"NA")</x:f>
        <x:v>40.023730705447</x:v>
      </x:c>
      <x:c r="L48" s="30" t="n">
        <x:f>IF(ISNUMBER(K48),COUNTIFS($K$6:$K$179,"&gt;"&amp;K48)+(COUNTIFS($K$6:$K$179,K48)+1)/2,"NA")</x:f>
        <x:v>48.5</x:v>
      </x:c>
      <x:c r="M48" s="30" t="n">
        <x:f>IF(COUNT('总览与权重'!$H$8:$K$8)=4,ROUND(100*SUMPRODUCT(E48:H48,'总览与权重'!$H$8:$K$8),12),"NA")</x:f>
        <x:v>48.66484325169</x:v>
      </x:c>
      <x:c r="N48" s="30" t="n">
        <x:f>IF(ISNUMBER(M48),COUNTIFS($M$6:$M$179,"&gt;"&amp;M48)+(COUNTIFS($M$6:$M$179,M48)+1)/2,"NA")</x:f>
        <x:v>42.5</x:v>
      </x:c>
      <x:c r="O48" s="30" t="n">
        <x:f>IF(COUNT('总览与权重'!$H$9:$K$9)=4,ROUND(100*SUMPRODUCT(E48:H48,'总览与权重'!$H$9:$K$9),12),"NA")</x:f>
        <x:v>45.772820650468</x:v>
      </x:c>
      <x:c r="P48" s="30" t="n">
        <x:f>IF(ISNUMBER(O48),COUNTIFS($O$6:$O$179,"&gt;"&amp;O48)+(COUNTIFS($O$6:$O$179,O48)+1)/2,"NA")</x:f>
        <x:v>44.5</x:v>
      </x:c>
      <x:c r="Q48" s="30" t="n">
        <x:f>IF(COUNT('总览与权重'!$H$10:$K$10)=4,ROUND(100*SUMPRODUCT(E48:H48,'总览与权重'!$H$10:$K$10),12),"NA")</x:f>
        <x:v>25.185057494384</x:v>
      </x:c>
      <x:c r="R48" s="30" t="n">
        <x:f>IF(ISNUMBER(Q48),COUNTIFS($Q$6:$Q$179,"&gt;"&amp;Q48)+(COUNTIFS($Q$6:$Q$179,Q48)+1)/2,"NA")</x:f>
        <x:v>65.5</x:v>
      </x:c>
      <x:c r="S48" s="31" t="n">
        <x:f>IF(OR(B48="s3",B48="s6"),COUNTIFS($B$6:$B$179,B48,$I$6:$I$179,"&gt;"&amp;I48)+(COUNTIFS($B$6:$B$179,B48,$I$6:$I$179,I48)+1)/2,"NA")</x:f>
        <x:v>40.5</x:v>
      </x:c>
      <x:c r="T48" s="26" t="str">
        <x:f>IF(COUNTIFS($I$6:$I$179,"&gt;"&amp;I48)&gt;=35,"非前20%",IF(COUNTIFS($I$6:$I$179,"&gt;="&amp;I48)&gt;=35,"边界同分","严格前20%"))</x:f>
        <x:v>非前20%</x:v>
      </x:c>
      <x:c r="U48" s="26" t="str">
        <x:f>IF(COUNTIFS($I$6:$I$179,"&lt;"&amp;I48)&gt;=35,"非后20%",IF(COUNTIFS($I$6:$I$179,"&lt;="&amp;I48)&gt;=35,"边界同分","严格后20%"))</x:f>
        <x:v>非后20%</x:v>
      </x:c>
      <x:c r="V48" s="26" t="n">
        <x:f>'基线调整'!I42</x:f>
        <x:v>69.395013419849</x:v>
      </x:c>
      <x:c r="W48" s="26" t="n">
        <x:f>'基线调整'!J42</x:f>
        <x:v>37.5</x:v>
      </x:c>
      <x:c r="X48" s="22" t="str">
        <x:v>["S0248"]</x:v>
      </x:c>
      <x:c r="Y48" s="22" t="str">
        <x:v>evidence/student_evidence.jsonl；student_key=2025秋:252265</x:v>
      </x:c>
      <x:c r="Z48" s="26" t="n">
        <x:f>IF(OR(B48="s3",B48="s6"),COUNTIFS($B$6:$B$179,B48,$K$6:$K$179,"&gt;"&amp;K48)+(COUNTIFS($B$6:$B$179,B48,$K$6:$K$179,K48)+1)/2,"NA")</x:f>
        <x:v>45.5</x:v>
      </x:c>
      <x:c r="AA48" s="26" t="n">
        <x:f>IF(OR(B48="s3",B48="s6"),COUNTIFS($B$6:$B$179,B48,$M$6:$M$179,"&gt;"&amp;M48)+(COUNTIFS($B$6:$B$179,B48,$M$6:$M$179,M48)+1)/2,"NA")</x:f>
        <x:v>39.5</x:v>
      </x:c>
      <x:c r="AB48" s="26" t="n">
        <x:f>IF(OR(B48="s3",B48="s6"),COUNTIFS($B$6:$B$179,B48,$O$6:$O$179,"&gt;"&amp;O48)+(COUNTIFS($B$6:$B$179,B48,$O$6:$O$179,O48)+1)/2,"NA")</x:f>
        <x:v>41.5</x:v>
      </x:c>
      <x:c r="AC48" s="26" t="n">
        <x:f>IF(OR(B48="s3",B48="s6"),COUNTIFS($B$6:$B$179,B48,$Q$6:$Q$179,"&gt;"&amp;Q48)+(COUNTIFS($B$6:$B$179,B48,$Q$6:$Q$179,Q48)+1)/2,"NA")</x:f>
        <x:v>61.5</x:v>
      </x:c>
    </x:row>
    <x:row r="49" ht="23" customHeight="1">
      <x:c r="A49" s="21" t="str">
        <x:v>2025秋:259865</x:v>
      </x:c>
      <x:c r="B49" s="22" t="str">
        <x:v>s3</x:v>
      </x:c>
      <x:c r="C49" s="24" t="n">
        <x:v>1</x:v>
      </x:c>
      <x:c r="D49" s="24" t="n">
        <x:v>1</x:v>
      </x:c>
      <x:c r="E49" s="29" t="n">
        <x:f>'指标计算'!K117</x:f>
        <x:v>0.02705909554790152</x:v>
      </x:c>
      <x:c r="F49" s="29" t="n">
        <x:f>'指标计算'!L117</x:f>
        <x:v>0.32470914657481825</x:v>
      </x:c>
      <x:c r="G49" s="29" t="n">
        <x:f>'指标计算'!M117</x:f>
        <x:v>0.32470914657481825</x:v>
      </x:c>
      <x:c r="H49" s="29" t="n">
        <x:f>'指标计算'!N117</x:f>
        <x:v>1</x:v>
      </x:c>
      <x:c r="I49" s="30" t="n">
        <x:f>IF(COUNT('总览与权重'!$H$6:$K$6)=4,ROUND(100*SUMPRODUCT(E49:H49,'总览与权重'!$H$6:$K$6),12),"NA")</x:f>
        <x:v>43.80013872943</x:v>
      </x:c>
      <x:c r="J49" s="30" t="n">
        <x:f>IF(ISNUMBER(I49),COUNTIFS($I$6:$I$179,"&gt;"&amp;I49)+(COUNTIFS($I$6:$I$179,I49)+1)/2,"NA")</x:f>
        <x:v>43.5</x:v>
      </x:c>
      <x:c r="K49" s="30" t="n">
        <x:f>IF(COUNT('总览与权重'!$H$7:$K$7)=4,ROUND(100*SUMPRODUCT(E49:H49,'总览与权重'!$H$7:$K$7),12),"NA")</x:f>
        <x:v>40.023730705447</x:v>
      </x:c>
      <x:c r="L49" s="30" t="n">
        <x:f>IF(ISNUMBER(K49),COUNTIFS($K$6:$K$179,"&gt;"&amp;K49)+(COUNTIFS($K$6:$K$179,K49)+1)/2,"NA")</x:f>
        <x:v>48.5</x:v>
      </x:c>
      <x:c r="M49" s="30" t="n">
        <x:f>IF(COUNT('总览与权重'!$H$8:$K$8)=4,ROUND(100*SUMPRODUCT(E49:H49,'总览与权重'!$H$8:$K$8),12),"NA")</x:f>
        <x:v>48.66484325169</x:v>
      </x:c>
      <x:c r="N49" s="30" t="n">
        <x:f>IF(ISNUMBER(M49),COUNTIFS($M$6:$M$179,"&gt;"&amp;M49)+(COUNTIFS($M$6:$M$179,M49)+1)/2,"NA")</x:f>
        <x:v>42.5</x:v>
      </x:c>
      <x:c r="O49" s="30" t="n">
        <x:f>IF(COUNT('总览与权重'!$H$9:$K$9)=4,ROUND(100*SUMPRODUCT(E49:H49,'总览与权重'!$H$9:$K$9),12),"NA")</x:f>
        <x:v>45.772820650468</x:v>
      </x:c>
      <x:c r="P49" s="30" t="n">
        <x:f>IF(ISNUMBER(O49),COUNTIFS($O$6:$O$179,"&gt;"&amp;O49)+(COUNTIFS($O$6:$O$179,O49)+1)/2,"NA")</x:f>
        <x:v>44.5</x:v>
      </x:c>
      <x:c r="Q49" s="30" t="n">
        <x:f>IF(COUNT('总览与权重'!$H$10:$K$10)=4,ROUND(100*SUMPRODUCT(E49:H49,'总览与权重'!$H$10:$K$10),12),"NA")</x:f>
        <x:v>25.185057494384</x:v>
      </x:c>
      <x:c r="R49" s="30" t="n">
        <x:f>IF(ISNUMBER(Q49),COUNTIFS($Q$6:$Q$179,"&gt;"&amp;Q49)+(COUNTIFS($Q$6:$Q$179,Q49)+1)/2,"NA")</x:f>
        <x:v>65.5</x:v>
      </x:c>
      <x:c r="S49" s="31" t="n">
        <x:f>IF(OR(B49="s3",B49="s6"),COUNTIFS($B$6:$B$179,B49,$I$6:$I$179,"&gt;"&amp;I49)+(COUNTIFS($B$6:$B$179,B49,$I$6:$I$179,I49)+1)/2,"NA")</x:f>
        <x:v>40.5</x:v>
      </x:c>
      <x:c r="T49" s="26" t="str">
        <x:f>IF(COUNTIFS($I$6:$I$179,"&gt;"&amp;I49)&gt;=35,"非前20%",IF(COUNTIFS($I$6:$I$179,"&gt;="&amp;I49)&gt;=35,"边界同分","严格前20%"))</x:f>
        <x:v>非前20%</x:v>
      </x:c>
      <x:c r="U49" s="26" t="str">
        <x:f>IF(COUNTIFS($I$6:$I$179,"&lt;"&amp;I49)&gt;=35,"非后20%",IF(COUNTIFS($I$6:$I$179,"&lt;="&amp;I49)&gt;=35,"边界同分","严格后20%"))</x:f>
        <x:v>非后20%</x:v>
      </x:c>
      <x:c r="V49" s="26" t="n">
        <x:f>'基线调整'!I43</x:f>
        <x:v>69.395013419849</x:v>
      </x:c>
      <x:c r="W49" s="26" t="n">
        <x:f>'基线调整'!J43</x:f>
        <x:v>37.5</x:v>
      </x:c>
      <x:c r="X49" s="22" t="str">
        <x:v>["S0397"]</x:v>
      </x:c>
      <x:c r="Y49" s="22" t="str">
        <x:v>evidence/student_evidence.jsonl；student_key=2025秋:259865</x:v>
      </x:c>
      <x:c r="Z49" s="26" t="n">
        <x:f>IF(OR(B49="s3",B49="s6"),COUNTIFS($B$6:$B$179,B49,$K$6:$K$179,"&gt;"&amp;K49)+(COUNTIFS($B$6:$B$179,B49,$K$6:$K$179,K49)+1)/2,"NA")</x:f>
        <x:v>45.5</x:v>
      </x:c>
      <x:c r="AA49" s="26" t="n">
        <x:f>IF(OR(B49="s3",B49="s6"),COUNTIFS($B$6:$B$179,B49,$M$6:$M$179,"&gt;"&amp;M49)+(COUNTIFS($B$6:$B$179,B49,$M$6:$M$179,M49)+1)/2,"NA")</x:f>
        <x:v>39.5</x:v>
      </x:c>
      <x:c r="AB49" s="26" t="n">
        <x:f>IF(OR(B49="s3",B49="s6"),COUNTIFS($B$6:$B$179,B49,$O$6:$O$179,"&gt;"&amp;O49)+(COUNTIFS($B$6:$B$179,B49,$O$6:$O$179,O49)+1)/2,"NA")</x:f>
        <x:v>41.5</x:v>
      </x:c>
      <x:c r="AC49" s="26" t="n">
        <x:f>IF(OR(B49="s3",B49="s6"),COUNTIFS($B$6:$B$179,B49,$Q$6:$Q$179,"&gt;"&amp;Q49)+(COUNTIFS($B$6:$B$179,B49,$Q$6:$Q$179,Q49)+1)/2,"NA")</x:f>
        <x:v>61.5</x:v>
      </x:c>
    </x:row>
    <x:row r="50" ht="23" customHeight="1">
      <x:c r="A50" s="21" t="str">
        <x:v>2025秋:259333</x:v>
      </x:c>
      <x:c r="B50" s="22" t="str">
        <x:v>s3</x:v>
      </x:c>
      <x:c r="C50" s="24" t="n">
        <x:v>1</x:v>
      </x:c>
      <x:c r="D50" s="24" t="n">
        <x:v>1</x:v>
      </x:c>
      <x:c r="E50" s="29" t="n">
        <x:f>'指标计算'!K88</x:f>
        <x:v>0.026655170185737737</x:v>
      </x:c>
      <x:c r="F50" s="29" t="n">
        <x:f>'指标计算'!L88</x:f>
        <x:v>0.31986204222885284</x:v>
      </x:c>
      <x:c r="G50" s="29" t="n">
        <x:f>'指标计算'!M88</x:f>
        <x:v>0.31986204222885284</x:v>
      </x:c>
      <x:c r="H50" s="29" t="n">
        <x:f>'指标计算'!N88</x:f>
        <x:v>1</x:v>
      </x:c>
      <x:c r="I50" s="30" t="n">
        <x:f>IF(COUNT('总览与权重'!$H$6:$K$6)=4,ROUND(100*SUMPRODUCT(E50:H50,'总览与权重'!$H$6:$K$6),12),"NA")</x:f>
        <x:v>43.594136794726</x:v>
      </x:c>
      <x:c r="J50" s="30" t="n">
        <x:f>IF(ISNUMBER(I50),COUNTIFS($I$6:$I$179,"&gt;"&amp;I50)+(COUNTIFS($I$6:$I$179,I50)+1)/2,"NA")</x:f>
        <x:v>45</x:v>
      </x:c>
      <x:c r="K50" s="30" t="n">
        <x:f>IF(COUNT('总览与权重'!$H$7:$K$7)=4,ROUND(100*SUMPRODUCT(E50:H50,'总览与权重'!$H$7:$K$7),12),"NA")</x:f>
        <x:v>39.724825937446</x:v>
      </x:c>
      <x:c r="L50" s="30" t="n">
        <x:f>IF(ISNUMBER(K50),COUNTIFS($K$6:$K$179,"&gt;"&amp;K50)+(COUNTIFS($K$6:$K$179,K50)+1)/2,"NA")</x:f>
        <x:v>50</x:v>
      </x:c>
      <x:c r="M50" s="30" t="n">
        <x:f>IF(COUNT('总览与权重'!$H$8:$K$8)=4,ROUND(100*SUMPRODUCT(E50:H50,'总览与权重'!$H$8:$K$8),12),"NA")</x:f>
        <x:v>48.460860943798</x:v>
      </x:c>
      <x:c r="N50" s="30" t="n">
        <x:f>IF(ISNUMBER(M50),COUNTIFS($M$6:$M$179,"&gt;"&amp;M50)+(COUNTIFS($M$6:$M$179,M50)+1)/2,"NA")</x:f>
        <x:v>44</x:v>
      </x:c>
      <x:c r="O50" s="30" t="n">
        <x:f>IF(COUNT('总览与权重'!$H$9:$K$9)=4,ROUND(100*SUMPRODUCT(E50:H50,'总览与权重'!$H$9:$K$9),12),"NA")</x:f>
        <x:v>45.537371454382</x:v>
      </x:c>
      <x:c r="P50" s="30" t="n">
        <x:f>IF(ISNUMBER(O50),COUNTIFS($O$6:$O$179,"&gt;"&amp;O50)+(COUNTIFS($O$6:$O$179,O50)+1)/2,"NA")</x:f>
        <x:v>46</x:v>
      </x:c>
      <x:c r="Q50" s="30" t="n">
        <x:f>IF(COUNT('总览与权重'!$H$10:$K$10)=4,ROUND(100*SUMPRODUCT(E50:H50,'总览与权重'!$H$10:$K$10),12),"NA")</x:f>
        <x:v>24.860218211214</x:v>
      </x:c>
      <x:c r="R50" s="30" t="n">
        <x:f>IF(ISNUMBER(Q50),COUNTIFS($Q$6:$Q$179,"&gt;"&amp;Q50)+(COUNTIFS($Q$6:$Q$179,Q50)+1)/2,"NA")</x:f>
        <x:v>69</x:v>
      </x:c>
      <x:c r="S50" s="31" t="n">
        <x:f>IF(OR(B50="s3",B50="s6"),COUNTIFS($B$6:$B$179,B50,$I$6:$I$179,"&gt;"&amp;I50)+(COUNTIFS($B$6:$B$179,B50,$I$6:$I$179,I50)+1)/2,"NA")</x:f>
        <x:v>42</x:v>
      </x:c>
      <x:c r="T50" s="26" t="str">
        <x:f>IF(COUNTIFS($I$6:$I$179,"&gt;"&amp;I50)&gt;=35,"非前20%",IF(COUNTIFS($I$6:$I$179,"&gt;="&amp;I50)&gt;=35,"边界同分","严格前20%"))</x:f>
        <x:v>非前20%</x:v>
      </x:c>
      <x:c r="U50" s="26" t="str">
        <x:f>IF(COUNTIFS($I$6:$I$179,"&lt;"&amp;I50)&gt;=35,"非后20%",IF(COUNTIFS($I$6:$I$179,"&lt;="&amp;I50)&gt;=35,"边界同分","严格后20%"))</x:f>
        <x:v>非后20%</x:v>
      </x:c>
      <x:c r="V50" s="26" t="str">
        <x:v>NA</x:v>
      </x:c>
      <x:c r="W50" s="26" t="str">
        <x:v>NA</x:v>
      </x:c>
      <x:c r="X50" s="22" t="str">
        <x:v>["S0360"]</x:v>
      </x:c>
      <x:c r="Y50" s="22" t="str">
        <x:v>evidence/student_evidence.jsonl；student_key=2025秋:259333</x:v>
      </x:c>
      <x:c r="Z50" s="26" t="n">
        <x:f>IF(OR(B50="s3",B50="s6"),COUNTIFS($B$6:$B$179,B50,$K$6:$K$179,"&gt;"&amp;K50)+(COUNTIFS($B$6:$B$179,B50,$K$6:$K$179,K50)+1)/2,"NA")</x:f>
        <x:v>47</x:v>
      </x:c>
      <x:c r="AA50" s="26" t="n">
        <x:f>IF(OR(B50="s3",B50="s6"),COUNTIFS($B$6:$B$179,B50,$M$6:$M$179,"&gt;"&amp;M50)+(COUNTIFS($B$6:$B$179,B50,$M$6:$M$179,M50)+1)/2,"NA")</x:f>
        <x:v>41</x:v>
      </x:c>
      <x:c r="AB50" s="26" t="n">
        <x:f>IF(OR(B50="s3",B50="s6"),COUNTIFS($B$6:$B$179,B50,$O$6:$O$179,"&gt;"&amp;O50)+(COUNTIFS($B$6:$B$179,B50,$O$6:$O$179,O50)+1)/2,"NA")</x:f>
        <x:v>43</x:v>
      </x:c>
      <x:c r="AC50" s="26" t="n">
        <x:f>IF(OR(B50="s3",B50="s6"),COUNTIFS($B$6:$B$179,B50,$Q$6:$Q$179,"&gt;"&amp;Q50)+(COUNTIFS($B$6:$B$179,B50,$Q$6:$Q$179,Q50)+1)/2,"NA")</x:f>
        <x:v>65</x:v>
      </x:c>
    </x:row>
    <x:row r="51" ht="23" customHeight="1">
      <x:c r="A51" s="21" t="str">
        <x:v>2025秋:259016</x:v>
      </x:c>
      <x:c r="B51" s="22" t="str">
        <x:v>s3</x:v>
      </x:c>
      <x:c r="C51" s="24" t="n">
        <x:v>1</x:v>
      </x:c>
      <x:c r="D51" s="24" t="n">
        <x:v>1</x:v>
      </x:c>
      <x:c r="E51" s="29" t="n">
        <x:f>'指标计算'!K63</x:f>
        <x:v>0.02621537372202266</x:v>
      </x:c>
      <x:c r="F51" s="29" t="n">
        <x:f>'指标计算'!L63</x:f>
        <x:v>0.3145844846642719</x:v>
      </x:c>
      <x:c r="G51" s="29" t="n">
        <x:f>'指标计算'!M63</x:f>
        <x:v>0.3145844846642719</x:v>
      </x:c>
      <x:c r="H51" s="29" t="n">
        <x:f>'指标计算'!N63</x:f>
        <x:v>1</x:v>
      </x:c>
      <x:c r="I51" s="30" t="n">
        <x:f>IF(COUNT('总览与权重'!$H$6:$K$6)=4,ROUND(100*SUMPRODUCT(E51:H51,'总览与权重'!$H$6:$K$6),12),"NA")</x:f>
        <x:v>43.369840598232</x:v>
      </x:c>
      <x:c r="J51" s="30" t="n">
        <x:f>IF(ISNUMBER(I51),COUNTIFS($I$6:$I$179,"&gt;"&amp;I51)+(COUNTIFS($I$6:$I$179,I51)+1)/2,"NA")</x:f>
        <x:v>46.5</x:v>
      </x:c>
      <x:c r="K51" s="30" t="n">
        <x:f>IF(COUNT('总览与权重'!$H$7:$K$7)=4,ROUND(100*SUMPRODUCT(E51:H51,'总览与权重'!$H$7:$K$7),12),"NA")</x:f>
        <x:v>39.399376554297</x:v>
      </x:c>
      <x:c r="L51" s="30" t="n">
        <x:f>IF(ISNUMBER(K51),COUNTIFS($K$6:$K$179,"&gt;"&amp;K51)+(COUNTIFS($K$6:$K$179,K51)+1)/2,"NA")</x:f>
        <x:v>51.5</x:v>
      </x:c>
      <x:c r="M51" s="30" t="n">
        <x:f>IF(COUNT('总览与权重'!$H$8:$K$8)=4,ROUND(100*SUMPRODUCT(E51:H51,'总览与权重'!$H$8:$K$8),12),"NA")</x:f>
        <x:v>48.238763729621</x:v>
      </x:c>
      <x:c r="N51" s="30" t="n">
        <x:f>IF(ISNUMBER(M51),COUNTIFS($M$6:$M$179,"&gt;"&amp;M51)+(COUNTIFS($M$6:$M$179,M51)+1)/2,"NA")</x:f>
        <x:v>45.5</x:v>
      </x:c>
      <x:c r="O51" s="30" t="n">
        <x:f>IF(COUNT('总览与权重'!$H$9:$K$9)=4,ROUND(100*SUMPRODUCT(E51:H51,'总览与权重'!$H$9:$K$9),12),"NA")</x:f>
        <x:v>45.281012895294</x:v>
      </x:c>
      <x:c r="P51" s="30" t="n">
        <x:f>IF(ISNUMBER(O51),COUNTIFS($O$6:$O$179,"&gt;"&amp;O51)+(COUNTIFS($O$6:$O$179,O51)+1)/2,"NA")</x:f>
        <x:v>47.5</x:v>
      </x:c>
      <x:c r="Q51" s="30" t="n">
        <x:f>IF(COUNT('总览与权重'!$H$10:$K$10)=4,ROUND(100*SUMPRODUCT(E51:H51,'总览与权重'!$H$10:$K$10),12),"NA")</x:f>
        <x:v>24.506531165547</x:v>
      </x:c>
      <x:c r="R51" s="30" t="n">
        <x:f>IF(ISNUMBER(Q51),COUNTIFS($Q$6:$Q$179,"&gt;"&amp;Q51)+(COUNTIFS($Q$6:$Q$179,Q51)+1)/2,"NA")</x:f>
        <x:v>73.5</x:v>
      </x:c>
      <x:c r="S51" s="31" t="n">
        <x:f>IF(OR(B51="s3",B51="s6"),COUNTIFS($B$6:$B$179,B51,$I$6:$I$179,"&gt;"&amp;I51)+(COUNTIFS($B$6:$B$179,B51,$I$6:$I$179,I51)+1)/2,"NA")</x:f>
        <x:v>43.5</x:v>
      </x:c>
      <x:c r="T51" s="26" t="str">
        <x:f>IF(COUNTIFS($I$6:$I$179,"&gt;"&amp;I51)&gt;=35,"非前20%",IF(COUNTIFS($I$6:$I$179,"&gt;="&amp;I51)&gt;=35,"边界同分","严格前20%"))</x:f>
        <x:v>非前20%</x:v>
      </x:c>
      <x:c r="U51" s="26" t="str">
        <x:f>IF(COUNTIFS($I$6:$I$179,"&lt;"&amp;I51)&gt;=35,"非后20%",IF(COUNTIFS($I$6:$I$179,"&lt;="&amp;I51)&gt;=35,"边界同分","严格后20%"))</x:f>
        <x:v>非后20%</x:v>
      </x:c>
      <x:c r="V51" s="26" t="n">
        <x:f>'基线调整'!I35</x:f>
        <x:v>69.684096507541</x:v>
      </x:c>
      <x:c r="W51" s="26" t="n">
        <x:f>'基线调整'!J35</x:f>
        <x:v>30.5</x:v>
      </x:c>
      <x:c r="X51" s="22" t="str">
        <x:v>["S0203"]</x:v>
      </x:c>
      <x:c r="Y51" s="22" t="str">
        <x:v>evidence/student_evidence.jsonl；student_key=2025秋:259016</x:v>
      </x:c>
      <x:c r="Z51" s="26" t="n">
        <x:f>IF(OR(B51="s3",B51="s6"),COUNTIFS($B$6:$B$179,B51,$K$6:$K$179,"&gt;"&amp;K51)+(COUNTIFS($B$6:$B$179,B51,$K$6:$K$179,K51)+1)/2,"NA")</x:f>
        <x:v>48.5</x:v>
      </x:c>
      <x:c r="AA51" s="26" t="n">
        <x:f>IF(OR(B51="s3",B51="s6"),COUNTIFS($B$6:$B$179,B51,$M$6:$M$179,"&gt;"&amp;M51)+(COUNTIFS($B$6:$B$179,B51,$M$6:$M$179,M51)+1)/2,"NA")</x:f>
        <x:v>42.5</x:v>
      </x:c>
      <x:c r="AB51" s="26" t="n">
        <x:f>IF(OR(B51="s3",B51="s6"),COUNTIFS($B$6:$B$179,B51,$O$6:$O$179,"&gt;"&amp;O51)+(COUNTIFS($B$6:$B$179,B51,$O$6:$O$179,O51)+1)/2,"NA")</x:f>
        <x:v>44.5</x:v>
      </x:c>
      <x:c r="AC51" s="26" t="n">
        <x:f>IF(OR(B51="s3",B51="s6"),COUNTIFS($B$6:$B$179,B51,$Q$6:$Q$179,"&gt;"&amp;Q51)+(COUNTIFS($B$6:$B$179,B51,$Q$6:$Q$179,Q51)+1)/2,"NA")</x:f>
        <x:v>69.5</x:v>
      </x:c>
    </x:row>
    <x:row r="52" ht="23" customHeight="1">
      <x:c r="A52" s="21" t="str">
        <x:v>2025秋:259024</x:v>
      </x:c>
      <x:c r="B52" s="22" t="str">
        <x:v>s3</x:v>
      </x:c>
      <x:c r="C52" s="24" t="n">
        <x:v>1</x:v>
      </x:c>
      <x:c r="D52" s="24" t="n">
        <x:v>1</x:v>
      </x:c>
      <x:c r="E52" s="29" t="n">
        <x:f>'指标计算'!K66</x:f>
        <x:v>0.02621537372202266</x:v>
      </x:c>
      <x:c r="F52" s="29" t="n">
        <x:f>'指标计算'!L66</x:f>
        <x:v>0.3145844846642719</x:v>
      </x:c>
      <x:c r="G52" s="29" t="n">
        <x:f>'指标计算'!M66</x:f>
        <x:v>0.3145844846642719</x:v>
      </x:c>
      <x:c r="H52" s="29" t="n">
        <x:f>'指标计算'!N66</x:f>
        <x:v>1</x:v>
      </x:c>
      <x:c r="I52" s="30" t="n">
        <x:f>IF(COUNT('总览与权重'!$H$6:$K$6)=4,ROUND(100*SUMPRODUCT(E52:H52,'总览与权重'!$H$6:$K$6),12),"NA")</x:f>
        <x:v>43.369840598232</x:v>
      </x:c>
      <x:c r="J52" s="30" t="n">
        <x:f>IF(ISNUMBER(I52),COUNTIFS($I$6:$I$179,"&gt;"&amp;I52)+(COUNTIFS($I$6:$I$179,I52)+1)/2,"NA")</x:f>
        <x:v>46.5</x:v>
      </x:c>
      <x:c r="K52" s="30" t="n">
        <x:f>IF(COUNT('总览与权重'!$H$7:$K$7)=4,ROUND(100*SUMPRODUCT(E52:H52,'总览与权重'!$H$7:$K$7),12),"NA")</x:f>
        <x:v>39.399376554297</x:v>
      </x:c>
      <x:c r="L52" s="30" t="n">
        <x:f>IF(ISNUMBER(K52),COUNTIFS($K$6:$K$179,"&gt;"&amp;K52)+(COUNTIFS($K$6:$K$179,K52)+1)/2,"NA")</x:f>
        <x:v>51.5</x:v>
      </x:c>
      <x:c r="M52" s="30" t="n">
        <x:f>IF(COUNT('总览与权重'!$H$8:$K$8)=4,ROUND(100*SUMPRODUCT(E52:H52,'总览与权重'!$H$8:$K$8),12),"NA")</x:f>
        <x:v>48.238763729621</x:v>
      </x:c>
      <x:c r="N52" s="30" t="n">
        <x:f>IF(ISNUMBER(M52),COUNTIFS($M$6:$M$179,"&gt;"&amp;M52)+(COUNTIFS($M$6:$M$179,M52)+1)/2,"NA")</x:f>
        <x:v>45.5</x:v>
      </x:c>
      <x:c r="O52" s="30" t="n">
        <x:f>IF(COUNT('总览与权重'!$H$9:$K$9)=4,ROUND(100*SUMPRODUCT(E52:H52,'总览与权重'!$H$9:$K$9),12),"NA")</x:f>
        <x:v>45.281012895294</x:v>
      </x:c>
      <x:c r="P52" s="30" t="n">
        <x:f>IF(ISNUMBER(O52),COUNTIFS($O$6:$O$179,"&gt;"&amp;O52)+(COUNTIFS($O$6:$O$179,O52)+1)/2,"NA")</x:f>
        <x:v>47.5</x:v>
      </x:c>
      <x:c r="Q52" s="30" t="n">
        <x:f>IF(COUNT('总览与权重'!$H$10:$K$10)=4,ROUND(100*SUMPRODUCT(E52:H52,'总览与权重'!$H$10:$K$10),12),"NA")</x:f>
        <x:v>24.506531165547</x:v>
      </x:c>
      <x:c r="R52" s="30" t="n">
        <x:f>IF(ISNUMBER(Q52),COUNTIFS($Q$6:$Q$179,"&gt;"&amp;Q52)+(COUNTIFS($Q$6:$Q$179,Q52)+1)/2,"NA")</x:f>
        <x:v>73.5</x:v>
      </x:c>
      <x:c r="S52" s="31" t="n">
        <x:f>IF(OR(B52="s3",B52="s6"),COUNTIFS($B$6:$B$179,B52,$I$6:$I$179,"&gt;"&amp;I52)+(COUNTIFS($B$6:$B$179,B52,$I$6:$I$179,I52)+1)/2,"NA")</x:f>
        <x:v>43.5</x:v>
      </x:c>
      <x:c r="T52" s="26" t="str">
        <x:f>IF(COUNTIFS($I$6:$I$179,"&gt;"&amp;I52)&gt;=35,"非前20%",IF(COUNTIFS($I$6:$I$179,"&gt;="&amp;I52)&gt;=35,"边界同分","严格前20%"))</x:f>
        <x:v>非前20%</x:v>
      </x:c>
      <x:c r="U52" s="26" t="str">
        <x:f>IF(COUNTIFS($I$6:$I$179,"&lt;"&amp;I52)&gt;=35,"非后20%",IF(COUNTIFS($I$6:$I$179,"&lt;="&amp;I52)&gt;=35,"边界同分","严格后20%"))</x:f>
        <x:v>非后20%</x:v>
      </x:c>
      <x:c r="V52" s="26" t="n">
        <x:f>'基线调整'!I36</x:f>
        <x:v>69.684096507541</x:v>
      </x:c>
      <x:c r="W52" s="26" t="n">
        <x:f>'基线调整'!J36</x:f>
        <x:v>30.5</x:v>
      </x:c>
      <x:c r="X52" s="22" t="str">
        <x:v>["S0359"]</x:v>
      </x:c>
      <x:c r="Y52" s="22" t="str">
        <x:v>evidence/student_evidence.jsonl；student_key=2025秋:259024</x:v>
      </x:c>
      <x:c r="Z52" s="26" t="n">
        <x:f>IF(OR(B52="s3",B52="s6"),COUNTIFS($B$6:$B$179,B52,$K$6:$K$179,"&gt;"&amp;K52)+(COUNTIFS($B$6:$B$179,B52,$K$6:$K$179,K52)+1)/2,"NA")</x:f>
        <x:v>48.5</x:v>
      </x:c>
      <x:c r="AA52" s="26" t="n">
        <x:f>IF(OR(B52="s3",B52="s6"),COUNTIFS($B$6:$B$179,B52,$M$6:$M$179,"&gt;"&amp;M52)+(COUNTIFS($B$6:$B$179,B52,$M$6:$M$179,M52)+1)/2,"NA")</x:f>
        <x:v>42.5</x:v>
      </x:c>
      <x:c r="AB52" s="26" t="n">
        <x:f>IF(OR(B52="s3",B52="s6"),COUNTIFS($B$6:$B$179,B52,$O$6:$O$179,"&gt;"&amp;O52)+(COUNTIFS($B$6:$B$179,B52,$O$6:$O$179,O52)+1)/2,"NA")</x:f>
        <x:v>44.5</x:v>
      </x:c>
      <x:c r="AC52" s="26" t="n">
        <x:f>IF(OR(B52="s3",B52="s6"),COUNTIFS($B$6:$B$179,B52,$Q$6:$Q$179,"&gt;"&amp;Q52)+(COUNTIFS($B$6:$B$179,B52,$Q$6:$Q$179,Q52)+1)/2,"NA")</x:f>
        <x:v>69.5</x:v>
      </x:c>
    </x:row>
    <x:row r="53" ht="23" customHeight="1">
      <x:c r="A53" s="21" t="str">
        <x:v>2025秋:258938</x:v>
      </x:c>
      <x:c r="B53" s="22" t="str">
        <x:v>s3</x:v>
      </x:c>
      <x:c r="C53" s="24" t="n">
        <x:v>2</x:v>
      </x:c>
      <x:c r="D53" s="24" t="n">
        <x:v>2</x:v>
      </x:c>
      <x:c r="E53" s="29" t="n">
        <x:f>'指标计算'!K48</x:f>
        <x:v>0.03591568915660336</x:v>
      </x:c>
      <x:c r="F53" s="29" t="n">
        <x:f>'指标计算'!L48</x:f>
        <x:v>0.21549413493962016</x:v>
      </x:c>
      <x:c r="G53" s="29" t="n">
        <x:f>'指标计算'!M48</x:f>
        <x:v>0.4309882698792403</x:v>
      </x:c>
      <x:c r="H53" s="29" t="n">
        <x:f>'指标计算'!N48</x:f>
        <x:v>1</x:v>
      </x:c>
      <x:c r="I53" s="30" t="n">
        <x:f>IF(COUNT('总览与权重'!$H$6:$K$6)=4,ROUND(100*SUMPRODUCT(E53:H53,'总览与权重'!$H$6:$K$6),12),"NA")</x:f>
        <x:v>42.929648096377</x:v>
      </x:c>
      <x:c r="J53" s="30" t="n">
        <x:f>IF(ISNUMBER(I53),COUNTIFS($I$6:$I$179,"&gt;"&amp;I53)+(COUNTIFS($I$6:$I$179,I53)+1)/2,"NA")</x:f>
        <x:v>48</x:v>
      </x:c>
      <x:c r="K53" s="30" t="n">
        <x:f>IF(COUNT('总览与权重'!$H$7:$K$7)=4,ROUND(100*SUMPRODUCT(E53:H53,'总览与权重'!$H$7:$K$7),12),"NA")</x:f>
        <x:v>42.267727277094</x:v>
      </x:c>
      <x:c r="L53" s="30" t="n">
        <x:f>IF(ISNUMBER(K53),COUNTIFS($K$6:$K$179,"&gt;"&amp;K53)+(COUNTIFS($K$6:$K$179,K53)+1)/2,"NA")</x:f>
        <x:v>30</x:v>
      </x:c>
      <x:c r="M53" s="30" t="n">
        <x:f>IF(COUNT('总览与权重'!$H$8:$K$8)=4,ROUND(100*SUMPRODUCT(E53:H53,'总览与权重'!$H$8:$K$8),12),"NA")</x:f>
        <x:v>46.672598975896</x:v>
      </x:c>
      <x:c r="N53" s="30" t="n">
        <x:f>IF(ISNUMBER(M53),COUNTIFS($M$6:$M$179,"&gt;"&amp;M53)+(COUNTIFS($M$6:$M$179,M53)+1)/2,"NA")</x:f>
        <x:v>48</x:v>
      </x:c>
      <x:c r="O53" s="30" t="n">
        <x:f>IF(COUNT('总览与权重'!$H$9:$K$9)=4,ROUND(100*SUMPRODUCT(E53:H53,'总览与权重'!$H$9:$K$9),12),"NA")</x:f>
        <x:v>45.87032480382</x:v>
      </x:c>
      <x:c r="P53" s="30" t="n">
        <x:f>IF(ISNUMBER(O53),COUNTIFS($O$6:$O$179,"&gt;"&amp;O53)+(COUNTIFS($O$6:$O$179,O53)+1)/2,"NA")</x:f>
        <x:v>43</x:v>
      </x:c>
      <x:c r="Q53" s="30" t="n">
        <x:f>IF(COUNT('总览与权重'!$H$10:$K$10)=4,ROUND(100*SUMPRODUCT(E53:H53,'总览与权重'!$H$10:$K$10),12),"NA")</x:f>
        <x:v>25.319579844883</x:v>
      </x:c>
      <x:c r="R53" s="30" t="n">
        <x:f>IF(ISNUMBER(Q53),COUNTIFS($Q$6:$Q$179,"&gt;"&amp;Q53)+(COUNTIFS($Q$6:$Q$179,Q53)+1)/2,"NA")</x:f>
        <x:v>64</x:v>
      </x:c>
      <x:c r="S53" s="31" t="n">
        <x:f>IF(OR(B53="s3",B53="s6"),COUNTIFS($B$6:$B$179,B53,$I$6:$I$179,"&gt;"&amp;I53)+(COUNTIFS($B$6:$B$179,B53,$I$6:$I$179,I53)+1)/2,"NA")</x:f>
        <x:v>45</x:v>
      </x:c>
      <x:c r="T53" s="26" t="str">
        <x:f>IF(COUNTIFS($I$6:$I$179,"&gt;"&amp;I53)&gt;=35,"非前20%",IF(COUNTIFS($I$6:$I$179,"&gt;="&amp;I53)&gt;=35,"边界同分","严格前20%"))</x:f>
        <x:v>非前20%</x:v>
      </x:c>
      <x:c r="U53" s="26" t="str">
        <x:f>IF(COUNTIFS($I$6:$I$179,"&lt;"&amp;I53)&gt;=35,"非后20%",IF(COUNTIFS($I$6:$I$179,"&lt;="&amp;I53)&gt;=35,"边界同分","严格后20%"))</x:f>
        <x:v>非后20%</x:v>
      </x:c>
      <x:c r="V53" s="26" t="n">
        <x:f>'基线调整'!I44</x:f>
        <x:v>68.649978101711</x:v>
      </x:c>
      <x:c r="W53" s="26" t="n">
        <x:f>'基线调整'!J44</x:f>
        <x:v>39</x:v>
      </x:c>
      <x:c r="X53" s="22" t="str">
        <x:v>["S0073","S0374"]</x:v>
      </x:c>
      <x:c r="Y53" s="22" t="str">
        <x:v>evidence/student_evidence.jsonl；student_key=2025秋:258938</x:v>
      </x:c>
      <x:c r="Z53" s="26" t="n">
        <x:f>IF(OR(B53="s3",B53="s6"),COUNTIFS($B$6:$B$179,B53,$K$6:$K$179,"&gt;"&amp;K53)+(COUNTIFS($B$6:$B$179,B53,$K$6:$K$179,K53)+1)/2,"NA")</x:f>
        <x:v>27</x:v>
      </x:c>
      <x:c r="AA53" s="26" t="n">
        <x:f>IF(OR(B53="s3",B53="s6"),COUNTIFS($B$6:$B$179,B53,$M$6:$M$179,"&gt;"&amp;M53)+(COUNTIFS($B$6:$B$179,B53,$M$6:$M$179,M53)+1)/2,"NA")</x:f>
        <x:v>45</x:v>
      </x:c>
      <x:c r="AB53" s="26" t="n">
        <x:f>IF(OR(B53="s3",B53="s6"),COUNTIFS($B$6:$B$179,B53,$O$6:$O$179,"&gt;"&amp;O53)+(COUNTIFS($B$6:$B$179,B53,$O$6:$O$179,O53)+1)/2,"NA")</x:f>
        <x:v>40</x:v>
      </x:c>
      <x:c r="AC53" s="26" t="n">
        <x:f>IF(OR(B53="s3",B53="s6"),COUNTIFS($B$6:$B$179,B53,$Q$6:$Q$179,"&gt;"&amp;Q53)+(COUNTIFS($B$6:$B$179,B53,$Q$6:$Q$179,Q53)+1)/2,"NA")</x:f>
        <x:v>60</x:v>
      </x:c>
    </x:row>
    <x:row r="54" ht="23" customHeight="1">
      <x:c r="A54" s="21" t="str">
        <x:v>2026春:268206</x:v>
      </x:c>
      <x:c r="B54" s="22" t="str">
        <x:v>s3</x:v>
      </x:c>
      <x:c r="C54" s="24" t="n">
        <x:v>1</x:v>
      </x:c>
      <x:c r="D54" s="24" t="n">
        <x:v>1</x:v>
      </x:c>
      <x:c r="E54" s="29" t="n">
        <x:f>'指标计算'!K169</x:f>
        <x:v>0.042723199739328775</x:v>
      </x:c>
      <x:c r="F54" s="29" t="n">
        <x:f>'指标计算'!L169</x:f>
        <x:v>0.5126783968719453</x:v>
      </x:c>
      <x:c r="G54" s="29" t="n">
        <x:f>'指标计算'!M169</x:f>
        <x:v>0.5126783968719453</x:v>
      </x:c>
      <x:c r="H54" s="29" t="n">
        <x:f>'指标计算'!N169</x:f>
        <x:v>0.6666666666666666</x:v>
      </x:c>
      <x:c r="I54" s="30" t="n">
        <x:f>IF(COUNT('总览与权重'!$H$6:$K$6)=4,ROUND(100*SUMPRODUCT(E54:H54,'总览与权重'!$H$6:$K$6),12),"NA")</x:f>
        <x:v>41.788831867058</x:v>
      </x:c>
      <x:c r="J54" s="30" t="n">
        <x:f>IF(ISNUMBER(I54),COUNTIFS($I$6:$I$179,"&gt;"&amp;I54)+(COUNTIFS($I$6:$I$179,I54)+1)/2,"NA")</x:f>
        <x:v>49</x:v>
      </x:c>
      <x:c r="K54" s="30" t="n">
        <x:f>IF(COUNT('总览与权重'!$H$7:$K$7)=4,ROUND(100*SUMPRODUCT(E54:H54,'总览与权重'!$H$7:$K$7),12),"NA")</x:f>
        <x:v>44.948501140437</x:v>
      </x:c>
      <x:c r="L54" s="30" t="n">
        <x:f>IF(ISNUMBER(K54),COUNTIFS($K$6:$K$179,"&gt;"&amp;K54)+(COUNTIFS($K$6:$K$179,K54)+1)/2,"NA")</x:f>
        <x:v>18</x:v>
      </x:c>
      <x:c r="M54" s="30" t="n">
        <x:f>IF(COUNT('总览与权重'!$H$8:$K$8)=4,ROUND(100*SUMPRODUCT(E54:H54,'总览与权重'!$H$8:$K$8),12),"NA")</x:f>
        <x:v>44.908549201694</x:v>
      </x:c>
      <x:c r="N54" s="30" t="n">
        <x:f>IF(ISNUMBER(M54),COUNTIFS($M$6:$M$179,"&gt;"&amp;M54)+(COUNTIFS($M$6:$M$179,M54)+1)/2,"NA")</x:f>
        <x:v>49</x:v>
      </x:c>
      <x:c r="O54" s="30" t="n">
        <x:f>IF(COUNT('总览与权重'!$H$9:$K$9)=4,ROUND(100*SUMPRODUCT(E54:H54,'总览与权重'!$H$9:$K$9),12),"NA")</x:f>
        <x:v>44.903469737548</x:v>
      </x:c>
      <x:c r="P54" s="30" t="n">
        <x:f>IF(ISNUMBER(O54),COUNTIFS($O$6:$O$179,"&gt;"&amp;O54)+(COUNTIFS($O$6:$O$179,O54)+1)/2,"NA")</x:f>
        <x:v>49</x:v>
      </x:c>
      <x:c r="Q54" s="30" t="n">
        <x:f>IF(COUNT('总览与权重'!$H$10:$K$10)=4,ROUND(100*SUMPRODUCT(E54:H54,'总览与权重'!$H$10:$K$10),12),"NA")</x:f>
        <x:v>36.640905664135</x:v>
      </x:c>
      <x:c r="R54" s="30" t="n">
        <x:f>IF(ISNUMBER(Q54),COUNTIFS($Q$6:$Q$179,"&gt;"&amp;Q54)+(COUNTIFS($Q$6:$Q$179,Q54)+1)/2,"NA")</x:f>
        <x:v>8</x:v>
      </x:c>
      <x:c r="S54" s="31" t="n">
        <x:f>IF(OR(B54="s3",B54="s6"),COUNTIFS($B$6:$B$179,B54,$I$6:$I$179,"&gt;"&amp;I54)+(COUNTIFS($B$6:$B$179,B54,$I$6:$I$179,I54)+1)/2,"NA")</x:f>
        <x:v>46</x:v>
      </x:c>
      <x:c r="T54" s="26" t="str">
        <x:f>IF(COUNTIFS($I$6:$I$179,"&gt;"&amp;I54)&gt;=35,"非前20%",IF(COUNTIFS($I$6:$I$179,"&gt;="&amp;I54)&gt;=35,"边界同分","严格前20%"))</x:f>
        <x:v>非前20%</x:v>
      </x:c>
      <x:c r="U54" s="26" t="str">
        <x:f>IF(COUNTIFS($I$6:$I$179,"&lt;"&amp;I54)&gt;=35,"非后20%",IF(COUNTIFS($I$6:$I$179,"&lt;="&amp;I54)&gt;=35,"边界同分","严格后20%"))</x:f>
        <x:v>非后20%</x:v>
      </x:c>
      <x:c r="V54" s="26" t="n">
        <x:f>'基线调整'!I75</x:f>
        <x:v>62.987332489962</x:v>
      </x:c>
      <x:c r="W54" s="26" t="n">
        <x:f>'基线调整'!J75</x:f>
        <x:v>70</x:v>
      </x:c>
      <x:c r="X54" s="22" t="str">
        <x:v>["S1083"]</x:v>
      </x:c>
      <x:c r="Y54" s="22" t="str">
        <x:v>evidence/student_evidence.jsonl；student_key=2026春:268206</x:v>
      </x:c>
      <x:c r="Z54" s="26" t="n">
        <x:f>IF(OR(B54="s3",B54="s6"),COUNTIFS($B$6:$B$179,B54,$K$6:$K$179,"&gt;"&amp;K54)+(COUNTIFS($B$6:$B$179,B54,$K$6:$K$179,K54)+1)/2,"NA")</x:f>
        <x:v>15</x:v>
      </x:c>
      <x:c r="AA54" s="26" t="n">
        <x:f>IF(OR(B54="s3",B54="s6"),COUNTIFS($B$6:$B$179,B54,$M$6:$M$179,"&gt;"&amp;M54)+(COUNTIFS($B$6:$B$179,B54,$M$6:$M$179,M54)+1)/2,"NA")</x:f>
        <x:v>46</x:v>
      </x:c>
      <x:c r="AB54" s="26" t="n">
        <x:f>IF(OR(B54="s3",B54="s6"),COUNTIFS($B$6:$B$179,B54,$O$6:$O$179,"&gt;"&amp;O54)+(COUNTIFS($B$6:$B$179,B54,$O$6:$O$179,O54)+1)/2,"NA")</x:f>
        <x:v>46</x:v>
      </x:c>
      <x:c r="AC54" s="26" t="n">
        <x:f>IF(OR(B54="s3",B54="s6"),COUNTIFS($B$6:$B$179,B54,$Q$6:$Q$179,"&gt;"&amp;Q54)+(COUNTIFS($B$6:$B$179,B54,$Q$6:$Q$179,Q54)+1)/2,"NA")</x:f>
        <x:v>5</x:v>
      </x:c>
    </x:row>
    <x:row r="55" ht="23" customHeight="1">
      <x:c r="A55" s="21" t="str">
        <x:v>2026春:268240</x:v>
      </x:c>
      <x:c r="B55" s="22" t="str">
        <x:v>s3</x:v>
      </x:c>
      <x:c r="C55" s="24" t="n">
        <x:v>1</x:v>
      </x:c>
      <x:c r="D55" s="24" t="n">
        <x:v>1</x:v>
      </x:c>
      <x:c r="E55" s="29" t="n">
        <x:f>'指标计算'!K171</x:f>
        <x:v>0.04012365037459734</x:v>
      </x:c>
      <x:c r="F55" s="29" t="n">
        <x:f>'指标计算'!L171</x:f>
        <x:v>0.48148380449516814</x:v>
      </x:c>
      <x:c r="G55" s="29" t="n">
        <x:f>'指标计算'!M171</x:f>
        <x:v>0.48148380449516814</x:v>
      </x:c>
      <x:c r="H55" s="29" t="n">
        <x:f>'指标计算'!N171</x:f>
        <x:v>0.6666666666666666</x:v>
      </x:c>
      <x:c r="I55" s="30" t="n">
        <x:f>IF(COUNT('总览与权重'!$H$6:$K$6)=4,ROUND(100*SUMPRODUCT(E55:H55,'总览与权重'!$H$6:$K$6),12),"NA")</x:f>
        <x:v>40.463061691045</x:v>
      </x:c>
      <x:c r="J55" s="30" t="n">
        <x:f>IF(ISNUMBER(I55),COUNTIFS($I$6:$I$179,"&gt;"&amp;I55)+(COUNTIFS($I$6:$I$179,I55)+1)/2,"NA")</x:f>
        <x:v>50</x:v>
      </x:c>
      <x:c r="K55" s="30" t="n">
        <x:f>IF(COUNT('总览与权重'!$H$7:$K$7)=4,ROUND(100*SUMPRODUCT(E55:H55,'总览与权重'!$H$7:$K$7),12),"NA")</x:f>
        <x:v>43.024834610535</x:v>
      </x:c>
      <x:c r="L55" s="30" t="n">
        <x:f>IF(ISNUMBER(K55),COUNTIFS($K$6:$K$179,"&gt;"&amp;K55)+(COUNTIFS($K$6:$K$179,K55)+1)/2,"NA")</x:f>
        <x:v>27</x:v>
      </x:c>
      <x:c r="M55" s="30" t="n">
        <x:f>IF(COUNT('总览与权重'!$H$8:$K$8)=4,ROUND(100*SUMPRODUCT(E55:H55,'总览与权重'!$H$8:$K$8),12),"NA")</x:f>
        <x:v>43.595776772505</x:v>
      </x:c>
      <x:c r="N55" s="30" t="n">
        <x:f>IF(ISNUMBER(M55),COUNTIFS($M$6:$M$179,"&gt;"&amp;M55)+(COUNTIFS($M$6:$M$179,M55)+1)/2,"NA")</x:f>
        <x:v>52</x:v>
      </x:c>
      <x:c r="O55" s="30" t="n">
        <x:f>IF(COUNT('总览与权重'!$H$9:$K$9)=4,ROUND(100*SUMPRODUCT(E55:H55,'总览与权重'!$H$9:$K$9),12),"NA")</x:f>
        <x:v>43.388185317587</x:v>
      </x:c>
      <x:c r="P55" s="30" t="n">
        <x:f>IF(ISNUMBER(O55),COUNTIFS($O$6:$O$179,"&gt;"&amp;O55)+(COUNTIFS($O$6:$O$179,O55)+1)/2,"NA")</x:f>
        <x:v>50</x:v>
      </x:c>
      <x:c r="Q55" s="30" t="n">
        <x:f>IF(COUNT('总览与权重'!$H$10:$K$10)=4,ROUND(100*SUMPRODUCT(E55:H55,'总览与权重'!$H$10:$K$10),12),"NA")</x:f>
        <x:v>34.550331931206</x:v>
      </x:c>
      <x:c r="R55" s="30" t="n">
        <x:f>IF(ISNUMBER(Q55),COUNTIFS($Q$6:$Q$179,"&gt;"&amp;Q55)+(COUNTIFS($Q$6:$Q$179,Q55)+1)/2,"NA")</x:f>
        <x:v>18</x:v>
      </x:c>
      <x:c r="S55" s="31" t="n">
        <x:f>IF(OR(B55="s3",B55="s6"),COUNTIFS($B$6:$B$179,B55,$I$6:$I$179,"&gt;"&amp;I55)+(COUNTIFS($B$6:$B$179,B55,$I$6:$I$179,I55)+1)/2,"NA")</x:f>
        <x:v>47</x:v>
      </x:c>
      <x:c r="T55" s="26" t="str">
        <x:f>IF(COUNTIFS($I$6:$I$179,"&gt;"&amp;I55)&gt;=35,"非前20%",IF(COUNTIFS($I$6:$I$179,"&gt;="&amp;I55)&gt;=35,"边界同分","严格前20%"))</x:f>
        <x:v>非前20%</x:v>
      </x:c>
      <x:c r="U55" s="26" t="str">
        <x:f>IF(COUNTIFS($I$6:$I$179,"&lt;"&amp;I55)&gt;=35,"非后20%",IF(COUNTIFS($I$6:$I$179,"&lt;="&amp;I55)&gt;=35,"边界同分","严格后20%"))</x:f>
        <x:v>非后20%</x:v>
      </x:c>
      <x:c r="V55" s="26" t="n">
        <x:f>'基线调整'!I84</x:f>
        <x:v>62.32384477541</x:v>
      </x:c>
      <x:c r="W55" s="26" t="n">
        <x:f>'基线调整'!J84</x:f>
        <x:v>79</x:v>
      </x:c>
      <x:c r="X55" s="22" t="str">
        <x:v>["S1113"]</x:v>
      </x:c>
      <x:c r="Y55" s="22" t="str">
        <x:v>evidence/student_evidence.jsonl；student_key=2026春:268240</x:v>
      </x:c>
      <x:c r="Z55" s="26" t="n">
        <x:f>IF(OR(B55="s3",B55="s6"),COUNTIFS($B$6:$B$179,B55,$K$6:$K$179,"&gt;"&amp;K55)+(COUNTIFS($B$6:$B$179,B55,$K$6:$K$179,K55)+1)/2,"NA")</x:f>
        <x:v>24</x:v>
      </x:c>
      <x:c r="AA55" s="26" t="n">
        <x:f>IF(OR(B55="s3",B55="s6"),COUNTIFS($B$6:$B$179,B55,$M$6:$M$179,"&gt;"&amp;M55)+(COUNTIFS($B$6:$B$179,B55,$M$6:$M$179,M55)+1)/2,"NA")</x:f>
        <x:v>49</x:v>
      </x:c>
      <x:c r="AB55" s="26" t="n">
        <x:f>IF(OR(B55="s3",B55="s6"),COUNTIFS($B$6:$B$179,B55,$O$6:$O$179,"&gt;"&amp;O55)+(COUNTIFS($B$6:$B$179,B55,$O$6:$O$179,O55)+1)/2,"NA")</x:f>
        <x:v>47</x:v>
      </x:c>
      <x:c r="AC55" s="26" t="n">
        <x:f>IF(OR(B55="s3",B55="s6"),COUNTIFS($B$6:$B$179,B55,$Q$6:$Q$179,"&gt;"&amp;Q55)+(COUNTIFS($B$6:$B$179,B55,$Q$6:$Q$179,Q55)+1)/2,"NA")</x:f>
        <x:v>15</x:v>
      </x:c>
    </x:row>
    <x:row r="56" ht="23" customHeight="1">
      <x:c r="A56" s="21" t="str">
        <x:v>2026春:268248</x:v>
      </x:c>
      <x:c r="B56" s="22" t="str">
        <x:v>s3</x:v>
      </x:c>
      <x:c r="C56" s="24" t="n">
        <x:v>3</x:v>
      </x:c>
      <x:c r="D56" s="24" t="n">
        <x:v>1</x:v>
      </x:c>
      <x:c r="E56" s="29" t="n">
        <x:f>'指标计算'!K173</x:f>
        <x:v>0.02912047892382208</x:v>
      </x:c>
      <x:c r="F56" s="29" t="n">
        <x:f>'指标计算'!L173</x:f>
        <x:v>0.34944574708586496</x:v>
      </x:c>
      <x:c r="G56" s="29" t="n">
        <x:f>'指标计算'!M173</x:f>
        <x:v>0.34944574708586496</x:v>
      </x:c>
      <x:c r="H56" s="29" t="n">
        <x:f>'指标计算'!N173</x:f>
        <x:v>0.8333333333333334</x:v>
      </x:c>
      <x:c r="I56" s="30" t="n">
        <x:f>IF(COUNT('总览与权重'!$H$6:$K$6)=4,ROUND(100*SUMPRODUCT(E56:H56,'总览与权重'!$H$6:$K$6),12),"NA")</x:f>
        <x:v>39.851444251149</x:v>
      </x:c>
      <x:c r="J56" s="30" t="n">
        <x:f>IF(ISNUMBER(I56),COUNTIFS($I$6:$I$179,"&gt;"&amp;I56)+(COUNTIFS($I$6:$I$179,I56)+1)/2,"NA")</x:f>
        <x:v>51</x:v>
      </x:c>
      <x:c r="K56" s="30" t="n">
        <x:f>IF(COUNT('总览与权重'!$H$7:$K$7)=4,ROUND(100*SUMPRODUCT(E56:H56,'总览与权重'!$H$7:$K$7),12),"NA")</x:f>
        <x:v>38.215821070295</x:v>
      </x:c>
      <x:c r="L56" s="30" t="n">
        <x:f>IF(ISNUMBER(K56),COUNTIFS($K$6:$K$179,"&gt;"&amp;K56)+(COUNTIFS($K$6:$K$179,K56)+1)/2,"NA")</x:f>
        <x:v>55</x:v>
      </x:c>
      <x:c r="M56" s="30" t="n">
        <x:f>IF(COUNT('总览与权重'!$H$8:$K$8)=4,ROUND(100*SUMPRODUCT(E56:H56,'总览与权重'!$H$8:$K$8),12),"NA")</x:f>
        <x:v>43.872508523197</x:v>
      </x:c>
      <x:c r="N56" s="30" t="n">
        <x:f>IF(ISNUMBER(M56),COUNTIFS($M$6:$M$179,"&gt;"&amp;M56)+(COUNTIFS($M$6:$M$179,M56)+1)/2,"NA")</x:f>
        <x:v>50</x:v>
      </x:c>
      <x:c r="O56" s="30" t="n">
        <x:f>IF(COUNT('总览与权重'!$H$9:$K$9)=4,ROUND(100*SUMPRODUCT(E56:H56,'总览与权重'!$H$9:$K$9),12),"NA")</x:f>
        <x:v>41.97440664667</x:v>
      </x:c>
      <x:c r="P56" s="30" t="n">
        <x:f>IF(ISNUMBER(O56),COUNTIFS($O$6:$O$179,"&gt;"&amp;O56)+(COUNTIFS($O$6:$O$179,O56)+1)/2,"NA")</x:f>
        <x:v>51</x:v>
      </x:c>
      <x:c r="Q56" s="30" t="n">
        <x:f>IF(COUNT('总览与权重'!$H$10:$K$10)=4,ROUND(100*SUMPRODUCT(E56:H56,'总览与权重'!$H$10:$K$10),12),"NA")</x:f>
        <x:v>26.272173979792</x:v>
      </x:c>
      <x:c r="R56" s="30" t="n">
        <x:f>IF(ISNUMBER(Q56),COUNTIFS($Q$6:$Q$179,"&gt;"&amp;Q56)+(COUNTIFS($Q$6:$Q$179,Q56)+1)/2,"NA")</x:f>
        <x:v>58</x:v>
      </x:c>
      <x:c r="S56" s="31" t="n">
        <x:f>IF(OR(B56="s3",B56="s6"),COUNTIFS($B$6:$B$179,B56,$I$6:$I$179,"&gt;"&amp;I56)+(COUNTIFS($B$6:$B$179,B56,$I$6:$I$179,I56)+1)/2,"NA")</x:f>
        <x:v>48</x:v>
      </x:c>
      <x:c r="T56" s="26" t="str">
        <x:f>IF(COUNTIFS($I$6:$I$179,"&gt;"&amp;I56)&gt;=35,"非前20%",IF(COUNTIFS($I$6:$I$179,"&gt;="&amp;I56)&gt;=35,"边界同分","严格前20%"))</x:f>
        <x:v>非前20%</x:v>
      </x:c>
      <x:c r="U56" s="26" t="str">
        <x:f>IF(COUNTIFS($I$6:$I$179,"&lt;"&amp;I56)&gt;=35,"非后20%",IF(COUNTIFS($I$6:$I$179,"&lt;="&amp;I56)&gt;=35,"边界同分","严格后20%"))</x:f>
        <x:v>非后20%</x:v>
      </x:c>
      <x:c r="V56" s="26" t="str">
        <x:v>NA</x:v>
      </x:c>
      <x:c r="W56" s="26" t="str">
        <x:v>NA</x:v>
      </x:c>
      <x:c r="X56" s="22" t="str">
        <x:v>["S1142","S1143","S1144"]</x:v>
      </x:c>
      <x:c r="Y56" s="22" t="str">
        <x:v>evidence/student_evidence.jsonl；student_key=2026春:268248</x:v>
      </x:c>
      <x:c r="Z56" s="26" t="n">
        <x:f>IF(OR(B56="s3",B56="s6"),COUNTIFS($B$6:$B$179,B56,$K$6:$K$179,"&gt;"&amp;K56)+(COUNTIFS($B$6:$B$179,B56,$K$6:$K$179,K56)+1)/2,"NA")</x:f>
        <x:v>52</x:v>
      </x:c>
      <x:c r="AA56" s="26" t="n">
        <x:f>IF(OR(B56="s3",B56="s6"),COUNTIFS($B$6:$B$179,B56,$M$6:$M$179,"&gt;"&amp;M56)+(COUNTIFS($B$6:$B$179,B56,$M$6:$M$179,M56)+1)/2,"NA")</x:f>
        <x:v>47</x:v>
      </x:c>
      <x:c r="AB56" s="26" t="n">
        <x:f>IF(OR(B56="s3",B56="s6"),COUNTIFS($B$6:$B$179,B56,$O$6:$O$179,"&gt;"&amp;O56)+(COUNTIFS($B$6:$B$179,B56,$O$6:$O$179,O56)+1)/2,"NA")</x:f>
        <x:v>48</x:v>
      </x:c>
      <x:c r="AC56" s="26" t="n">
        <x:f>IF(OR(B56="s3",B56="s6"),COUNTIFS($B$6:$B$179,B56,$Q$6:$Q$179,"&gt;"&amp;Q56)+(COUNTIFS($B$6:$B$179,B56,$Q$6:$Q$179,Q56)+1)/2,"NA")</x:f>
        <x:v>54</x:v>
      </x:c>
    </x:row>
    <x:row r="57" ht="23" customHeight="1">
      <x:c r="A57" s="21" t="str">
        <x:v>2025秋:259437</x:v>
      </x:c>
      <x:c r="B57" s="22" t="str">
        <x:v>s3</x:v>
      </x:c>
      <x:c r="C57" s="24" t="n">
        <x:v>2</x:v>
      </x:c>
      <x:c r="D57" s="24" t="n">
        <x:v>2</x:v>
      </x:c>
      <x:c r="E57" s="29" t="n">
        <x:f>'指标计算'!K106</x:f>
        <x:v>0.02705909554790152</x:v>
      </x:c>
      <x:c r="F57" s="29" t="n">
        <x:f>'指标计算'!L106</x:f>
        <x:v>0.16235457328740913</x:v>
      </x:c>
      <x:c r="G57" s="29" t="n">
        <x:f>'指标计算'!M106</x:f>
        <x:v>0.32470914657481825</x:v>
      </x:c>
      <x:c r="H57" s="29" t="n">
        <x:f>'指标计算'!N106</x:f>
        <x:v>1</x:v>
      </x:c>
      <x:c r="I57" s="30" t="n">
        <x:f>IF(COUNT('总览与权重'!$H$6:$K$6)=4,ROUND(100*SUMPRODUCT(E57:H57,'总览与权重'!$H$6:$K$6),12),"NA")</x:f>
        <x:v>39.741274397245</x:v>
      </x:c>
      <x:c r="J57" s="30" t="n">
        <x:f>IF(ISNUMBER(I57),COUNTIFS($I$6:$I$179,"&gt;"&amp;I57)+(COUNTIFS($I$6:$I$179,I57)+1)/2,"NA")</x:f>
        <x:v>52</x:v>
      </x:c>
      <x:c r="K57" s="30" t="n">
        <x:f>IF(COUNT('总览与权重'!$H$7:$K$7)=4,ROUND(100*SUMPRODUCT(E57:H57,'总览与权重'!$H$7:$K$7),12),"NA")</x:f>
        <x:v>36.776639239699</x:v>
      </x:c>
      <x:c r="L57" s="30" t="n">
        <x:f>IF(ISNUMBER(K57),COUNTIFS($K$6:$K$179,"&gt;"&amp;K57)+(COUNTIFS($K$6:$K$179,K57)+1)/2,"NA")</x:f>
        <x:v>57</x:v>
      </x:c>
      <x:c r="M57" s="30" t="n">
        <x:f>IF(COUNT('总览与权重'!$H$8:$K$8)=4,ROUND(100*SUMPRODUCT(E57:H57,'总览与权重'!$H$8:$K$8),12),"NA")</x:f>
        <x:v>43.794206053068</x:v>
      </x:c>
      <x:c r="N57" s="30" t="n">
        <x:f>IF(ISNUMBER(M57),COUNTIFS($M$6:$M$179,"&gt;"&amp;M57)+(COUNTIFS($M$6:$M$179,M57)+1)/2,"NA")</x:f>
        <x:v>51</x:v>
      </x:c>
      <x:c r="O57" s="30" t="n">
        <x:f>IF(COUNT('总览与权重'!$H$9:$K$9)=4,ROUND(100*SUMPRODUCT(E57:H57,'总览与权重'!$H$9:$K$9),12),"NA")</x:f>
        <x:v>41.956797859852</x:v>
      </x:c>
      <x:c r="P57" s="30" t="n">
        <x:f>IF(ISNUMBER(O57),COUNTIFS($O$6:$O$179,"&gt;"&amp;O57)+(COUNTIFS($O$6:$O$179,O57)+1)/2,"NA")</x:f>
        <x:v>52</x:v>
      </x:c>
      <x:c r="Q57" s="30" t="n">
        <x:f>IF(COUNT('总览与权重'!$H$10:$K$10)=4,ROUND(100*SUMPRODUCT(E57:H57,'总览与权重'!$H$10:$K$10),12),"NA")</x:f>
        <x:v>19.920252481388</x:v>
      </x:c>
      <x:c r="R57" s="30" t="n">
        <x:f>IF(ISNUMBER(Q57),COUNTIFS($Q$6:$Q$179,"&gt;"&amp;Q57)+(COUNTIFS($Q$6:$Q$179,Q57)+1)/2,"NA")</x:f>
        <x:v>81</x:v>
      </x:c>
      <x:c r="S57" s="31" t="n">
        <x:f>IF(OR(B57="s3",B57="s6"),COUNTIFS($B$6:$B$179,B57,$I$6:$I$179,"&gt;"&amp;I57)+(COUNTIFS($B$6:$B$179,B57,$I$6:$I$179,I57)+1)/2,"NA")</x:f>
        <x:v>49</x:v>
      </x:c>
      <x:c r="T57" s="26" t="str">
        <x:f>IF(COUNTIFS($I$6:$I$179,"&gt;"&amp;I57)&gt;=35,"非前20%",IF(COUNTIFS($I$6:$I$179,"&gt;="&amp;I57)&gt;=35,"边界同分","严格前20%"))</x:f>
        <x:v>非前20%</x:v>
      </x:c>
      <x:c r="U57" s="26" t="str">
        <x:f>IF(COUNTIFS($I$6:$I$179,"&lt;"&amp;I57)&gt;=35,"非后20%",IF(COUNTIFS($I$6:$I$179,"&lt;="&amp;I57)&gt;=35,"边界同分","严格后20%"))</x:f>
        <x:v>非后20%</x:v>
      </x:c>
      <x:c r="V57" s="26" t="n">
        <x:f>'基线调整'!I45</x:f>
        <x:v>68.178242468229</x:v>
      </x:c>
      <x:c r="W57" s="26" t="n">
        <x:f>'基线调整'!J45</x:f>
        <x:v>40</x:v>
      </x:c>
      <x:c r="X57" s="22" t="str">
        <x:v>["S0187","S0384"]</x:v>
      </x:c>
      <x:c r="Y57" s="22" t="str">
        <x:v>evidence/student_evidence.jsonl；student_key=2025秋:259437</x:v>
      </x:c>
      <x:c r="Z57" s="26" t="n">
        <x:f>IF(OR(B57="s3",B57="s6"),COUNTIFS($B$6:$B$179,B57,$K$6:$K$179,"&gt;"&amp;K57)+(COUNTIFS($B$6:$B$179,B57,$K$6:$K$179,K57)+1)/2,"NA")</x:f>
        <x:v>54</x:v>
      </x:c>
      <x:c r="AA57" s="26" t="n">
        <x:f>IF(OR(B57="s3",B57="s6"),COUNTIFS($B$6:$B$179,B57,$M$6:$M$179,"&gt;"&amp;M57)+(COUNTIFS($B$6:$B$179,B57,$M$6:$M$179,M57)+1)/2,"NA")</x:f>
        <x:v>48</x:v>
      </x:c>
      <x:c r="AB57" s="26" t="n">
        <x:f>IF(OR(B57="s3",B57="s6"),COUNTIFS($B$6:$B$179,B57,$O$6:$O$179,"&gt;"&amp;O57)+(COUNTIFS($B$6:$B$179,B57,$O$6:$O$179,O57)+1)/2,"NA")</x:f>
        <x:v>49</x:v>
      </x:c>
      <x:c r="AC57" s="26" t="n">
        <x:f>IF(OR(B57="s3",B57="s6"),COUNTIFS($B$6:$B$179,B57,$Q$6:$Q$179,"&gt;"&amp;Q57)+(COUNTIFS($B$6:$B$179,B57,$Q$6:$Q$179,Q57)+1)/2,"NA")</x:f>
        <x:v>77</x:v>
      </x:c>
    </x:row>
    <x:row r="58" ht="23" customHeight="1">
      <x:c r="A58" s="21" t="str">
        <x:v>2025秋:259790</x:v>
      </x:c>
      <x:c r="B58" s="22" t="str">
        <x:v>s3</x:v>
      </x:c>
      <x:c r="C58" s="24" t="n">
        <x:v>1</x:v>
      </x:c>
      <x:c r="D58" s="24" t="n">
        <x:v>1</x:v>
      </x:c>
      <x:c r="E58" s="29" t="n">
        <x:f>'指标计算'!K112</x:f>
        <x:v>0.037559371812115425</x:v>
      </x:c>
      <x:c r="F58" s="29" t="n">
        <x:f>'指标计算'!L112</x:f>
        <x:v>0.4507124617453851</x:v>
      </x:c>
      <x:c r="G58" s="29" t="n">
        <x:f>'指标计算'!M112</x:f>
        <x:v>0.4507124617453851</x:v>
      </x:c>
      <x:c r="H58" s="29" t="n">
        <x:f>'指标计算'!N112</x:f>
        <x:v>0.6666666666666666</x:v>
      </x:c>
      <x:c r="I58" s="30" t="n">
        <x:f>IF(COUNT('总览与权重'!$H$6:$K$6)=4,ROUND(100*SUMPRODUCT(E58:H58,'总览与权重'!$H$6:$K$6),12),"NA")</x:f>
        <x:v>39.155279624179</x:v>
      </x:c>
      <x:c r="J58" s="30" t="n">
        <x:f>IF(ISNUMBER(I58),COUNTIFS($I$6:$I$179,"&gt;"&amp;I58)+(COUNTIFS($I$6:$I$179,I58)+1)/2,"NA")</x:f>
        <x:v>53</x:v>
      </x:c>
      <x:c r="K58" s="30" t="n">
        <x:f>IF(COUNT('总览与权重'!$H$7:$K$7)=4,ROUND(100*SUMPRODUCT(E58:H58,'总览与权重'!$H$7:$K$7),12),"NA")</x:f>
        <x:v>41.127268474299</x:v>
      </x:c>
      <x:c r="L58" s="30" t="n">
        <x:f>IF(ISNUMBER(K58),COUNTIFS($K$6:$K$179,"&gt;"&amp;K58)+(COUNTIFS($K$6:$K$179,K58)+1)/2,"NA")</x:f>
        <x:v>45</x:v>
      </x:c>
      <x:c r="M58" s="30" t="n">
        <x:f>IF(COUNT('总览与权重'!$H$8:$K$8)=4,ROUND(100*SUMPRODUCT(E58:H58,'总览与权重'!$H$8:$K$8),12),"NA")</x:f>
        <x:v>42.300816098452</x:v>
      </x:c>
      <x:c r="N58" s="30" t="n">
        <x:f>IF(ISNUMBER(M58),COUNTIFS($M$6:$M$179,"&gt;"&amp;M58)+(COUNTIFS($M$6:$M$179,M58)+1)/2,"NA")</x:f>
        <x:v>55</x:v>
      </x:c>
      <x:c r="O58" s="30" t="n">
        <x:f>IF(COUNT('总览与权重'!$H$9:$K$9)=4,ROUND(100*SUMPRODUCT(E58:H58,'总览与权重'!$H$9:$K$9),12),"NA")</x:f>
        <x:v>41.893460344527</x:v>
      </x:c>
      <x:c r="P58" s="30" t="n">
        <x:f>IF(ISNUMBER(O58),COUNTIFS($O$6:$O$179,"&gt;"&amp;O58)+(COUNTIFS($O$6:$O$179,O58)+1)/2,"NA")</x:f>
        <x:v>53</x:v>
      </x:c>
      <x:c r="Q58" s="30" t="n">
        <x:f>IF(COUNT('总览与权重'!$H$10:$K$10)=4,ROUND(100*SUMPRODUCT(E58:H58,'总览与权重'!$H$10:$K$10),12),"NA")</x:f>
        <x:v>32.48812319635</x:v>
      </x:c>
      <x:c r="R58" s="30" t="n">
        <x:f>IF(ISNUMBER(Q58),COUNTIFS($Q$6:$Q$179,"&gt;"&amp;Q58)+(COUNTIFS($Q$6:$Q$179,Q58)+1)/2,"NA")</x:f>
        <x:v>21</x:v>
      </x:c>
      <x:c r="S58" s="31" t="n">
        <x:f>IF(OR(B58="s3",B58="s6"),COUNTIFS($B$6:$B$179,B58,$I$6:$I$179,"&gt;"&amp;I58)+(COUNTIFS($B$6:$B$179,B58,$I$6:$I$179,I58)+1)/2,"NA")</x:f>
        <x:v>50</x:v>
      </x:c>
      <x:c r="T58" s="26" t="str">
        <x:f>IF(COUNTIFS($I$6:$I$179,"&gt;"&amp;I58)&gt;=35,"非前20%",IF(COUNTIFS($I$6:$I$179,"&gt;="&amp;I58)&gt;=35,"边界同分","严格前20%"))</x:f>
        <x:v>非前20%</x:v>
      </x:c>
      <x:c r="U58" s="26" t="str">
        <x:f>IF(COUNTIFS($I$6:$I$179,"&lt;"&amp;I58)&gt;=35,"非后20%",IF(COUNTIFS($I$6:$I$179,"&lt;="&amp;I58)&gt;=35,"边界同分","严格后20%"))</x:f>
        <x:v>非后20%</x:v>
      </x:c>
      <x:c r="V58" s="26" t="str">
        <x:v>NA</x:v>
      </x:c>
      <x:c r="W58" s="26" t="str">
        <x:v>NA</x:v>
      </x:c>
      <x:c r="X58" s="22" t="str">
        <x:v>["S0060"]</x:v>
      </x:c>
      <x:c r="Y58" s="22" t="str">
        <x:v>evidence/student_evidence.jsonl；student_key=2025秋:259790</x:v>
      </x:c>
      <x:c r="Z58" s="26" t="n">
        <x:f>IF(OR(B58="s3",B58="s6"),COUNTIFS($B$6:$B$179,B58,$K$6:$K$179,"&gt;"&amp;K58)+(COUNTIFS($B$6:$B$179,B58,$K$6:$K$179,K58)+1)/2,"NA")</x:f>
        <x:v>42</x:v>
      </x:c>
      <x:c r="AA58" s="26" t="n">
        <x:f>IF(OR(B58="s3",B58="s6"),COUNTIFS($B$6:$B$179,B58,$M$6:$M$179,"&gt;"&amp;M58)+(COUNTIFS($B$6:$B$179,B58,$M$6:$M$179,M58)+1)/2,"NA")</x:f>
        <x:v>51</x:v>
      </x:c>
      <x:c r="AB58" s="26" t="n">
        <x:f>IF(OR(B58="s3",B58="s6"),COUNTIFS($B$6:$B$179,B58,$O$6:$O$179,"&gt;"&amp;O58)+(COUNTIFS($B$6:$B$179,B58,$O$6:$O$179,O58)+1)/2,"NA")</x:f>
        <x:v>50</x:v>
      </x:c>
      <x:c r="AC58" s="26" t="n">
        <x:f>IF(OR(B58="s3",B58="s6"),COUNTIFS($B$6:$B$179,B58,$Q$6:$Q$179,"&gt;"&amp;Q58)+(COUNTIFS($B$6:$B$179,B58,$Q$6:$Q$179,Q58)+1)/2,"NA")</x:f>
        <x:v>18</x:v>
      </x:c>
    </x:row>
    <x:row r="59" ht="23" customHeight="1">
      <x:c r="A59" s="21" t="str">
        <x:v>2025秋:259442</x:v>
      </x:c>
      <x:c r="B59" s="22" t="str">
        <x:v>s6</x:v>
      </x:c>
      <x:c r="C59" s="24" t="n">
        <x:v>1</x:v>
      </x:c>
      <x:c r="D59" s="24" t="n">
        <x:v>1</x:v>
      </x:c>
      <x:c r="E59" s="29" t="n">
        <x:f>'指标计算'!K107</x:f>
        <x:v>0.016666666666666666</x:v>
      </x:c>
      <x:c r="F59" s="29" t="n">
        <x:f>'指标计算'!L107</x:f>
        <x:v>0.2</x:v>
      </x:c>
      <x:c r="G59" s="29" t="n">
        <x:f>'指标计算'!M107</x:f>
        <x:v>0.2</x:v>
      </x:c>
      <x:c r="H59" s="29" t="n">
        <x:f>'指标计算'!N107</x:f>
        <x:v>1</x:v>
      </x:c>
      <x:c r="I59" s="30" t="n">
        <x:f>IF(COUNT('总览与权重'!$H$6:$K$6)=4,ROUND(100*SUMPRODUCT(E59:H59,'总览与权重'!$H$6:$K$6),12),"NA")</x:f>
        <x:v>38.5</x:v>
      </x:c>
      <x:c r="J59" s="30" t="n">
        <x:f>IF(ISNUMBER(I59),COUNTIFS($I$6:$I$179,"&gt;"&amp;I59)+(COUNTIFS($I$6:$I$179,I59)+1)/2,"NA")</x:f>
        <x:v>54</x:v>
      </x:c>
      <x:c r="K59" s="30" t="n">
        <x:f>IF(COUNT('总览与权重'!$H$7:$K$7)=4,ROUND(100*SUMPRODUCT(E59:H59,'总览与权重'!$H$7:$K$7),12),"NA")</x:f>
        <x:v>32.333333333333</x:v>
      </x:c>
      <x:c r="L59" s="30" t="n">
        <x:f>IF(ISNUMBER(K59),COUNTIFS($K$6:$K$179,"&gt;"&amp;K59)+(COUNTIFS($K$6:$K$179,K59)+1)/2,"NA")</x:f>
        <x:v>65</x:v>
      </x:c>
      <x:c r="M59" s="30" t="n">
        <x:f>IF(COUNT('总览与权重'!$H$8:$K$8)=4,ROUND(100*SUMPRODUCT(E59:H59,'总览与权重'!$H$8:$K$8),12),"NA")</x:f>
        <x:v>43.416666666667</x:v>
      </x:c>
      <x:c r="N59" s="30" t="n">
        <x:f>IF(ISNUMBER(M59),COUNTIFS($M$6:$M$179,"&gt;"&amp;M59)+(COUNTIFS($M$6:$M$179,M59)+1)/2,"NA")</x:f>
        <x:v>53</x:v>
      </x:c>
      <x:c r="O59" s="30" t="n">
        <x:f>IF(COUNT('总览与权重'!$H$9:$K$9)=4,ROUND(100*SUMPRODUCT(E59:H59,'总览与权重'!$H$9:$K$9),12),"NA")</x:f>
        <x:v>39.715045490309</x:v>
      </x:c>
      <x:c r="P59" s="30" t="n">
        <x:f>IF(ISNUMBER(O59),COUNTIFS($O$6:$O$179,"&gt;"&amp;O59)+(COUNTIFS($O$6:$O$179,O59)+1)/2,"NA")</x:f>
        <x:v>55</x:v>
      </x:c>
      <x:c r="Q59" s="30" t="n">
        <x:f>IF(COUNT('总览与权重'!$H$10:$K$10)=4,ROUND(100*SUMPRODUCT(E59:H59,'总览与权重'!$H$10:$K$10),12),"NA")</x:f>
        <x:v>16.827401688648</x:v>
      </x:c>
      <x:c r="R59" s="30" t="n">
        <x:f>IF(ISNUMBER(Q59),COUNTIFS($Q$6:$Q$179,"&gt;"&amp;Q59)+(COUNTIFS($Q$6:$Q$179,Q59)+1)/2,"NA")</x:f>
        <x:v>83</x:v>
      </x:c>
      <x:c r="S59" s="31" t="n">
        <x:f>IF(OR(B59="s3",B59="s6"),COUNTIFS($B$6:$B$179,B59,$I$6:$I$179,"&gt;"&amp;I59)+(COUNTIFS($B$6:$B$179,B59,$I$6:$I$179,I59)+1)/2,"NA")</x:f>
        <x:v>4</x:v>
      </x:c>
      <x:c r="T59" s="26" t="str">
        <x:f>IF(COUNTIFS($I$6:$I$179,"&gt;"&amp;I59)&gt;=35,"非前20%",IF(COUNTIFS($I$6:$I$179,"&gt;="&amp;I59)&gt;=35,"边界同分","严格前20%"))</x:f>
        <x:v>非前20%</x:v>
      </x:c>
      <x:c r="U59" s="26" t="str">
        <x:f>IF(COUNTIFS($I$6:$I$179,"&lt;"&amp;I59)&gt;=35,"非后20%",IF(COUNTIFS($I$6:$I$179,"&lt;="&amp;I59)&gt;=35,"边界同分","严格后20%"))</x:f>
        <x:v>非后20%</x:v>
      </x:c>
      <x:c r="V59" s="26" t="str">
        <x:v>NA</x:v>
      </x:c>
      <x:c r="W59" s="26" t="str">
        <x:v>NA</x:v>
      </x:c>
      <x:c r="X59" s="22" t="str">
        <x:v>["S0497"]</x:v>
      </x:c>
      <x:c r="Y59" s="22" t="str">
        <x:v>evidence/student_evidence.jsonl；student_key=2025秋:259442</x:v>
      </x:c>
      <x:c r="Z59" s="26" t="n">
        <x:f>IF(OR(B59="s3",B59="s6"),COUNTIFS($B$6:$B$179,B59,$K$6:$K$179,"&gt;"&amp;K59)+(COUNTIFS($B$6:$B$179,B59,$K$6:$K$179,K59)+1)/2,"NA")</x:f>
        <x:v>5</x:v>
      </x:c>
      <x:c r="AA59" s="26" t="n">
        <x:f>IF(OR(B59="s3",B59="s6"),COUNTIFS($B$6:$B$179,B59,$M$6:$M$179,"&gt;"&amp;M59)+(COUNTIFS($B$6:$B$179,B59,$M$6:$M$179,M59)+1)/2,"NA")</x:f>
        <x:v>4</x:v>
      </x:c>
      <x:c r="AB59" s="26" t="n">
        <x:f>IF(OR(B59="s3",B59="s6"),COUNTIFS($B$6:$B$179,B59,$O$6:$O$179,"&gt;"&amp;O59)+(COUNTIFS($B$6:$B$179,B59,$O$6:$O$179,O59)+1)/2,"NA")</x:f>
        <x:v>4</x:v>
      </x:c>
      <x:c r="AC59" s="26" t="n">
        <x:f>IF(OR(B59="s3",B59="s6"),COUNTIFS($B$6:$B$179,B59,$Q$6:$Q$179,"&gt;"&amp;Q59)+(COUNTIFS($B$6:$B$179,B59,$Q$6:$Q$179,Q59)+1)/2,"NA")</x:f>
        <x:v>5</x:v>
      </x:c>
    </x:row>
    <x:row r="60" ht="23" customHeight="1">
      <x:c r="A60" s="21" t="str">
        <x:v>2025秋:259877</x:v>
      </x:c>
      <x:c r="B60" s="22" t="str">
        <x:v>s3</x:v>
      </x:c>
      <x:c r="C60" s="24" t="n">
        <x:v>1</x:v>
      </x:c>
      <x:c r="D60" s="24" t="n">
        <x:v>1</x:v>
      </x:c>
      <x:c r="E60" s="29" t="n">
        <x:f>'指标计算'!K120</x:f>
        <x:v>0.016333457922940647</x:v>
      </x:c>
      <x:c r="F60" s="29" t="n">
        <x:f>'指标计算'!L120</x:f>
        <x:v>0.19600149507528775</x:v>
      </x:c>
      <x:c r="G60" s="29" t="n">
        <x:f>'指标计算'!M120</x:f>
        <x:v>0.19600149507528775</x:v>
      </x:c>
      <x:c r="H60" s="29" t="n">
        <x:f>'指标计算'!N120</x:f>
        <x:v>1</x:v>
      </x:c>
      <x:c r="I60" s="30" t="n">
        <x:f>IF(COUNT('总览与权重'!$H$6:$K$6)=4,ROUND(100*SUMPRODUCT(E60:H60,'总览与权重'!$H$6:$K$6),12),"NA")</x:f>
        <x:v>38.3300635407</x:v>
      </x:c>
      <x:c r="J60" s="30" t="n">
        <x:f>IF(ISNUMBER(I60),COUNTIFS($I$6:$I$179,"&gt;"&amp;I60)+(COUNTIFS($I$6:$I$179,I60)+1)/2,"NA")</x:f>
        <x:v>55</x:v>
      </x:c>
      <x:c r="K60" s="30" t="n">
        <x:f>IF(COUNT('总览与权重'!$H$7:$K$7)=4,ROUND(100*SUMPRODUCT(E60:H60,'总览与权重'!$H$7:$K$7),12),"NA")</x:f>
        <x:v>32.086758862976</x:v>
      </x:c>
      <x:c r="L60" s="30" t="n">
        <x:f>IF(ISNUMBER(K60),COUNTIFS($K$6:$K$179,"&gt;"&amp;K60)+(COUNTIFS($K$6:$K$179,K60)+1)/2,"NA")</x:f>
        <x:v>67</x:v>
      </x:c>
      <x:c r="M60" s="30" t="n">
        <x:f>IF(COUNT('总览与权重'!$H$8:$K$8)=4,ROUND(100*SUMPRODUCT(E60:H60,'总览与权重'!$H$8:$K$8),12),"NA")</x:f>
        <x:v>43.248396251085</x:v>
      </x:c>
      <x:c r="N60" s="30" t="n">
        <x:f>IF(ISNUMBER(M60),COUNTIFS($M$6:$M$179,"&gt;"&amp;M60)+(COUNTIFS($M$6:$M$179,M60)+1)/2,"NA")</x:f>
        <x:v>54</x:v>
      </x:c>
      <x:c r="O60" s="30" t="n">
        <x:f>IF(COUNT('总览与权重'!$H$9:$K$9)=4,ROUND(100*SUMPRODUCT(E60:H60,'总览与权重'!$H$9:$K$9),12),"NA")</x:f>
        <x:v>39.520817204125</x:v>
      </x:c>
      <x:c r="P60" s="30" t="n">
        <x:f>IF(ISNUMBER(O60),COUNTIFS($O$6:$O$179,"&gt;"&amp;O60)+(COUNTIFS($O$6:$O$179,O60)+1)/2,"NA")</x:f>
        <x:v>56</x:v>
      </x:c>
      <x:c r="Q60" s="30" t="n">
        <x:f>IF(COUNT('总览与权重'!$H$10:$K$10)=4,ROUND(100*SUMPRODUCT(E60:H60,'总览与权重'!$H$10:$K$10),12),"NA")</x:f>
        <x:v>16.559433148921</x:v>
      </x:c>
      <x:c r="R60" s="30" t="n">
        <x:f>IF(ISNUMBER(Q60),COUNTIFS($Q$6:$Q$179,"&gt;"&amp;Q60)+(COUNTIFS($Q$6:$Q$179,Q60)+1)/2,"NA")</x:f>
        <x:v>84</x:v>
      </x:c>
      <x:c r="S60" s="31" t="n">
        <x:f>IF(OR(B60="s3",B60="s6"),COUNTIFS($B$6:$B$179,B60,$I$6:$I$179,"&gt;"&amp;I60)+(COUNTIFS($B$6:$B$179,B60,$I$6:$I$179,I60)+1)/2,"NA")</x:f>
        <x:v>51</x:v>
      </x:c>
      <x:c r="T60" s="26" t="str">
        <x:f>IF(COUNTIFS($I$6:$I$179,"&gt;"&amp;I60)&gt;=35,"非前20%",IF(COUNTIFS($I$6:$I$179,"&gt;="&amp;I60)&gt;=35,"边界同分","严格前20%"))</x:f>
        <x:v>非前20%</x:v>
      </x:c>
      <x:c r="U60" s="26" t="str">
        <x:f>IF(COUNTIFS($I$6:$I$179,"&lt;"&amp;I60)&gt;=35,"非后20%",IF(COUNTIFS($I$6:$I$179,"&lt;="&amp;I60)&gt;=35,"边界同分","严格后20%"))</x:f>
        <x:v>非后20%</x:v>
      </x:c>
      <x:c r="V60" s="26" t="n">
        <x:f>'基线调整'!I48</x:f>
        <x:v>67.119233214431</x:v>
      </x:c>
      <x:c r="W60" s="26" t="n">
        <x:f>'基线调整'!J48</x:f>
        <x:v>43</x:v>
      </x:c>
      <x:c r="X60" s="22" t="str">
        <x:v>["S0194"]</x:v>
      </x:c>
      <x:c r="Y60" s="22" t="str">
        <x:v>evidence/student_evidence.jsonl；student_key=2025秋:259877</x:v>
      </x:c>
      <x:c r="Z60" s="26" t="n">
        <x:f>IF(OR(B60="s3",B60="s6"),COUNTIFS($B$6:$B$179,B60,$K$6:$K$179,"&gt;"&amp;K60)+(COUNTIFS($B$6:$B$179,B60,$K$6:$K$179,K60)+1)/2,"NA")</x:f>
        <x:v>62</x:v>
      </x:c>
      <x:c r="AA60" s="26" t="n">
        <x:f>IF(OR(B60="s3",B60="s6"),COUNTIFS($B$6:$B$179,B60,$M$6:$M$179,"&gt;"&amp;M60)+(COUNTIFS($B$6:$B$179,B60,$M$6:$M$179,M60)+1)/2,"NA")</x:f>
        <x:v>50</x:v>
      </x:c>
      <x:c r="AB60" s="26" t="n">
        <x:f>IF(OR(B60="s3",B60="s6"),COUNTIFS($B$6:$B$179,B60,$O$6:$O$179,"&gt;"&amp;O60)+(COUNTIFS($B$6:$B$179,B60,$O$6:$O$179,O60)+1)/2,"NA")</x:f>
        <x:v>52</x:v>
      </x:c>
      <x:c r="AC60" s="26" t="n">
        <x:f>IF(OR(B60="s3",B60="s6"),COUNTIFS($B$6:$B$179,B60,$Q$6:$Q$179,"&gt;"&amp;Q60)+(COUNTIFS($B$6:$B$179,B60,$Q$6:$Q$179,Q60)+1)/2,"NA")</x:f>
        <x:v>79</x:v>
      </x:c>
    </x:row>
    <x:row r="61" ht="23" customHeight="1">
      <x:c r="A61" s="21" t="str">
        <x:v>2025秋:259317</x:v>
      </x:c>
      <x:c r="B61" s="22" t="str">
        <x:v>s3</x:v>
      </x:c>
      <x:c r="C61" s="24" t="n">
        <x:v>1</x:v>
      </x:c>
      <x:c r="D61" s="24" t="n">
        <x:v>1</x:v>
      </x:c>
      <x:c r="E61" s="29" t="n">
        <x:f>'指标计算'!K82</x:f>
        <x:v>0.013433260246789603</x:v>
      </x:c>
      <x:c r="F61" s="29" t="n">
        <x:f>'指标计算'!L82</x:f>
        <x:v>0.16119912296147523</x:v>
      </x:c>
      <x:c r="G61" s="29" t="n">
        <x:f>'指标计算'!M82</x:f>
        <x:v>0.16119912296147523</x:v>
      </x:c>
      <x:c r="H61" s="29" t="n">
        <x:f>'指标计算'!N82</x:f>
        <x:v>1</x:v>
      </x:c>
      <x:c r="I61" s="30" t="n">
        <x:f>IF(COUNT('总览与权重'!$H$6:$K$6)=4,ROUND(100*SUMPRODUCT(E61:H61,'总览与权重'!$H$6:$K$6),12),"NA")</x:f>
        <x:v>36.850962725863</x:v>
      </x:c>
      <x:c r="J61" s="30" t="n">
        <x:f>IF(ISNUMBER(I61),COUNTIFS($I$6:$I$179,"&gt;"&amp;I61)+(COUNTIFS($I$6:$I$179,I61)+1)/2,"NA")</x:f>
        <x:v>56</x:v>
      </x:c>
      <x:c r="K61" s="30" t="n">
        <x:f>IF(COUNT('总览与权重'!$H$7:$K$7)=4,ROUND(100*SUMPRODUCT(E61:H61,'总览与权重'!$H$7:$K$7),12),"NA")</x:f>
        <x:v>29.940612582624</x:v>
      </x:c>
      <x:c r="L61" s="30" t="n">
        <x:f>IF(ISNUMBER(K61),COUNTIFS($K$6:$K$179,"&gt;"&amp;K61)+(COUNTIFS($K$6:$K$179,K61)+1)/2,"NA")</x:f>
        <x:v>75</x:v>
      </x:c>
      <x:c r="M61" s="30" t="n">
        <x:f>IF(COUNT('总览与权重'!$H$8:$K$8)=4,ROUND(100*SUMPRODUCT(E61:H61,'总览与权重'!$H$8:$K$8),12),"NA")</x:f>
        <x:v>41.783796424629</x:v>
      </x:c>
      <x:c r="N61" s="30" t="n">
        <x:f>IF(ISNUMBER(M61),COUNTIFS($M$6:$M$179,"&gt;"&amp;M61)+(COUNTIFS($M$6:$M$179,M61)+1)/2,"NA")</x:f>
        <x:v>56</x:v>
      </x:c>
      <x:c r="O61" s="30" t="n">
        <x:f>IF(COUNT('总览与权重'!$H$9:$K$9)=4,ROUND(100*SUMPRODUCT(E61:H61,'总览与权重'!$H$9:$K$9),12),"NA")</x:f>
        <x:v>37.830284062843</x:v>
      </x:c>
      <x:c r="P61" s="30" t="n">
        <x:f>IF(ISNUMBER(O61),COUNTIFS($O$6:$O$179,"&gt;"&amp;O61)+(COUNTIFS($O$6:$O$179,O61)+1)/2,"NA")</x:f>
        <x:v>59</x:v>
      </x:c>
      <x:c r="Q61" s="30" t="n">
        <x:f>IF(COUNT('总览与权重'!$H$10:$K$10)=4,ROUND(100*SUMPRODUCT(E61:H61,'总览与权重'!$H$10:$K$10),12),"NA")</x:f>
        <x:v>14.227076178008</x:v>
      </x:c>
      <x:c r="R61" s="30" t="n">
        <x:f>IF(ISNUMBER(Q61),COUNTIFS($Q$6:$Q$179,"&gt;"&amp;Q61)+(COUNTIFS($Q$6:$Q$179,Q61)+1)/2,"NA")</x:f>
        <x:v>86</x:v>
      </x:c>
      <x:c r="S61" s="31" t="n">
        <x:f>IF(OR(B61="s3",B61="s6"),COUNTIFS($B$6:$B$179,B61,$I$6:$I$179,"&gt;"&amp;I61)+(COUNTIFS($B$6:$B$179,B61,$I$6:$I$179,I61)+1)/2,"NA")</x:f>
        <x:v>52</x:v>
      </x:c>
      <x:c r="T61" s="26" t="str">
        <x:f>IF(COUNTIFS($I$6:$I$179,"&gt;"&amp;I61)&gt;=35,"非前20%",IF(COUNTIFS($I$6:$I$179,"&gt;="&amp;I61)&gt;=35,"边界同分","严格前20%"))</x:f>
        <x:v>非前20%</x:v>
      </x:c>
      <x:c r="U61" s="26" t="str">
        <x:f>IF(COUNTIFS($I$6:$I$179,"&lt;"&amp;I61)&gt;=35,"非后20%",IF(COUNTIFS($I$6:$I$179,"&lt;="&amp;I61)&gt;=35,"边界同分","严格后20%"))</x:f>
        <x:v>非后20%</x:v>
      </x:c>
      <x:c r="V61" s="26" t="n">
        <x:f>'基线调整'!I47</x:f>
        <x:v>67.401228290139</x:v>
      </x:c>
      <x:c r="W61" s="26" t="n">
        <x:f>'基线调整'!J47</x:f>
        <x:v>42</x:v>
      </x:c>
      <x:c r="X61" s="22" t="str">
        <x:v>["S0003"]</x:v>
      </x:c>
      <x:c r="Y61" s="22" t="str">
        <x:v>evidence/student_evidence.jsonl；student_key=2025秋:259317</x:v>
      </x:c>
      <x:c r="Z61" s="26" t="n">
        <x:f>IF(OR(B61="s3",B61="s6"),COUNTIFS($B$6:$B$179,B61,$K$6:$K$179,"&gt;"&amp;K61)+(COUNTIFS($B$6:$B$179,B61,$K$6:$K$179,K61)+1)/2,"NA")</x:f>
        <x:v>70</x:v>
      </x:c>
      <x:c r="AA61" s="26" t="n">
        <x:f>IF(OR(B61="s3",B61="s6"),COUNTIFS($B$6:$B$179,B61,$M$6:$M$179,"&gt;"&amp;M61)+(COUNTIFS($B$6:$B$179,B61,$M$6:$M$179,M61)+1)/2,"NA")</x:f>
        <x:v>52</x:v>
      </x:c>
      <x:c r="AB61" s="26" t="n">
        <x:f>IF(OR(B61="s3",B61="s6"),COUNTIFS($B$6:$B$179,B61,$O$6:$O$179,"&gt;"&amp;O61)+(COUNTIFS($B$6:$B$179,B61,$O$6:$O$179,O61)+1)/2,"NA")</x:f>
        <x:v>55</x:v>
      </x:c>
      <x:c r="AC61" s="26" t="n">
        <x:f>IF(OR(B61="s3",B61="s6"),COUNTIFS($B$6:$B$179,B61,$Q$6:$Q$179,"&gt;"&amp;Q61)+(COUNTIFS($B$6:$B$179,B61,$Q$6:$Q$179,Q61)+1)/2,"NA")</x:f>
        <x:v>80</x:v>
      </x:c>
    </x:row>
    <x:row r="62" ht="23" customHeight="1">
      <x:c r="A62" s="21" t="str">
        <x:v>2025秋:259335</x:v>
      </x:c>
      <x:c r="B62" s="22" t="str">
        <x:v>s3</x:v>
      </x:c>
      <x:c r="C62" s="24" t="n">
        <x:v>1</x:v>
      </x:c>
      <x:c r="D62" s="24" t="n">
        <x:v>1</x:v>
      </x:c>
      <x:c r="E62" s="29" t="n">
        <x:f>'指标计算'!K90</x:f>
        <x:v>0.042723199739328775</x:v>
      </x:c>
      <x:c r="F62" s="29" t="n">
        <x:f>'指标计算'!L90</x:f>
        <x:v>0.5126783968719453</x:v>
      </x:c>
      <x:c r="G62" s="29" t="n">
        <x:f>'指标计算'!M90</x:f>
        <x:v>0.5126783968719453</x:v>
      </x:c>
      <x:c r="H62" s="29" t="n">
        <x:f>'指标计算'!N90</x:f>
        <x:v>0.5</x:v>
      </x:c>
      <x:c r="I62" s="30" t="n">
        <x:f>IF(COUNT('总览与权重'!$H$6:$K$6)=4,ROUND(100*SUMPRODUCT(E62:H62,'总览与权重'!$H$6:$K$6),12),"NA")</x:f>
        <x:v>36.788831867058</x:v>
      </x:c>
      <x:c r="J62" s="30" t="n">
        <x:f>IF(ISNUMBER(I62),COUNTIFS($I$6:$I$179,"&gt;"&amp;I62)+(COUNTIFS($I$6:$I$179,I62)+1)/2,"NA")</x:f>
        <x:v>57</x:v>
      </x:c>
      <x:c r="K62" s="30" t="n">
        <x:f>IF(COUNT('总览与权重'!$H$7:$K$7)=4,ROUND(100*SUMPRODUCT(E62:H62,'总览与权重'!$H$7:$K$7),12),"NA")</x:f>
        <x:v>41.615167807103</x:v>
      </x:c>
      <x:c r="L62" s="30" t="n">
        <x:f>IF(ISNUMBER(K62),COUNTIFS($K$6:$K$179,"&gt;"&amp;K62)+(COUNTIFS($K$6:$K$179,K62)+1)/2,"NA")</x:f>
        <x:v>40</x:v>
      </x:c>
      <x:c r="M62" s="30" t="n">
        <x:f>IF(COUNT('总览与权重'!$H$8:$K$8)=4,ROUND(100*SUMPRODUCT(E62:H62,'总览与权重'!$H$8:$K$8),12),"NA")</x:f>
        <x:v>39.075215868361</x:v>
      </x:c>
      <x:c r="N62" s="30" t="n">
        <x:f>IF(ISNUMBER(M62),COUNTIFS($M$6:$M$179,"&gt;"&amp;M62)+(COUNTIFS($M$6:$M$179,M62)+1)/2,"NA")</x:f>
        <x:v>69</x:v>
      </x:c>
      <x:c r="O62" s="30" t="n">
        <x:f>IF(COUNT('总览与权重'!$H$9:$K$9)=4,ROUND(100*SUMPRODUCT(E62:H62,'总览与权重'!$H$9:$K$9),12),"NA")</x:f>
        <x:v>39.903469737548</x:v>
      </x:c>
      <x:c r="P62" s="30" t="n">
        <x:f>IF(ISNUMBER(O62),COUNTIFS($O$6:$O$179,"&gt;"&amp;O62)+(COUNTIFS($O$6:$O$179,O62)+1)/2,"NA")</x:f>
        <x:v>54</x:v>
      </x:c>
      <x:c r="Q62" s="30" t="n">
        <x:f>IF(COUNT('总览与权重'!$H$10:$K$10)=4,ROUND(100*SUMPRODUCT(E62:H62,'总览与权重'!$H$10:$K$10),12),"NA")</x:f>
        <x:v>36.070244844883</x:v>
      </x:c>
      <x:c r="R62" s="30" t="n">
        <x:f>IF(ISNUMBER(Q62),COUNTIFS($Q$6:$Q$179,"&gt;"&amp;Q62)+(COUNTIFS($Q$6:$Q$179,Q62)+1)/2,"NA")</x:f>
        <x:v>13</x:v>
      </x:c>
      <x:c r="S62" s="31" t="n">
        <x:f>IF(OR(B62="s3",B62="s6"),COUNTIFS($B$6:$B$179,B62,$I$6:$I$179,"&gt;"&amp;I62)+(COUNTIFS($B$6:$B$179,B62,$I$6:$I$179,I62)+1)/2,"NA")</x:f>
        <x:v>53</x:v>
      </x:c>
      <x:c r="T62" s="26" t="str">
        <x:f>IF(COUNTIFS($I$6:$I$179,"&gt;"&amp;I62)&gt;=35,"非前20%",IF(COUNTIFS($I$6:$I$179,"&gt;="&amp;I62)&gt;=35,"边界同分","严格前20%"))</x:f>
        <x:v>非前20%</x:v>
      </x:c>
      <x:c r="U62" s="26" t="str">
        <x:f>IF(COUNTIFS($I$6:$I$179,"&lt;"&amp;I62)&gt;=35,"非后20%",IF(COUNTIFS($I$6:$I$179,"&lt;="&amp;I62)&gt;=35,"边界同分","严格后20%"))</x:f>
        <x:v>非后20%</x:v>
      </x:c>
      <x:c r="V62" s="26" t="n">
        <x:f>'基线调整'!I107</x:f>
        <x:v>57.987332489962</x:v>
      </x:c>
      <x:c r="W62" s="26" t="n">
        <x:f>'基线调整'!J107</x:f>
        <x:v>102</x:v>
      </x:c>
      <x:c r="X62" s="22" t="str">
        <x:v>["S0299"]</x:v>
      </x:c>
      <x:c r="Y62" s="22" t="str">
        <x:v>evidence/student_evidence.jsonl；student_key=2025秋:259335</x:v>
      </x:c>
      <x:c r="Z62" s="26" t="n">
        <x:f>IF(OR(B62="s3",B62="s6"),COUNTIFS($B$6:$B$179,B62,$K$6:$K$179,"&gt;"&amp;K62)+(COUNTIFS($B$6:$B$179,B62,$K$6:$K$179,K62)+1)/2,"NA")</x:f>
        <x:v>37</x:v>
      </x:c>
      <x:c r="AA62" s="26" t="n">
        <x:f>IF(OR(B62="s3",B62="s6"),COUNTIFS($B$6:$B$179,B62,$M$6:$M$179,"&gt;"&amp;M62)+(COUNTIFS($B$6:$B$179,B62,$M$6:$M$179,M62)+1)/2,"NA")</x:f>
        <x:v>65</x:v>
      </x:c>
      <x:c r="AB62" s="26" t="n">
        <x:f>IF(OR(B62="s3",B62="s6"),COUNTIFS($B$6:$B$179,B62,$O$6:$O$179,"&gt;"&amp;O62)+(COUNTIFS($B$6:$B$179,B62,$O$6:$O$179,O62)+1)/2,"NA")</x:f>
        <x:v>51</x:v>
      </x:c>
      <x:c r="AC62" s="26" t="n">
        <x:f>IF(OR(B62="s3",B62="s6"),COUNTIFS($B$6:$B$179,B62,$Q$6:$Q$179,"&gt;"&amp;Q62)+(COUNTIFS($B$6:$B$179,B62,$Q$6:$Q$179,Q62)+1)/2,"NA")</x:f>
        <x:v>10</x:v>
      </x:c>
    </x:row>
    <x:row r="63" ht="23" customHeight="1">
      <x:c r="A63" s="21" t="str">
        <x:v>2025秋:259917</x:v>
      </x:c>
      <x:c r="B63" s="22" t="str">
        <x:v>s3</x:v>
      </x:c>
      <x:c r="C63" s="24" t="n">
        <x:v>1</x:v>
      </x:c>
      <x:c r="D63" s="24" t="n">
        <x:v>1</x:v>
      </x:c>
      <x:c r="E63" s="29" t="n">
        <x:f>'指标计算'!K125</x:f>
        <x:v>0.012998112998112994</x:v>
      </x:c>
      <x:c r="F63" s="29" t="n">
        <x:f>'指标计算'!L125</x:f>
        <x:v>0.15597735597735593</x:v>
      </x:c>
      <x:c r="G63" s="29" t="n">
        <x:f>'指标计算'!M125</x:f>
        <x:v>0.15597735597735593</x:v>
      </x:c>
      <x:c r="H63" s="29" t="n">
        <x:f>'指标计算'!N125</x:f>
        <x:v>1</x:v>
      </x:c>
      <x:c r="I63" s="30" t="n">
        <x:f>IF(COUNT('总览与权重'!$H$6:$K$6)=4,ROUND(100*SUMPRODUCT(E63:H63,'总览与权重'!$H$6:$K$6),12),"NA")</x:f>
        <x:v>36.629037629038</x:v>
      </x:c>
      <x:c r="J63" s="30" t="n">
        <x:f>IF(ISNUMBER(I63),COUNTIFS($I$6:$I$179,"&gt;"&amp;I63)+(COUNTIFS($I$6:$I$179,I63)+1)/2,"NA")</x:f>
        <x:v>58</x:v>
      </x:c>
      <x:c r="K63" s="30" t="n">
        <x:f>IF(COUNT('总览与权重'!$H$7:$K$7)=4,ROUND(100*SUMPRODUCT(E63:H63,'总览与权重'!$H$7:$K$7),12),"NA")</x:f>
        <x:v>29.618603618604</x:v>
      </x:c>
      <x:c r="L63" s="30" t="n">
        <x:f>IF(ISNUMBER(K63),COUNTIFS($K$6:$K$179,"&gt;"&amp;K63)+(COUNTIFS($K$6:$K$179,K63)+1)/2,"NA")</x:f>
        <x:v>77</x:v>
      </x:c>
      <x:c r="M63" s="30" t="n">
        <x:f>IF(COUNT('总览与权重'!$H$8:$K$8)=4,ROUND(100*SUMPRODUCT(E63:H63,'总览与权重'!$H$8:$K$8),12),"NA")</x:f>
        <x:v>41.564047064047</x:v>
      </x:c>
      <x:c r="N63" s="30" t="n">
        <x:f>IF(ISNUMBER(M63),COUNTIFS($M$6:$M$179,"&gt;"&amp;M63)+(COUNTIFS($M$6:$M$179,M63)+1)/2,"NA")</x:f>
        <x:v>57</x:v>
      </x:c>
      <x:c r="O63" s="30" t="n">
        <x:f>IF(COUNT('总览与权重'!$H$9:$K$9)=4,ROUND(100*SUMPRODUCT(E63:H63,'总览与权重'!$H$9:$K$9),12),"NA")</x:f>
        <x:v>37.57663554389</x:v>
      </x:c>
      <x:c r="P63" s="30" t="n">
        <x:f>IF(ISNUMBER(O63),COUNTIFS($O$6:$O$179,"&gt;"&amp;O63)+(COUNTIFS($O$6:$O$179,O63)+1)/2,"NA")</x:f>
        <x:v>61</x:v>
      </x:c>
      <x:c r="Q63" s="30" t="n">
        <x:f>IF(COUNT('总览与权重'!$H$10:$K$10)=4,ROUND(100*SUMPRODUCT(E63:H63,'总览与权重'!$H$10:$K$10),12),"NA")</x:f>
        <x:v>13.877128059929</x:v>
      </x:c>
      <x:c r="R63" s="30" t="n">
        <x:f>IF(ISNUMBER(Q63),COUNTIFS($Q$6:$Q$179,"&gt;"&amp;Q63)+(COUNTIFS($Q$6:$Q$179,Q63)+1)/2,"NA")</x:f>
        <x:v>88</x:v>
      </x:c>
      <x:c r="S63" s="31" t="n">
        <x:f>IF(OR(B63="s3",B63="s6"),COUNTIFS($B$6:$B$179,B63,$I$6:$I$179,"&gt;"&amp;I63)+(COUNTIFS($B$6:$B$179,B63,$I$6:$I$179,I63)+1)/2,"NA")</x:f>
        <x:v>54</x:v>
      </x:c>
      <x:c r="T63" s="26" t="str">
        <x:f>IF(COUNTIFS($I$6:$I$179,"&gt;"&amp;I63)&gt;=35,"非前20%",IF(COUNTIFS($I$6:$I$179,"&gt;="&amp;I63)&gt;=35,"边界同分","严格前20%"))</x:f>
        <x:v>非前20%</x:v>
      </x:c>
      <x:c r="U63" s="26" t="str">
        <x:f>IF(COUNTIFS($I$6:$I$179,"&lt;"&amp;I63)&gt;=35,"非后20%",IF(COUNTIFS($I$6:$I$179,"&lt;="&amp;I63)&gt;=35,"边界同分","严格后20%"))</x:f>
        <x:v>非后20%</x:v>
      </x:c>
      <x:c r="V63" s="26" t="n">
        <x:f>'基线调整'!I51</x:f>
        <x:v>65.809462869653</x:v>
      </x:c>
      <x:c r="W63" s="26" t="n">
        <x:f>'基线调整'!J51</x:f>
        <x:v>46</x:v>
      </x:c>
      <x:c r="X63" s="22" t="str">
        <x:v>["S0244"]</x:v>
      </x:c>
      <x:c r="Y63" s="22" t="str">
        <x:v>evidence/student_evidence.jsonl；student_key=2025秋:259917</x:v>
      </x:c>
      <x:c r="Z63" s="26" t="n">
        <x:f>IF(OR(B63="s3",B63="s6"),COUNTIFS($B$6:$B$179,B63,$K$6:$K$179,"&gt;"&amp;K63)+(COUNTIFS($B$6:$B$179,B63,$K$6:$K$179,K63)+1)/2,"NA")</x:f>
        <x:v>72</x:v>
      </x:c>
      <x:c r="AA63" s="26" t="n">
        <x:f>IF(OR(B63="s3",B63="s6"),COUNTIFS($B$6:$B$179,B63,$M$6:$M$179,"&gt;"&amp;M63)+(COUNTIFS($B$6:$B$179,B63,$M$6:$M$179,M63)+1)/2,"NA")</x:f>
        <x:v>53</x:v>
      </x:c>
      <x:c r="AB63" s="26" t="n">
        <x:f>IF(OR(B63="s3",B63="s6"),COUNTIFS($B$6:$B$179,B63,$O$6:$O$179,"&gt;"&amp;O63)+(COUNTIFS($B$6:$B$179,B63,$O$6:$O$179,O63)+1)/2,"NA")</x:f>
        <x:v>57</x:v>
      </x:c>
      <x:c r="AC63" s="26" t="n">
        <x:f>IF(OR(B63="s3",B63="s6"),COUNTIFS($B$6:$B$179,B63,$Q$6:$Q$179,"&gt;"&amp;Q63)+(COUNTIFS($B$6:$B$179,B63,$Q$6:$Q$179,Q63)+1)/2,"NA")</x:f>
        <x:v>81</x:v>
      </x:c>
    </x:row>
    <x:row r="64" ht="23" customHeight="1">
      <x:c r="A64" s="21" t="str">
        <x:v>2026春:268127</x:v>
      </x:c>
      <x:c r="B64" s="22" t="str">
        <x:v>s3</x:v>
      </x:c>
      <x:c r="C64" s="24" t="n">
        <x:v>1</x:v>
      </x:c>
      <x:c r="D64" s="24" t="n">
        <x:v>1</x:v>
      </x:c>
      <x:c r="E64" s="29" t="n">
        <x:f>'指标计算'!K153</x:f>
        <x:v>0.03182369801389313</x:v>
      </x:c>
      <x:c r="F64" s="29" t="n">
        <x:f>'指标计算'!L153</x:f>
        <x:v>0.3818843761667175</x:v>
      </x:c>
      <x:c r="G64" s="29" t="n">
        <x:f>'指标计算'!M153</x:f>
        <x:v>0.3818843761667175</x:v>
      </x:c>
      <x:c r="H64" s="29" t="n">
        <x:f>'指标计算'!N153</x:f>
        <x:v>0.6666666666666666</x:v>
      </x:c>
      <x:c r="I64" s="30" t="n">
        <x:f>IF(COUNT('总览与权重'!$H$6:$K$6)=4,ROUND(100*SUMPRODUCT(E64:H64,'总览与权重'!$H$6:$K$6),12),"NA")</x:f>
        <x:v>36.230085987085</x:v>
      </x:c>
      <x:c r="J64" s="30" t="n">
        <x:f>IF(ISNUMBER(I64),COUNTIFS($I$6:$I$179,"&gt;"&amp;I64)+(COUNTIFS($I$6:$I$179,I64)+1)/2,"NA")</x:f>
        <x:v>59</x:v>
      </x:c>
      <x:c r="K64" s="30" t="n">
        <x:f>IF(COUNT('总览与权重'!$H$7:$K$7)=4,ROUND(100*SUMPRODUCT(E64:H64,'总览与权重'!$H$7:$K$7),12),"NA")</x:f>
        <x:v>36.882869863614</x:v>
      </x:c>
      <x:c r="L64" s="30" t="n">
        <x:f>IF(ISNUMBER(K64),COUNTIFS($K$6:$K$179,"&gt;"&amp;K64)+(COUNTIFS($K$6:$K$179,K64)+1)/2,"NA")</x:f>
        <x:v>56</x:v>
      </x:c>
      <x:c r="M64" s="30" t="n">
        <x:f>IF(COUNT('总览与权重'!$H$8:$K$8)=4,ROUND(100*SUMPRODUCT(E64:H64,'总览与权重'!$H$8:$K$8),12),"NA")</x:f>
        <x:v>39.404300830349</x:v>
      </x:c>
      <x:c r="N64" s="30" t="n">
        <x:f>IF(ISNUMBER(M64),COUNTIFS($M$6:$M$179,"&gt;"&amp;M64)+(COUNTIFS($M$6:$M$179,M64)+1)/2,"NA")</x:f>
        <x:v>68</x:v>
      </x:c>
      <x:c r="O64" s="30" t="n">
        <x:f>IF(COUNT('总览与权重'!$H$9:$K$9)=4,ROUND(100*SUMPRODUCT(E64:H64,'总览与权重'!$H$9:$K$9),12),"NA")</x:f>
        <x:v>38.550120432489</x:v>
      </x:c>
      <x:c r="P64" s="30" t="n">
        <x:f>IF(ISNUMBER(O64),COUNTIFS($O$6:$O$179,"&gt;"&amp;O64)+(COUNTIFS($O$6:$O$179,O64)+1)/2,"NA")</x:f>
        <x:v>57</x:v>
      </x:c>
      <x:c r="Q64" s="30" t="n">
        <x:f>IF(COUNT('总览与权重'!$H$10:$K$10)=4,ROUND(100*SUMPRODUCT(E64:H64,'总览与权重'!$H$10:$K$10),12),"NA")</x:f>
        <x:v>27.875458730002</x:v>
      </x:c>
      <x:c r="R64" s="30" t="n">
        <x:f>IF(ISNUMBER(Q64),COUNTIFS($Q$6:$Q$179,"&gt;"&amp;Q64)+(COUNTIFS($Q$6:$Q$179,Q64)+1)/2,"NA")</x:f>
        <x:v>33</x:v>
      </x:c>
      <x:c r="S64" s="31" t="n">
        <x:f>IF(OR(B64="s3",B64="s6"),COUNTIFS($B$6:$B$179,B64,$I$6:$I$179,"&gt;"&amp;I64)+(COUNTIFS($B$6:$B$179,B64,$I$6:$I$179,I64)+1)/2,"NA")</x:f>
        <x:v>55</x:v>
      </x:c>
      <x:c r="T64" s="26" t="str">
        <x:f>IF(COUNTIFS($I$6:$I$179,"&gt;"&amp;I64)&gt;=35,"非前20%",IF(COUNTIFS($I$6:$I$179,"&gt;="&amp;I64)&gt;=35,"边界同分","严格前20%"))</x:f>
        <x:v>非前20%</x:v>
      </x:c>
      <x:c r="U64" s="26" t="str">
        <x:f>IF(COUNTIFS($I$6:$I$179,"&lt;"&amp;I64)&gt;=35,"非后20%",IF(COUNTIFS($I$6:$I$179,"&lt;="&amp;I64)&gt;=35,"边界同分","严格后20%"))</x:f>
        <x:v>非后20%</x:v>
      </x:c>
      <x:c r="V64" s="26" t="n">
        <x:f>'基线调整'!I103</x:f>
        <x:v>60.20735692343</x:v>
      </x:c>
      <x:c r="W64" s="26" t="n">
        <x:f>'基线调整'!J103</x:f>
        <x:v>98</x:v>
      </x:c>
      <x:c r="X64" s="22" t="str">
        <x:v>["S0935"]</x:v>
      </x:c>
      <x:c r="Y64" s="22" t="str">
        <x:v>evidence/student_evidence.jsonl；student_key=2026春:268127</x:v>
      </x:c>
      <x:c r="Z64" s="26" t="n">
        <x:f>IF(OR(B64="s3",B64="s6"),COUNTIFS($B$6:$B$179,B64,$K$6:$K$179,"&gt;"&amp;K64)+(COUNTIFS($B$6:$B$179,B64,$K$6:$K$179,K64)+1)/2,"NA")</x:f>
        <x:v>53</x:v>
      </x:c>
      <x:c r="AA64" s="26" t="n">
        <x:f>IF(OR(B64="s3",B64="s6"),COUNTIFS($B$6:$B$179,B64,$M$6:$M$179,"&gt;"&amp;M64)+(COUNTIFS($B$6:$B$179,B64,$M$6:$M$179,M64)+1)/2,"NA")</x:f>
        <x:v>64</x:v>
      </x:c>
      <x:c r="AB64" s="26" t="n">
        <x:f>IF(OR(B64="s3",B64="s6"),COUNTIFS($B$6:$B$179,B64,$O$6:$O$179,"&gt;"&amp;O64)+(COUNTIFS($B$6:$B$179,B64,$O$6:$O$179,O64)+1)/2,"NA")</x:f>
        <x:v>53</x:v>
      </x:c>
      <x:c r="AC64" s="26" t="n">
        <x:f>IF(OR(B64="s3",B64="s6"),COUNTIFS($B$6:$B$179,B64,$Q$6:$Q$179,"&gt;"&amp;Q64)+(COUNTIFS($B$6:$B$179,B64,$Q$6:$Q$179,Q64)+1)/2,"NA")</x:f>
        <x:v>29</x:v>
      </x:c>
    </x:row>
    <x:row r="65" ht="23" customHeight="1">
      <x:c r="A65" s="21" t="str">
        <x:v>2025秋:258859</x:v>
      </x:c>
      <x:c r="B65" s="22" t="str">
        <x:v>s3</x:v>
      </x:c>
      <x:c r="C65" s="24" t="n">
        <x:v>1</x:v>
      </x:c>
      <x:c r="D65" s="24" t="n">
        <x:v>1</x:v>
      </x:c>
      <x:c r="E65" s="29" t="n">
        <x:f>'指标计算'!K24</x:f>
        <x:v>0.011978635643273913</x:v>
      </x:c>
      <x:c r="F65" s="29" t="n">
        <x:f>'指标计算'!L24</x:f>
        <x:v>0.14374362771928695</x:v>
      </x:c>
      <x:c r="G65" s="29" t="n">
        <x:f>'指标计算'!M24</x:f>
        <x:v>0.14374362771928695</x:v>
      </x:c>
      <x:c r="H65" s="29" t="n">
        <x:f>'指标计算'!N24</x:f>
        <x:v>1</x:v>
      </x:c>
      <x:c r="I65" s="30" t="n">
        <x:f>IF(COUNT('总览与权重'!$H$6:$K$6)=4,ROUND(100*SUMPRODUCT(E65:H65,'总览与权重'!$H$6:$K$6),12),"NA")</x:f>
        <x:v>36.10910417807</x:v>
      </x:c>
      <x:c r="J65" s="30" t="n">
        <x:f>IF(ISNUMBER(I65),COUNTIFS($I$6:$I$179,"&gt;"&amp;I65)+(COUNTIFS($I$6:$I$179,I65)+1)/2,"NA")</x:f>
        <x:v>60</x:v>
      </x:c>
      <x:c r="K65" s="30" t="n">
        <x:f>IF(COUNT('总览与权重'!$H$7:$K$7)=4,ROUND(100*SUMPRODUCT(E65:H65,'总览与权重'!$H$7:$K$7),12),"NA")</x:f>
        <x:v>28.864190376023</x:v>
      </x:c>
      <x:c r="L65" s="30" t="n">
        <x:f>IF(ISNUMBER(K65),COUNTIFS($K$6:$K$179,"&gt;"&amp;K65)+(COUNTIFS($K$6:$K$179,K65)+1)/2,"NA")</x:f>
        <x:v>79</x:v>
      </x:c>
      <x:c r="M65" s="30" t="n">
        <x:f>IF(COUNT('总览与权重'!$H$8:$K$8)=4,ROUND(100*SUMPRODUCT(E65:H65,'总览与权重'!$H$8:$K$8),12),"NA")</x:f>
        <x:v>41.049210999853</x:v>
      </x:c>
      <x:c r="N65" s="30" t="n">
        <x:f>IF(ISNUMBER(M65),COUNTIFS($M$6:$M$179,"&gt;"&amp;M65)+(COUNTIFS($M$6:$M$179,M65)+1)/2,"NA")</x:f>
        <x:v>58</x:v>
      </x:c>
      <x:c r="O65" s="30" t="n">
        <x:f>IF(COUNT('总览与权重'!$H$9:$K$9)=4,ROUND(100*SUMPRODUCT(E65:H65,'总览与权重'!$H$9:$K$9),12),"NA")</x:f>
        <x:v>36.982379411174</x:v>
      </x:c>
      <x:c r="P65" s="30" t="n">
        <x:f>IF(ISNUMBER(O65),COUNTIFS($O$6:$O$179,"&gt;"&amp;O65)+(COUNTIFS($O$6:$O$179,O65)+1)/2,"NA")</x:f>
        <x:v>63</x:v>
      </x:c>
      <x:c r="Q65" s="30" t="n">
        <x:f>IF(COUNT('总览与权重'!$H$10:$K$10)=4,ROUND(100*SUMPRODUCT(E65:H65,'总览与权重'!$H$10:$K$10),12),"NA")</x:f>
        <x:v>13.057258043896</x:v>
      </x:c>
      <x:c r="R65" s="30" t="n">
        <x:f>IF(ISNUMBER(Q65),COUNTIFS($Q$6:$Q$179,"&gt;"&amp;Q65)+(COUNTIFS($Q$6:$Q$179,Q65)+1)/2,"NA")</x:f>
        <x:v>89</x:v>
      </x:c>
      <x:c r="S65" s="31" t="n">
        <x:f>IF(OR(B65="s3",B65="s6"),COUNTIFS($B$6:$B$179,B65,$I$6:$I$179,"&gt;"&amp;I65)+(COUNTIFS($B$6:$B$179,B65,$I$6:$I$179,I65)+1)/2,"NA")</x:f>
        <x:v>56</x:v>
      </x:c>
      <x:c r="T65" s="26" t="str">
        <x:f>IF(COUNTIFS($I$6:$I$179,"&gt;"&amp;I65)&gt;=35,"非前20%",IF(COUNTIFS($I$6:$I$179,"&gt;="&amp;I65)&gt;=35,"边界同分","严格前20%"))</x:f>
        <x:v>非前20%</x:v>
      </x:c>
      <x:c r="U65" s="26" t="str">
        <x:f>IF(COUNTIFS($I$6:$I$179,"&lt;"&amp;I65)&gt;=35,"非后20%",IF(COUNTIFS($I$6:$I$179,"&lt;="&amp;I65)&gt;=35,"边界同分","严格后20%"))</x:f>
        <x:v>非后20%</x:v>
      </x:c>
      <x:c r="V65" s="26" t="n">
        <x:f>'基线调整'!I49</x:f>
        <x:v>67.039026763864</x:v>
      </x:c>
      <x:c r="W65" s="26" t="n">
        <x:f>'基线调整'!J49</x:f>
        <x:v>44</x:v>
      </x:c>
      <x:c r="X65" s="22" t="str">
        <x:v>["S0091"]</x:v>
      </x:c>
      <x:c r="Y65" s="22" t="str">
        <x:v>evidence/student_evidence.jsonl；student_key=2025秋:258859</x:v>
      </x:c>
      <x:c r="Z65" s="26" t="n">
        <x:f>IF(OR(B65="s3",B65="s6"),COUNTIFS($B$6:$B$179,B65,$K$6:$K$179,"&gt;"&amp;K65)+(COUNTIFS($B$6:$B$179,B65,$K$6:$K$179,K65)+1)/2,"NA")</x:f>
        <x:v>74</x:v>
      </x:c>
      <x:c r="AA65" s="26" t="n">
        <x:f>IF(OR(B65="s3",B65="s6"),COUNTIFS($B$6:$B$179,B65,$M$6:$M$179,"&gt;"&amp;M65)+(COUNTIFS($B$6:$B$179,B65,$M$6:$M$179,M65)+1)/2,"NA")</x:f>
        <x:v>54</x:v>
      </x:c>
      <x:c r="AB65" s="26" t="n">
        <x:f>IF(OR(B65="s3",B65="s6"),COUNTIFS($B$6:$B$179,B65,$O$6:$O$179,"&gt;"&amp;O65)+(COUNTIFS($B$6:$B$179,B65,$O$6:$O$179,O65)+1)/2,"NA")</x:f>
        <x:v>59</x:v>
      </x:c>
      <x:c r="AC65" s="26" t="n">
        <x:f>IF(OR(B65="s3",B65="s6"),COUNTIFS($B$6:$B$179,B65,$Q$6:$Q$179,"&gt;"&amp;Q65)+(COUNTIFS($B$6:$B$179,B65,$Q$6:$Q$179,Q65)+1)/2,"NA")</x:f>
        <x:v>82</x:v>
      </x:c>
    </x:row>
    <x:row r="66" ht="23" customHeight="1">
      <x:c r="A66" s="21" t="str">
        <x:v>2025秋:25A085</x:v>
      </x:c>
      <x:c r="B66" s="22" t="str">
        <x:v>s3</x:v>
      </x:c>
      <x:c r="C66" s="24" t="n">
        <x:v>1</x:v>
      </x:c>
      <x:c r="D66" s="24" t="n">
        <x:v>1</x:v>
      </x:c>
      <x:c r="E66" s="29" t="n">
        <x:f>'指标计算'!K134</x:f>
        <x:v>0.011274428190432556</x:v>
      </x:c>
      <x:c r="F66" s="29" t="n">
        <x:f>'指标计算'!L134</x:f>
        <x:v>0.13529313828519068</x:v>
      </x:c>
      <x:c r="G66" s="29" t="n">
        <x:f>'指标计算'!M134</x:f>
        <x:v>0.13529313828519068</x:v>
      </x:c>
      <x:c r="H66" s="29" t="n">
        <x:f>'指标计算'!N134</x:f>
        <x:v>1</x:v>
      </x:c>
      <x:c r="I66" s="30" t="n">
        <x:f>IF(COUNT('总览与权重'!$H$6:$K$6)=4,ROUND(100*SUMPRODUCT(E66:H66,'总览与权重'!$H$6:$K$6),12),"NA")</x:f>
        <x:v>35.749958377121</x:v>
      </x:c>
      <x:c r="J66" s="30" t="n">
        <x:f>IF(ISNUMBER(I66),COUNTIFS($I$6:$I$179,"&gt;"&amp;I66)+(COUNTIFS($I$6:$I$179,I66)+1)/2,"NA")</x:f>
        <x:v>61</x:v>
      </x:c>
      <x:c r="K66" s="30" t="n">
        <x:f>IF(COUNT('总览与权重'!$H$7:$K$7)=4,ROUND(100*SUMPRODUCT(E66:H66,'总览与权重'!$H$7:$K$7),12),"NA")</x:f>
        <x:v>28.34307686092</x:v>
      </x:c>
      <x:c r="L66" s="30" t="n">
        <x:f>IF(ISNUMBER(K66),COUNTIFS($K$6:$K$179,"&gt;"&amp;K66)+(COUNTIFS($K$6:$K$179,K66)+1)/2,"NA")</x:f>
        <x:v>83</x:v>
      </x:c>
      <x:c r="M66" s="30" t="n">
        <x:f>IF(COUNT('总览与权重'!$H$8:$K$8)=4,ROUND(100*SUMPRODUCT(E66:H66,'总览与权重'!$H$8:$K$8),12),"NA")</x:f>
        <x:v>40.693586236168</x:v>
      </x:c>
      <x:c r="N66" s="30" t="n">
        <x:f>IF(ISNUMBER(M66),COUNTIFS($M$6:$M$179,"&gt;"&amp;M66)+(COUNTIFS($M$6:$M$179,M66)+1)/2,"NA")</x:f>
        <x:v>59</x:v>
      </x:c>
      <x:c r="O66" s="30" t="n">
        <x:f>IF(COUNT('总览与权重'!$H$9:$K$9)=4,ROUND(100*SUMPRODUCT(E66:H66,'总览与权重'!$H$9:$K$9),12),"NA")</x:f>
        <x:v>36.571894964836</x:v>
      </x:c>
      <x:c r="P66" s="30" t="n">
        <x:f>IF(ISNUMBER(O66),COUNTIFS($O$6:$O$179,"&gt;"&amp;O66)+(COUNTIFS($O$6:$O$179,O66)+1)/2,"NA")</x:f>
        <x:v>64</x:v>
      </x:c>
      <x:c r="Q66" s="30" t="n">
        <x:f>IF(COUNT('总览与权重'!$H$10:$K$10)=4,ROUND(100*SUMPRODUCT(E66:H66,'总览与权重'!$H$10:$K$10),12),"NA")</x:f>
        <x:v>12.490930039736</x:v>
      </x:c>
      <x:c r="R66" s="30" t="n">
        <x:f>IF(ISNUMBER(Q66),COUNTIFS($Q$6:$Q$179,"&gt;"&amp;Q66)+(COUNTIFS($Q$6:$Q$179,Q66)+1)/2,"NA")</x:f>
        <x:v>90</x:v>
      </x:c>
      <x:c r="S66" s="31" t="n">
        <x:f>IF(OR(B66="s3",B66="s6"),COUNTIFS($B$6:$B$179,B66,$I$6:$I$179,"&gt;"&amp;I66)+(COUNTIFS($B$6:$B$179,B66,$I$6:$I$179,I66)+1)/2,"NA")</x:f>
        <x:v>57</x:v>
      </x:c>
      <x:c r="T66" s="26" t="str">
        <x:f>IF(COUNTIFS($I$6:$I$179,"&gt;"&amp;I66)&gt;=35,"非前20%",IF(COUNTIFS($I$6:$I$179,"&gt;="&amp;I66)&gt;=35,"边界同分","严格前20%"))</x:f>
        <x:v>非前20%</x:v>
      </x:c>
      <x:c r="U66" s="26" t="str">
        <x:f>IF(COUNTIFS($I$6:$I$179,"&lt;"&amp;I66)&gt;=35,"非后20%",IF(COUNTIFS($I$6:$I$179,"&lt;="&amp;I66)&gt;=35,"边界同分","严格后20%"))</x:f>
        <x:v>非后20%</x:v>
      </x:c>
      <x:c r="V66" s="26" t="n">
        <x:f>'基线调整'!I53</x:f>
        <x:v>64.967895744993</x:v>
      </x:c>
      <x:c r="W66" s="26" t="n">
        <x:f>'基线调整'!J53</x:f>
        <x:v>48</x:v>
      </x:c>
      <x:c r="X66" s="22" t="str">
        <x:v>["S0138"]</x:v>
      </x:c>
      <x:c r="Y66" s="22" t="str">
        <x:v>evidence/student_evidence.jsonl；student_key=2025秋:25A085</x:v>
      </x:c>
      <x:c r="Z66" s="26" t="n">
        <x:f>IF(OR(B66="s3",B66="s6"),COUNTIFS($B$6:$B$179,B66,$K$6:$K$179,"&gt;"&amp;K66)+(COUNTIFS($B$6:$B$179,B66,$K$6:$K$179,K66)+1)/2,"NA")</x:f>
        <x:v>78</x:v>
      </x:c>
      <x:c r="AA66" s="26" t="n">
        <x:f>IF(OR(B66="s3",B66="s6"),COUNTIFS($B$6:$B$179,B66,$M$6:$M$179,"&gt;"&amp;M66)+(COUNTIFS($B$6:$B$179,B66,$M$6:$M$179,M66)+1)/2,"NA")</x:f>
        <x:v>55</x:v>
      </x:c>
      <x:c r="AB66" s="26" t="n">
        <x:f>IF(OR(B66="s3",B66="s6"),COUNTIFS($B$6:$B$179,B66,$O$6:$O$179,"&gt;"&amp;O66)+(COUNTIFS($B$6:$B$179,B66,$O$6:$O$179,O66)+1)/2,"NA")</x:f>
        <x:v>60</x:v>
      </x:c>
      <x:c r="AC66" s="26" t="n">
        <x:f>IF(OR(B66="s3",B66="s6"),COUNTIFS($B$6:$B$179,B66,$Q$6:$Q$179,"&gt;"&amp;Q66)+(COUNTIFS($B$6:$B$179,B66,$Q$6:$Q$179,Q66)+1)/2,"NA")</x:f>
        <x:v>83</x:v>
      </x:c>
    </x:row>
    <x:row r="67" ht="23" customHeight="1">
      <x:c r="A67" s="21" t="str">
        <x:v>2026春:268121</x:v>
      </x:c>
      <x:c r="B67" s="22" t="str">
        <x:v>s3</x:v>
      </x:c>
      <x:c r="C67" s="24" t="n">
        <x:v>1</x:v>
      </x:c>
      <x:c r="D67" s="24" t="n">
        <x:v>1</x:v>
      </x:c>
      <x:c r="E67" s="29" t="n">
        <x:f>'指标计算'!K151</x:f>
        <x:v>0.030227970632644485</x:v>
      </x:c>
      <x:c r="F67" s="29" t="n">
        <x:f>'指标计算'!L151</x:f>
        <x:v>0.3627356475917338</x:v>
      </x:c>
      <x:c r="G67" s="29" t="n">
        <x:f>'指标计算'!M151</x:f>
        <x:v>0.3627356475917338</x:v>
      </x:c>
      <x:c r="H67" s="29" t="n">
        <x:f>'指标计算'!N151</x:f>
        <x:v>0.6666666666666666</x:v>
      </x:c>
      <x:c r="I67" s="30" t="n">
        <x:f>IF(COUNT('总览与权重'!$H$6:$K$6)=4,ROUND(100*SUMPRODUCT(E67:H67,'总览与权重'!$H$6:$K$6),12),"NA")</x:f>
        <x:v>35.416265022649</x:v>
      </x:c>
      <x:c r="J67" s="30" t="n">
        <x:f>IF(ISNUMBER(I67),COUNTIFS($I$6:$I$179,"&gt;"&amp;I67)+(COUNTIFS($I$6:$I$179,I67)+1)/2,"NA")</x:f>
        <x:v>62</x:v>
      </x:c>
      <x:c r="K67" s="30" t="n">
        <x:f>IF(COUNT('总览与权重'!$H$7:$K$7)=4,ROUND(100*SUMPRODUCT(E67:H67,'总览与权重'!$H$7:$K$7),12),"NA")</x:f>
        <x:v>35.70203160149</x:v>
      </x:c>
      <x:c r="L67" s="30" t="n">
        <x:f>IF(ISNUMBER(K67),COUNTIFS($K$6:$K$179,"&gt;"&amp;K67)+(COUNTIFS($K$6:$K$179,K67)+1)/2,"NA")</x:f>
        <x:v>58</x:v>
      </x:c>
      <x:c r="M67" s="30" t="n">
        <x:f>IF(COUNT('总览与权重'!$H$8:$K$8)=4,ROUND(100*SUMPRODUCT(E67:H67,'总览与权重'!$H$8:$K$8),12),"NA")</x:f>
        <x:v>38.598458502819</x:v>
      </x:c>
      <x:c r="N67" s="30" t="n">
        <x:f>IF(ISNUMBER(M67),COUNTIFS($M$6:$M$179,"&gt;"&amp;M67)+(COUNTIFS($M$6:$M$179,M67)+1)/2,"NA")</x:f>
        <x:v>70</x:v>
      </x:c>
      <x:c r="O67" s="30" t="n">
        <x:f>IF(COUNT('总览与权重'!$H$9:$K$9)=4,ROUND(100*SUMPRODUCT(E67:H67,'总览与权重'!$H$9:$K$9),12),"NA")</x:f>
        <x:v>37.619966586551</x:v>
      </x:c>
      <x:c r="P67" s="30" t="n">
        <x:f>IF(ISNUMBER(O67),COUNTIFS($O$6:$O$179,"&gt;"&amp;O67)+(COUNTIFS($O$6:$O$179,O67)+1)/2,"NA")</x:f>
        <x:v>60</x:v>
      </x:c>
      <x:c r="Q67" s="30" t="n">
        <x:f>IF(COUNT('总览与权重'!$H$10:$K$10)=4,ROUND(100*SUMPRODUCT(E67:H67,'总览与权重'!$H$10:$K$10),12),"NA")</x:f>
        <x:v>26.592164866298</x:v>
      </x:c>
      <x:c r="R67" s="30" t="n">
        <x:f>IF(ISNUMBER(Q67),COUNTIFS($Q$6:$Q$179,"&gt;"&amp;Q67)+(COUNTIFS($Q$6:$Q$179,Q67)+1)/2,"NA")</x:f>
        <x:v>55</x:v>
      </x:c>
      <x:c r="S67" s="31" t="n">
        <x:f>IF(OR(B67="s3",B67="s6"),COUNTIFS($B$6:$B$179,B67,$I$6:$I$179,"&gt;"&amp;I67)+(COUNTIFS($B$6:$B$179,B67,$I$6:$I$179,I67)+1)/2,"NA")</x:f>
        <x:v>58</x:v>
      </x:c>
      <x:c r="T67" s="26" t="str">
        <x:f>IF(COUNTIFS($I$6:$I$179,"&gt;"&amp;I67)&gt;=35,"非前20%",IF(COUNTIFS($I$6:$I$179,"&gt;="&amp;I67)&gt;=35,"边界同分","严格前20%"))</x:f>
        <x:v>非前20%</x:v>
      </x:c>
      <x:c r="U67" s="26" t="str">
        <x:f>IF(COUNTIFS($I$6:$I$179,"&lt;"&amp;I67)&gt;=35,"非后20%",IF(COUNTIFS($I$6:$I$179,"&lt;="&amp;I67)&gt;=35,"边界同分","严格后20%"))</x:f>
        <x:v>非后20%</x:v>
      </x:c>
      <x:c r="V67" s="26" t="n">
        <x:f>'基线调整'!I104</x:f>
        <x:v>59.800446441212</x:v>
      </x:c>
      <x:c r="W67" s="26" t="n">
        <x:f>'基线调整'!J104</x:f>
        <x:v>99</x:v>
      </x:c>
      <x:c r="X67" s="22" t="str">
        <x:v>["S0915"]</x:v>
      </x:c>
      <x:c r="Y67" s="22" t="str">
        <x:v>evidence/student_evidence.jsonl；student_key=2026春:268121</x:v>
      </x:c>
      <x:c r="Z67" s="26" t="n">
        <x:f>IF(OR(B67="s3",B67="s6"),COUNTIFS($B$6:$B$179,B67,$K$6:$K$179,"&gt;"&amp;K67)+(COUNTIFS($B$6:$B$179,B67,$K$6:$K$179,K67)+1)/2,"NA")</x:f>
        <x:v>55</x:v>
      </x:c>
      <x:c r="AA67" s="26" t="n">
        <x:f>IF(OR(B67="s3",B67="s6"),COUNTIFS($B$6:$B$179,B67,$M$6:$M$179,"&gt;"&amp;M67)+(COUNTIFS($B$6:$B$179,B67,$M$6:$M$179,M67)+1)/2,"NA")</x:f>
        <x:v>66</x:v>
      </x:c>
      <x:c r="AB67" s="26" t="n">
        <x:f>IF(OR(B67="s3",B67="s6"),COUNTIFS($B$6:$B$179,B67,$O$6:$O$179,"&gt;"&amp;O67)+(COUNTIFS($B$6:$B$179,B67,$O$6:$O$179,O67)+1)/2,"NA")</x:f>
        <x:v>56</x:v>
      </x:c>
      <x:c r="AC67" s="26" t="n">
        <x:f>IF(OR(B67="s3",B67="s6"),COUNTIFS($B$6:$B$179,B67,$Q$6:$Q$179,"&gt;"&amp;Q67)+(COUNTIFS($B$6:$B$179,B67,$Q$6:$Q$179,Q67)+1)/2,"NA")</x:f>
        <x:v>51</x:v>
      </x:c>
    </x:row>
    <x:row r="68" ht="23" customHeight="1">
      <x:c r="A68" s="21" t="str">
        <x:v>2025秋:259400</x:v>
      </x:c>
      <x:c r="B68" s="22" t="str">
        <x:v>s3</x:v>
      </x:c>
      <x:c r="C68" s="24" t="n">
        <x:v>1</x:v>
      </x:c>
      <x:c r="D68" s="24" t="n">
        <x:v>1</x:v>
      </x:c>
      <x:c r="E68" s="29" t="n">
        <x:f>'指标计算'!K95</x:f>
        <x:v>0.0103863986971076</x:v>
      </x:c>
      <x:c r="F68" s="29" t="n">
        <x:f>'指标计算'!L95</x:f>
        <x:v>0.12463678436529121</x:v>
      </x:c>
      <x:c r="G68" s="29" t="n">
        <x:f>'指标计算'!M95</x:f>
        <x:v>0.12463678436529121</x:v>
      </x:c>
      <x:c r="H68" s="29" t="n">
        <x:f>'指标计算'!N95</x:f>
        <x:v>1</x:v>
      </x:c>
      <x:c r="I68" s="30" t="n">
        <x:f>IF(COUNT('总览与权重'!$H$6:$K$6)=4,ROUND(100*SUMPRODUCT(E68:H68,'总览与权重'!$H$6:$K$6),12),"NA")</x:f>
        <x:v>35.297063335525</x:v>
      </x:c>
      <x:c r="J68" s="30" t="n">
        <x:f>IF(ISNUMBER(I68),COUNTIFS($I$6:$I$179,"&gt;"&amp;I68)+(COUNTIFS($I$6:$I$179,I68)+1)/2,"NA")</x:f>
        <x:v>63</x:v>
      </x:c>
      <x:c r="K68" s="30" t="n">
        <x:f>IF(COUNT('总览与权重'!$H$7:$K$7)=4,ROUND(100*SUMPRODUCT(E68:H68,'总览与权重'!$H$7:$K$7),12),"NA")</x:f>
        <x:v>27.68593503586</x:v>
      </x:c>
      <x:c r="L68" s="30" t="n">
        <x:f>IF(ISNUMBER(K68),COUNTIFS($K$6:$K$179,"&gt;"&amp;K68)+(COUNTIFS($K$6:$K$179,K68)+1)/2,"NA")</x:f>
        <x:v>86</x:v>
      </x:c>
      <x:c r="M68" s="30" t="n">
        <x:f>IF(COUNT('总览与权重'!$H$8:$K$8)=4,ROUND(100*SUMPRODUCT(E68:H68,'总览与权重'!$H$8:$K$8),12),"NA")</x:f>
        <x:v>40.245131342039</x:v>
      </x:c>
      <x:c r="N68" s="30" t="n">
        <x:f>IF(ISNUMBER(M68),COUNTIFS($M$6:$M$179,"&gt;"&amp;M68)+(COUNTIFS($M$6:$M$179,M68)+1)/2,"NA")</x:f>
        <x:v>60</x:v>
      </x:c>
      <x:c r="O68" s="30" t="n">
        <x:f>IF(COUNT('总览与权重'!$H$9:$K$9)=4,ROUND(100*SUMPRODUCT(E68:H68,'总览与权重'!$H$9:$K$9),12),"NA")</x:f>
        <x:v>36.054260149373</x:v>
      </x:c>
      <x:c r="P68" s="30" t="n">
        <x:f>IF(ISNUMBER(O68),COUNTIFS($O$6:$O$179,"&gt;"&amp;O68)+(COUNTIFS($O$6:$O$179,O68)+1)/2,"NA")</x:f>
        <x:v>66</x:v>
      </x:c>
      <x:c r="Q68" s="30" t="n">
        <x:f>IF(COUNT('总览与权重'!$H$10:$K$10)=4,ROUND(100*SUMPRODUCT(E68:H68,'总览与权重'!$H$10:$K$10),12),"NA")</x:f>
        <x:v>11.776771209748</x:v>
      </x:c>
      <x:c r="R68" s="30" t="n">
        <x:f>IF(ISNUMBER(Q68),COUNTIFS($Q$6:$Q$179,"&gt;"&amp;Q68)+(COUNTIFS($Q$6:$Q$179,Q68)+1)/2,"NA")</x:f>
        <x:v>93</x:v>
      </x:c>
      <x:c r="S68" s="31" t="n">
        <x:f>IF(OR(B68="s3",B68="s6"),COUNTIFS($B$6:$B$179,B68,$I$6:$I$179,"&gt;"&amp;I68)+(COUNTIFS($B$6:$B$179,B68,$I$6:$I$179,I68)+1)/2,"NA")</x:f>
        <x:v>59</x:v>
      </x:c>
      <x:c r="T68" s="26" t="str">
        <x:f>IF(COUNTIFS($I$6:$I$179,"&gt;"&amp;I68)&gt;=35,"非前20%",IF(COUNTIFS($I$6:$I$179,"&gt;="&amp;I68)&gt;=35,"边界同分","严格前20%"))</x:f>
        <x:v>非前20%</x:v>
      </x:c>
      <x:c r="U68" s="26" t="str">
        <x:f>IF(COUNTIFS($I$6:$I$179,"&lt;"&amp;I68)&gt;=35,"非后20%",IF(COUNTIFS($I$6:$I$179,"&lt;="&amp;I68)&gt;=35,"边界同分","严格后20%"))</x:f>
        <x:v>非后20%</x:v>
      </x:c>
      <x:c r="V68" s="26" t="n">
        <x:f>'基线调整'!I50</x:f>
        <x:v>66.642559764268</x:v>
      </x:c>
      <x:c r="W68" s="26" t="n">
        <x:f>'基线调整'!J50</x:f>
        <x:v>45</x:v>
      </x:c>
      <x:c r="X68" s="22" t="str">
        <x:v>["S0343"]</x:v>
      </x:c>
      <x:c r="Y68" s="22" t="str">
        <x:v>evidence/student_evidence.jsonl；student_key=2025秋:259400</x:v>
      </x:c>
      <x:c r="Z68" s="26" t="n">
        <x:f>IF(OR(B68="s3",B68="s6"),COUNTIFS($B$6:$B$179,B68,$K$6:$K$179,"&gt;"&amp;K68)+(COUNTIFS($B$6:$B$179,B68,$K$6:$K$179,K68)+1)/2,"NA")</x:f>
        <x:v>81</x:v>
      </x:c>
      <x:c r="AA68" s="26" t="n">
        <x:f>IF(OR(B68="s3",B68="s6"),COUNTIFS($B$6:$B$179,B68,$M$6:$M$179,"&gt;"&amp;M68)+(COUNTIFS($B$6:$B$179,B68,$M$6:$M$179,M68)+1)/2,"NA")</x:f>
        <x:v>56</x:v>
      </x:c>
      <x:c r="AB68" s="26" t="n">
        <x:f>IF(OR(B68="s3",B68="s6"),COUNTIFS($B$6:$B$179,B68,$O$6:$O$179,"&gt;"&amp;O68)+(COUNTIFS($B$6:$B$179,B68,$O$6:$O$179,O68)+1)/2,"NA")</x:f>
        <x:v>62</x:v>
      </x:c>
      <x:c r="AC68" s="26" t="n">
        <x:f>IF(OR(B68="s3",B68="s6"),COUNTIFS($B$6:$B$179,B68,$Q$6:$Q$179,"&gt;"&amp;Q68)+(COUNTIFS($B$6:$B$179,B68,$Q$6:$Q$179,Q68)+1)/2,"NA")</x:f>
        <x:v>86</x:v>
      </x:c>
    </x:row>
    <x:row r="69" ht="23" customHeight="1">
      <x:c r="A69" s="21" t="str">
        <x:v>2025秋:258917</x:v>
      </x:c>
      <x:c r="B69" s="22" t="str">
        <x:v>s3</x:v>
      </x:c>
      <x:c r="C69" s="24" t="n">
        <x:v>1</x:v>
      </x:c>
      <x:c r="D69" s="24" t="n">
        <x:v>1</x:v>
      </x:c>
      <x:c r="E69" s="29" t="n">
        <x:f>'指标计算'!K40</x:f>
        <x:v>0.010271865480198816</x:v>
      </x:c>
      <x:c r="F69" s="29" t="n">
        <x:f>'指标计算'!L40</x:f>
        <x:v>0.1232623857623858</x:v>
      </x:c>
      <x:c r="G69" s="29" t="n">
        <x:f>'指标计算'!M40</x:f>
        <x:v>0.1232623857623858</x:v>
      </x:c>
      <x:c r="H69" s="29" t="n">
        <x:f>'指标计算'!N40</x:f>
        <x:v>1</x:v>
      </x:c>
      <x:c r="I69" s="30" t="n">
        <x:f>IF(COUNT('总览与权重'!$H$6:$K$6)=4,ROUND(100*SUMPRODUCT(E69:H69,'总览与权重'!$H$6:$K$6),12),"NA")</x:f>
        <x:v>35.238651394901</x:v>
      </x:c>
      <x:c r="J69" s="30" t="n">
        <x:f>IF(ISNUMBER(I69),COUNTIFS($I$6:$I$179,"&gt;"&amp;I69)+(COUNTIFS($I$6:$I$179,I69)+1)/2,"NA")</x:f>
        <x:v>64</x:v>
      </x:c>
      <x:c r="K69" s="30" t="n">
        <x:f>IF(COUNT('总览与权重'!$H$7:$K$7)=4,ROUND(100*SUMPRODUCT(E69:H69,'总览与权重'!$H$7:$K$7),12),"NA")</x:f>
        <x:v>27.601180455347</x:v>
      </x:c>
      <x:c r="L69" s="30" t="n">
        <x:f>IF(ISNUMBER(K69),COUNTIFS($K$6:$K$179,"&gt;"&amp;K69)+(COUNTIFS($K$6:$K$179,K69)+1)/2,"NA")</x:f>
        <x:v>87</x:v>
      </x:c>
      <x:c r="M69" s="30" t="n">
        <x:f>IF(COUNT('总览与权重'!$H$8:$K$8)=4,ROUND(100*SUMPRODUCT(E69:H69,'总览与权重'!$H$8:$K$8),12),"NA")</x:f>
        <x:v>40.1872920675</x:v>
      </x:c>
      <x:c r="N69" s="30" t="n">
        <x:f>IF(ISNUMBER(M69),COUNTIFS($M$6:$M$179,"&gt;"&amp;M69)+(COUNTIFS($M$6:$M$179,M69)+1)/2,"NA")</x:f>
        <x:v>61</x:v>
      </x:c>
      <x:c r="O69" s="30" t="n">
        <x:f>IF(COUNT('总览与权重'!$H$9:$K$9)=4,ROUND(100*SUMPRODUCT(E69:H69,'总览与权重'!$H$9:$K$9),12),"NA")</x:f>
        <x:v>35.987498424628</x:v>
      </x:c>
      <x:c r="P69" s="30" t="n">
        <x:f>IF(ISNUMBER(O69),COUNTIFS($O$6:$O$179,"&gt;"&amp;O69)+(COUNTIFS($O$6:$O$179,O69)+1)/2,"NA")</x:f>
        <x:v>67</x:v>
      </x:c>
      <x:c r="Q69" s="30" t="n">
        <x:f>IF(COUNT('总览与权重'!$H$10:$K$10)=4,ROUND(100*SUMPRODUCT(E69:H69,'总览与权重'!$H$10:$K$10),12),"NA")</x:f>
        <x:v>11.684662885873</x:v>
      </x:c>
      <x:c r="R69" s="30" t="n">
        <x:f>IF(ISNUMBER(Q69),COUNTIFS($Q$6:$Q$179,"&gt;"&amp;Q69)+(COUNTIFS($Q$6:$Q$179,Q69)+1)/2,"NA")</x:f>
        <x:v>94</x:v>
      </x:c>
      <x:c r="S69" s="31" t="n">
        <x:f>IF(OR(B69="s3",B69="s6"),COUNTIFS($B$6:$B$179,B69,$I$6:$I$179,"&gt;"&amp;I69)+(COUNTIFS($B$6:$B$179,B69,$I$6:$I$179,I69)+1)/2,"NA")</x:f>
        <x:v>60</x:v>
      </x:c>
      <x:c r="T69" s="26" t="str">
        <x:f>IF(COUNTIFS($I$6:$I$179,"&gt;"&amp;I69)&gt;=35,"非前20%",IF(COUNTIFS($I$6:$I$179,"&gt;="&amp;I69)&gt;=35,"边界同分","严格前20%"))</x:f>
        <x:v>非前20%</x:v>
      </x:c>
      <x:c r="U69" s="26" t="str">
        <x:f>IF(COUNTIFS($I$6:$I$179,"&lt;"&amp;I69)&gt;=35,"非后20%",IF(COUNTIFS($I$6:$I$179,"&lt;="&amp;I69)&gt;=35,"边界同分","严格后20%"))</x:f>
        <x:v>非后20%</x:v>
      </x:c>
      <x:c r="V69" s="26" t="n">
        <x:f>'基线调整'!I54</x:f>
        <x:v>64.711639627338</x:v>
      </x:c>
      <x:c r="W69" s="26" t="n">
        <x:f>'基线调整'!J54</x:f>
        <x:v>49</x:v>
      </x:c>
      <x:c r="X69" s="22" t="str">
        <x:v>["S0021"]</x:v>
      </x:c>
      <x:c r="Y69" s="22" t="str">
        <x:v>evidence/student_evidence.jsonl；student_key=2025秋:258917</x:v>
      </x:c>
      <x:c r="Z69" s="26" t="n">
        <x:f>IF(OR(B69="s3",B69="s6"),COUNTIFS($B$6:$B$179,B69,$K$6:$K$179,"&gt;"&amp;K69)+(COUNTIFS($B$6:$B$179,B69,$K$6:$K$179,K69)+1)/2,"NA")</x:f>
        <x:v>82</x:v>
      </x:c>
      <x:c r="AA69" s="26" t="n">
        <x:f>IF(OR(B69="s3",B69="s6"),COUNTIFS($B$6:$B$179,B69,$M$6:$M$179,"&gt;"&amp;M69)+(COUNTIFS($B$6:$B$179,B69,$M$6:$M$179,M69)+1)/2,"NA")</x:f>
        <x:v>57</x:v>
      </x:c>
      <x:c r="AB69" s="26" t="n">
        <x:f>IF(OR(B69="s3",B69="s6"),COUNTIFS($B$6:$B$179,B69,$O$6:$O$179,"&gt;"&amp;O69)+(COUNTIFS($B$6:$B$179,B69,$O$6:$O$179,O69)+1)/2,"NA")</x:f>
        <x:v>63</x:v>
      </x:c>
      <x:c r="AC69" s="26" t="n">
        <x:f>IF(OR(B69="s3",B69="s6"),COUNTIFS($B$6:$B$179,B69,$Q$6:$Q$179,"&gt;"&amp;Q69)+(COUNTIFS($B$6:$B$179,B69,$Q$6:$Q$179,Q69)+1)/2,"NA")</x:f>
        <x:v>87</x:v>
      </x:c>
    </x:row>
    <x:row r="70" ht="23" customHeight="1">
      <x:c r="A70" s="21" t="str">
        <x:v>2025秋:259896</x:v>
      </x:c>
      <x:c r="B70" s="22" t="str">
        <x:v>s3</x:v>
      </x:c>
      <x:c r="C70" s="24" t="n">
        <x:v>1</x:v>
      </x:c>
      <x:c r="D70" s="24" t="n">
        <x:v>1</x:v>
      </x:c>
      <x:c r="E70" s="29" t="n">
        <x:f>'指标计算'!K123</x:f>
        <x:v>0.010142290337303128</x:v>
      </x:c>
      <x:c r="F70" s="29" t="n">
        <x:f>'指标计算'!L123</x:f>
        <x:v>0.12170748404763754</x:v>
      </x:c>
      <x:c r="G70" s="29" t="n">
        <x:f>'指标计算'!M123</x:f>
        <x:v>0.12170748404763754</x:v>
      </x:c>
      <x:c r="H70" s="29" t="n">
        <x:f>'指标计算'!N123</x:f>
        <x:v>1</x:v>
      </x:c>
      <x:c r="I70" s="30" t="n">
        <x:f>IF(COUNT('总览与权重'!$H$6:$K$6)=4,ROUND(100*SUMPRODUCT(E70:H70,'总览与权重'!$H$6:$K$6),12),"NA")</x:f>
        <x:v>35.172568072025</x:v>
      </x:c>
      <x:c r="J70" s="30" t="n">
        <x:f>IF(ISNUMBER(I70),COUNTIFS($I$6:$I$179,"&gt;"&amp;I70)+(COUNTIFS($I$6:$I$179,I70)+1)/2,"NA")</x:f>
        <x:v>65</x:v>
      </x:c>
      <x:c r="K70" s="30" t="n">
        <x:f>IF(COUNT('总览与权重'!$H$7:$K$7)=4,ROUND(100*SUMPRODUCT(E70:H70,'总览与权重'!$H$7:$K$7),12),"NA")</x:f>
        <x:v>27.505294849604</x:v>
      </x:c>
      <x:c r="L70" s="30" t="n">
        <x:f>IF(ISNUMBER(K70),COUNTIFS($K$6:$K$179,"&gt;"&amp;K70)+(COUNTIFS($K$6:$K$179,K70)+1)/2,"NA")</x:f>
        <x:v>88</x:v>
      </x:c>
      <x:c r="M70" s="30" t="n">
        <x:f>IF(COUNT('总览与权重'!$H$8:$K$8)=4,ROUND(100*SUMPRODUCT(E70:H70,'总览与权重'!$H$8:$K$8),12),"NA")</x:f>
        <x:v>40.121856620338</x:v>
      </x:c>
      <x:c r="N70" s="30" t="n">
        <x:f>IF(ISNUMBER(M70),COUNTIFS($M$6:$M$179,"&gt;"&amp;M70)+(COUNTIFS($M$6:$M$179,M70)+1)/2,"NA")</x:f>
        <x:v>62</x:v>
      </x:c>
      <x:c r="O70" s="30" t="n">
        <x:f>IF(COUNT('总览与权重'!$H$9:$K$9)=4,ROUND(100*SUMPRODUCT(E70:H70,'总览与权重'!$H$9:$K$9),12),"NA")</x:f>
        <x:v>35.911968720169</x:v>
      </x:c>
      <x:c r="P70" s="30" t="n">
        <x:f>IF(ISNUMBER(O70),COUNTIFS($O$6:$O$179,"&gt;"&amp;O70)+(COUNTIFS($O$6:$O$179,O70)+1)/2,"NA")</x:f>
        <x:v>68</x:v>
      </x:c>
      <x:c r="Q70" s="30" t="n">
        <x:f>IF(COUNT('总览与权重'!$H$10:$K$10)=4,ROUND(100*SUMPRODUCT(E70:H70,'总览与权重'!$H$10:$K$10),12),"NA")</x:f>
        <x:v>11.580457751762</x:v>
      </x:c>
      <x:c r="R70" s="30" t="n">
        <x:f>IF(ISNUMBER(Q70),COUNTIFS($Q$6:$Q$179,"&gt;"&amp;Q70)+(COUNTIFS($Q$6:$Q$179,Q70)+1)/2,"NA")</x:f>
        <x:v>95</x:v>
      </x:c>
      <x:c r="S70" s="31" t="n">
        <x:f>IF(OR(B70="s3",B70="s6"),COUNTIFS($B$6:$B$179,B70,$I$6:$I$179,"&gt;"&amp;I70)+(COUNTIFS($B$6:$B$179,B70,$I$6:$I$179,I70)+1)/2,"NA")</x:f>
        <x:v>61</x:v>
      </x:c>
      <x:c r="T70" s="26" t="str">
        <x:f>IF(COUNTIFS($I$6:$I$179,"&gt;"&amp;I70)&gt;=35,"非前20%",IF(COUNTIFS($I$6:$I$179,"&gt;="&amp;I70)&gt;=35,"边界同分","严格前20%"))</x:f>
        <x:v>非前20%</x:v>
      </x:c>
      <x:c r="U70" s="26" t="str">
        <x:f>IF(COUNTIFS($I$6:$I$179,"&lt;"&amp;I70)&gt;=35,"非后20%",IF(COUNTIFS($I$6:$I$179,"&lt;="&amp;I70)&gt;=35,"边界同分","严格后20%"))</x:f>
        <x:v>非后20%</x:v>
      </x:c>
      <x:c r="V70" s="26" t="n">
        <x:f>'基线调整'!I55</x:f>
        <x:v>64.6785979659</x:v>
      </x:c>
      <x:c r="W70" s="26" t="n">
        <x:f>'基线调整'!J55</x:f>
        <x:v>50</x:v>
      </x:c>
      <x:c r="X70" s="22" t="str">
        <x:v>["S0117"]</x:v>
      </x:c>
      <x:c r="Y70" s="22" t="str">
        <x:v>evidence/student_evidence.jsonl；student_key=2025秋:259896</x:v>
      </x:c>
      <x:c r="Z70" s="26" t="n">
        <x:f>IF(OR(B70="s3",B70="s6"),COUNTIFS($B$6:$B$179,B70,$K$6:$K$179,"&gt;"&amp;K70)+(COUNTIFS($B$6:$B$179,B70,$K$6:$K$179,K70)+1)/2,"NA")</x:f>
        <x:v>83</x:v>
      </x:c>
      <x:c r="AA70" s="26" t="n">
        <x:f>IF(OR(B70="s3",B70="s6"),COUNTIFS($B$6:$B$179,B70,$M$6:$M$179,"&gt;"&amp;M70)+(COUNTIFS($B$6:$B$179,B70,$M$6:$M$179,M70)+1)/2,"NA")</x:f>
        <x:v>58</x:v>
      </x:c>
      <x:c r="AB70" s="26" t="n">
        <x:f>IF(OR(B70="s3",B70="s6"),COUNTIFS($B$6:$B$179,B70,$O$6:$O$179,"&gt;"&amp;O70)+(COUNTIFS($B$6:$B$179,B70,$O$6:$O$179,O70)+1)/2,"NA")</x:f>
        <x:v>64</x:v>
      </x:c>
      <x:c r="AC70" s="26" t="n">
        <x:f>IF(OR(B70="s3",B70="s6"),COUNTIFS($B$6:$B$179,B70,$Q$6:$Q$179,"&gt;"&amp;Q70)+(COUNTIFS($B$6:$B$179,B70,$Q$6:$Q$179,Q70)+1)/2,"NA")</x:f>
        <x:v>88</x:v>
      </x:c>
    </x:row>
    <x:row r="71" ht="23" customHeight="1">
      <x:c r="A71" s="21" t="str">
        <x:v>2026春:268525</x:v>
      </x:c>
      <x:c r="B71" s="22" t="str">
        <x:v>s3</x:v>
      </x:c>
      <x:c r="C71" s="24" t="n">
        <x:v>1</x:v>
      </x:c>
      <x:c r="D71" s="24" t="n">
        <x:v>1</x:v>
      </x:c>
      <x:c r="E71" s="29" t="n">
        <x:f>'指标计算'!K178</x:f>
        <x:v>0.03946911401272456</x:v>
      </x:c>
      <x:c r="F71" s="29" t="n">
        <x:f>'指标计算'!L178</x:f>
        <x:v>0.4736293681526947</x:v>
      </x:c>
      <x:c r="G71" s="29" t="n">
        <x:f>'指标计算'!M178</x:f>
        <x:v>0.4736293681526947</x:v>
      </x:c>
      <x:c r="H71" s="29" t="n">
        <x:f>'指标计算'!N178</x:f>
        <x:v>0.5</x:v>
      </x:c>
      <x:c r="I71" s="30" t="n">
        <x:f>IF(COUNT('总览与权重'!$H$6:$K$6)=4,ROUND(100*SUMPRODUCT(E71:H71,'总览与权重'!$H$6:$K$6),12),"NA")</x:f>
        <x:v>35.12924814649</x:v>
      </x:c>
      <x:c r="J71" s="30" t="n">
        <x:f>IF(ISNUMBER(I71),COUNTIFS($I$6:$I$179,"&gt;"&amp;I71)+(COUNTIFS($I$6:$I$179,I71)+1)/2,"NA")</x:f>
        <x:v>66</x:v>
      </x:c>
      <x:c r="K71" s="30" t="n">
        <x:f>IF(COUNT('总览与权重'!$H$7:$K$7)=4,ROUND(100*SUMPRODUCT(E71:H71,'总览与权重'!$H$7:$K$7),12),"NA")</x:f>
        <x:v>39.207144369416</x:v>
      </x:c>
      <x:c r="L71" s="30" t="n">
        <x:f>IF(ISNUMBER(K71),COUNTIFS($K$6:$K$179,"&gt;"&amp;K71)+(COUNTIFS($K$6:$K$179,K71)+1)/2,"NA")</x:f>
        <x:v>53</x:v>
      </x:c>
      <x:c r="M71" s="30" t="n">
        <x:f>IF(COUNT('总览与权重'!$H$8:$K$8)=4,ROUND(100*SUMPRODUCT(E71:H71,'总览与权重'!$H$8:$K$8),12),"NA")</x:f>
        <x:v>37.431902576426</x:v>
      </x:c>
      <x:c r="N71" s="30" t="n">
        <x:f>IF(ISNUMBER(M71),COUNTIFS($M$6:$M$179,"&gt;"&amp;M71)+(COUNTIFS($M$6:$M$179,M71)+1)/2,"NA")</x:f>
        <x:v>71</x:v>
      </x:c>
      <x:c r="O71" s="30" t="n">
        <x:f>IF(COUNT('总览与权重'!$H$9:$K$9)=4,ROUND(100*SUMPRODUCT(E71:H71,'总览与权重'!$H$9:$K$9),12),"NA")</x:f>
        <x:v>38.006654285748</x:v>
      </x:c>
      <x:c r="P71" s="30" t="n">
        <x:f>IF(ISNUMBER(O71),COUNTIFS($O$6:$O$179,"&gt;"&amp;O71)+(COUNTIFS($O$6:$O$179,O71)+1)/2,"NA")</x:f>
        <x:v>58</x:v>
      </x:c>
      <x:c r="Q71" s="30" t="n">
        <x:f>IF(COUNT('总览与权重'!$H$10:$K$10)=4,ROUND(100*SUMPRODUCT(E71:H71,'总览与权重'!$H$10:$K$10),12),"NA")</x:f>
        <x:v>33.453288907429</x:v>
      </x:c>
      <x:c r="R71" s="30" t="n">
        <x:f>IF(ISNUMBER(Q71),COUNTIFS($Q$6:$Q$179,"&gt;"&amp;Q71)+(COUNTIFS($Q$6:$Q$179,Q71)+1)/2,"NA")</x:f>
        <x:v>19</x:v>
      </x:c>
      <x:c r="S71" s="31" t="n">
        <x:f>IF(OR(B71="s3",B71="s6"),COUNTIFS($B$6:$B$179,B71,$I$6:$I$179,"&gt;"&amp;I71)+(COUNTIFS($B$6:$B$179,B71,$I$6:$I$179,I71)+1)/2,"NA")</x:f>
        <x:v>62</x:v>
      </x:c>
      <x:c r="T71" s="26" t="str">
        <x:f>IF(COUNTIFS($I$6:$I$179,"&gt;"&amp;I71)&gt;=35,"非前20%",IF(COUNTIFS($I$6:$I$179,"&gt;="&amp;I71)&gt;=35,"边界同分","严格前20%"))</x:f>
        <x:v>非前20%</x:v>
      </x:c>
      <x:c r="U71" s="26" t="str">
        <x:f>IF(COUNTIFS($I$6:$I$179,"&lt;"&amp;I71)&gt;=35,"非后20%",IF(COUNTIFS($I$6:$I$179,"&lt;="&amp;I71)&gt;=35,"边界同分","严格后20%"))</x:f>
        <x:v>非后20%</x:v>
      </x:c>
      <x:c r="V71" s="26" t="n">
        <x:f>'基线调整'!I108</x:f>
        <x:v>57.949418549056</x:v>
      </x:c>
      <x:c r="W71" s="26" t="n">
        <x:f>'基线调整'!J108</x:f>
        <x:v>103</x:v>
      </x:c>
      <x:c r="X71" s="22" t="str">
        <x:v>["S1247"]</x:v>
      </x:c>
      <x:c r="Y71" s="22" t="str">
        <x:v>evidence/student_evidence.jsonl；student_key=2026春:268525</x:v>
      </x:c>
      <x:c r="Z71" s="26" t="n">
        <x:f>IF(OR(B71="s3",B71="s6"),COUNTIFS($B$6:$B$179,B71,$K$6:$K$179,"&gt;"&amp;K71)+(COUNTIFS($B$6:$B$179,B71,$K$6:$K$179,K71)+1)/2,"NA")</x:f>
        <x:v>50</x:v>
      </x:c>
      <x:c r="AA71" s="26" t="n">
        <x:f>IF(OR(B71="s3",B71="s6"),COUNTIFS($B$6:$B$179,B71,$M$6:$M$179,"&gt;"&amp;M71)+(COUNTIFS($B$6:$B$179,B71,$M$6:$M$179,M71)+1)/2,"NA")</x:f>
        <x:v>67</x:v>
      </x:c>
      <x:c r="AB71" s="26" t="n">
        <x:f>IF(OR(B71="s3",B71="s6"),COUNTIFS($B$6:$B$179,B71,$O$6:$O$179,"&gt;"&amp;O71)+(COUNTIFS($B$6:$B$179,B71,$O$6:$O$179,O71)+1)/2,"NA")</x:f>
        <x:v>54</x:v>
      </x:c>
      <x:c r="AC71" s="26" t="n">
        <x:f>IF(OR(B71="s3",B71="s6"),COUNTIFS($B$6:$B$179,B71,$Q$6:$Q$179,"&gt;"&amp;Q71)+(COUNTIFS($B$6:$B$179,B71,$Q$6:$Q$179,Q71)+1)/2,"NA")</x:f>
        <x:v>16</x:v>
      </x:c>
    </x:row>
    <x:row r="72" ht="23" customHeight="1">
      <x:c r="A72" s="21" t="str">
        <x:v>2025秋:258889</x:v>
      </x:c>
      <x:c r="B72" s="22" t="str">
        <x:v>s3</x:v>
      </x:c>
      <x:c r="C72" s="24" t="n">
        <x:v>1</x:v>
      </x:c>
      <x:c r="D72" s="24" t="n">
        <x:v>1</x:v>
      </x:c>
      <x:c r="E72" s="29" t="n">
        <x:f>'指标计算'!K31</x:f>
        <x:v>0.00993940647166454</x:v>
      </x:c>
      <x:c r="F72" s="29" t="n">
        <x:f>'指标计算'!L31</x:f>
        <x:v>0.11927287765997448</x:v>
      </x:c>
      <x:c r="G72" s="29" t="n">
        <x:f>'指标计算'!M31</x:f>
        <x:v>0.11927287765997448</x:v>
      </x:c>
      <x:c r="H72" s="29" t="n">
        <x:f>'指标计算'!N31</x:f>
        <x:v>1</x:v>
      </x:c>
      <x:c r="I72" s="30" t="n">
        <x:f>IF(COUNT('总览与权重'!$H$6:$K$6)=4,ROUND(100*SUMPRODUCT(E72:H72,'总览与权重'!$H$6:$K$6),12),"NA")</x:f>
        <x:v>35.069097300549</x:v>
      </x:c>
      <x:c r="J72" s="30" t="n">
        <x:f>IF(ISNUMBER(I72),COUNTIFS($I$6:$I$179,"&gt;"&amp;I72)+(COUNTIFS($I$6:$I$179,I72)+1)/2,"NA")</x:f>
        <x:v>67</x:v>
      </x:c>
      <x:c r="K72" s="30" t="n">
        <x:f>IF(COUNT('总览与权重'!$H$7:$K$7)=4,ROUND(100*SUMPRODUCT(E72:H72,'总览与权重'!$H$7:$K$7),12),"NA")</x:f>
        <x:v>27.355160789032</x:v>
      </x:c>
      <x:c r="L72" s="30" t="n">
        <x:f>IF(ISNUMBER(K72),COUNTIFS($K$6:$K$179,"&gt;"&amp;K72)+(COUNTIFS($K$6:$K$179,K72)+1)/2,"NA")</x:f>
        <x:v>89</x:v>
      </x:c>
      <x:c r="M72" s="30" t="n">
        <x:f>IF(COUNT('总览与权重'!$H$8:$K$8)=4,ROUND(100*SUMPRODUCT(E72:H72,'总览与权重'!$H$8:$K$8),12),"NA")</x:f>
        <x:v>40.019400268191</x:v>
      </x:c>
      <x:c r="N72" s="30" t="n">
        <x:f>IF(ISNUMBER(M72),COUNTIFS($M$6:$M$179,"&gt;"&amp;M72)+(COUNTIFS($M$6:$M$179,M72)+1)/2,"NA")</x:f>
        <x:v>63</x:v>
      </x:c>
      <x:c r="O72" s="30" t="n">
        <x:f>IF(COUNT('总览与权重'!$H$9:$K$9)=4,ROUND(100*SUMPRODUCT(E72:H72,'总览与权重'!$H$9:$K$9),12),"NA")</x:f>
        <x:v>35.793707161133</x:v>
      </x:c>
      <x:c r="P72" s="30" t="n">
        <x:f>IF(ISNUMBER(O72),COUNTIFS($O$6:$O$179,"&gt;"&amp;O72)+(COUNTIFS($O$6:$O$179,O72)+1)/2,"NA")</x:f>
        <x:v>69</x:v>
      </x:c>
      <x:c r="Q72" s="30" t="n">
        <x:f>IF(COUNT('总览与权重'!$H$10:$K$10)=4,ROUND(100*SUMPRODUCT(E72:H72,'总览与权重'!$H$10:$K$10),12),"NA")</x:f>
        <x:v>11.41729728784</x:v>
      </x:c>
      <x:c r="R72" s="30" t="n">
        <x:f>IF(ISNUMBER(Q72),COUNTIFS($Q$6:$Q$179,"&gt;"&amp;Q72)+(COUNTIFS($Q$6:$Q$179,Q72)+1)/2,"NA")</x:f>
        <x:v>96</x:v>
      </x:c>
      <x:c r="S72" s="31" t="n">
        <x:f>IF(OR(B72="s3",B72="s6"),COUNTIFS($B$6:$B$179,B72,$I$6:$I$179,"&gt;"&amp;I72)+(COUNTIFS($B$6:$B$179,B72,$I$6:$I$179,I72)+1)/2,"NA")</x:f>
        <x:v>63</x:v>
      </x:c>
      <x:c r="T72" s="26" t="str">
        <x:f>IF(COUNTIFS($I$6:$I$179,"&gt;"&amp;I72)&gt;=35,"非前20%",IF(COUNTIFS($I$6:$I$179,"&gt;="&amp;I72)&gt;=35,"边界同分","严格前20%"))</x:f>
        <x:v>非前20%</x:v>
      </x:c>
      <x:c r="U72" s="26" t="str">
        <x:f>IF(COUNTIFS($I$6:$I$179,"&lt;"&amp;I72)&gt;=35,"非后20%",IF(COUNTIFS($I$6:$I$179,"&lt;="&amp;I72)&gt;=35,"边界同分","严格后20%"))</x:f>
        <x:v>非后20%</x:v>
      </x:c>
      <x:c r="V72" s="26" t="n">
        <x:f>'基线调整'!I56</x:f>
        <x:v>64.627465206708</x:v>
      </x:c>
      <x:c r="W72" s="26" t="n">
        <x:f>'基线调整'!J56</x:f>
        <x:v>51</x:v>
      </x:c>
      <x:c r="X72" s="22" t="str">
        <x:v>["S0040"]</x:v>
      </x:c>
      <x:c r="Y72" s="22" t="str">
        <x:v>evidence/student_evidence.jsonl；student_key=2025秋:258889</x:v>
      </x:c>
      <x:c r="Z72" s="26" t="n">
        <x:f>IF(OR(B72="s3",B72="s6"),COUNTIFS($B$6:$B$179,B72,$K$6:$K$179,"&gt;"&amp;K72)+(COUNTIFS($B$6:$B$179,B72,$K$6:$K$179,K72)+1)/2,"NA")</x:f>
        <x:v>84</x:v>
      </x:c>
      <x:c r="AA72" s="26" t="n">
        <x:f>IF(OR(B72="s3",B72="s6"),COUNTIFS($B$6:$B$179,B72,$M$6:$M$179,"&gt;"&amp;M72)+(COUNTIFS($B$6:$B$179,B72,$M$6:$M$179,M72)+1)/2,"NA")</x:f>
        <x:v>59</x:v>
      </x:c>
      <x:c r="AB72" s="26" t="n">
        <x:f>IF(OR(B72="s3",B72="s6"),COUNTIFS($B$6:$B$179,B72,$O$6:$O$179,"&gt;"&amp;O72)+(COUNTIFS($B$6:$B$179,B72,$O$6:$O$179,O72)+1)/2,"NA")</x:f>
        <x:v>65</x:v>
      </x:c>
      <x:c r="AC72" s="26" t="n">
        <x:f>IF(OR(B72="s3",B72="s6"),COUNTIFS($B$6:$B$179,B72,$Q$6:$Q$179,"&gt;"&amp;Q72)+(COUNTIFS($B$6:$B$179,B72,$Q$6:$Q$179,Q72)+1)/2,"NA")</x:f>
        <x:v>89</x:v>
      </x:c>
    </x:row>
    <x:row r="73" ht="23" customHeight="1">
      <x:c r="A73" s="21" t="str">
        <x:v>2025秋:258942</x:v>
      </x:c>
      <x:c r="B73" s="22" t="str">
        <x:v>s3</x:v>
      </x:c>
      <x:c r="C73" s="24" t="n">
        <x:v>1</x:v>
      </x:c>
      <x:c r="D73" s="24" t="n">
        <x:v>1</x:v>
      </x:c>
      <x:c r="E73" s="29" t="n">
        <x:f>'指标计算'!K50</x:f>
        <x:v>0.00952175357827552</x:v>
      </x:c>
      <x:c r="F73" s="29" t="n">
        <x:f>'指标计算'!L50</x:f>
        <x:v>0.11426104293930624</x:v>
      </x:c>
      <x:c r="G73" s="29" t="n">
        <x:f>'指标计算'!M50</x:f>
        <x:v>0.11426104293930624</x:v>
      </x:c>
      <x:c r="H73" s="29" t="n">
        <x:f>'指标计算'!N50</x:f>
        <x:v>1</x:v>
      </x:c>
      <x:c r="I73" s="30" t="n">
        <x:f>IF(COUNT('总览与权重'!$H$6:$K$6)=4,ROUND(100*SUMPRODUCT(E73:H73,'总览与权重'!$H$6:$K$6),12),"NA")</x:f>
        <x:v>34.856094324921</x:v>
      </x:c>
      <x:c r="J73" s="30" t="n">
        <x:f>IF(ISNUMBER(I73),COUNTIFS($I$6:$I$179,"&gt;"&amp;I73)+(COUNTIFS($I$6:$I$179,I73)+1)/2,"NA")</x:f>
        <x:v>68.5</x:v>
      </x:c>
      <x:c r="K73" s="30" t="n">
        <x:f>IF(COUNT('总览与权重'!$H$7:$K$7)=4,ROUND(100*SUMPRODUCT(E73:H73,'总览与权重'!$H$7:$K$7),12),"NA")</x:f>
        <x:v>27.046097647924</x:v>
      </x:c>
      <x:c r="L73" s="30" t="n">
        <x:f>IF(ISNUMBER(K73),COUNTIFS($K$6:$K$179,"&gt;"&amp;K73)+(COUNTIFS($K$6:$K$179,K73)+1)/2,"NA")</x:f>
        <x:v>91.5</x:v>
      </x:c>
      <x:c r="M73" s="30" t="n">
        <x:f>IF(COUNT('总览与权重'!$H$8:$K$8)=4,ROUND(100*SUMPRODUCT(E73:H73,'总览与权重'!$H$8:$K$8),12),"NA")</x:f>
        <x:v>39.808485557029</x:v>
      </x:c>
      <x:c r="N73" s="30" t="n">
        <x:f>IF(ISNUMBER(M73),COUNTIFS($M$6:$M$179,"&gt;"&amp;M73)+(COUNTIFS($M$6:$M$179,M73)+1)/2,"NA")</x:f>
        <x:v>64.5</x:v>
      </x:c>
      <x:c r="O73" s="30" t="n">
        <x:f>IF(COUNT('总览与权重'!$H$9:$K$9)=4,ROUND(100*SUMPRODUCT(E73:H73,'总览与权重'!$H$9:$K$9),12),"NA")</x:f>
        <x:v>35.550256149627</x:v>
      </x:c>
      <x:c r="P73" s="30" t="n">
        <x:f>IF(ISNUMBER(O73),COUNTIFS($O$6:$O$179,"&gt;"&amp;O73)+(COUNTIFS($O$6:$O$179,O73)+1)/2,"NA")</x:f>
        <x:v>70.5</x:v>
      </x:c>
      <x:c r="Q73" s="30" t="n">
        <x:f>IF(COUNT('总览与权重'!$H$10:$K$10)=4,ROUND(100*SUMPRODUCT(E73:H73,'总览与权重'!$H$10:$K$10),12),"NA")</x:f>
        <x:v>11.08141823886</x:v>
      </x:c>
      <x:c r="R73" s="30" t="n">
        <x:f>IF(ISNUMBER(Q73),COUNTIFS($Q$6:$Q$179,"&gt;"&amp;Q73)+(COUNTIFS($Q$6:$Q$179,Q73)+1)/2,"NA")</x:f>
        <x:v>98.5</x:v>
      </x:c>
      <x:c r="S73" s="31" t="n">
        <x:f>IF(OR(B73="s3",B73="s6"),COUNTIFS($B$6:$B$179,B73,$I$6:$I$179,"&gt;"&amp;I73)+(COUNTIFS($B$6:$B$179,B73,$I$6:$I$179,I73)+1)/2,"NA")</x:f>
        <x:v>64.5</x:v>
      </x:c>
      <x:c r="T73" s="26" t="str">
        <x:f>IF(COUNTIFS($I$6:$I$179,"&gt;"&amp;I73)&gt;=35,"非前20%",IF(COUNTIFS($I$6:$I$179,"&gt;="&amp;I73)&gt;=35,"边界同分","严格前20%"))</x:f>
        <x:v>非前20%</x:v>
      </x:c>
      <x:c r="U73" s="26" t="str">
        <x:f>IF(COUNTIFS($I$6:$I$179,"&lt;"&amp;I73)&gt;=35,"非后20%",IF(COUNTIFS($I$6:$I$179,"&lt;="&amp;I73)&gt;=35,"边界同分","严格后20%"))</x:f>
        <x:v>非后20%</x:v>
      </x:c>
      <x:c r="V73" s="26" t="n">
        <x:f>'基线调整'!I57</x:f>
        <x:v>64.520361092348</x:v>
      </x:c>
      <x:c r="W73" s="26" t="n">
        <x:f>'基线调整'!J57</x:f>
        <x:v>52.5</x:v>
      </x:c>
      <x:c r="X73" s="22" t="str">
        <x:v>["S0158"]</x:v>
      </x:c>
      <x:c r="Y73" s="22" t="str">
        <x:v>evidence/student_evidence.jsonl；student_key=2025秋:258942</x:v>
      </x:c>
      <x:c r="Z73" s="26" t="n">
        <x:f>IF(OR(B73="s3",B73="s6"),COUNTIFS($B$6:$B$179,B73,$K$6:$K$179,"&gt;"&amp;K73)+(COUNTIFS($B$6:$B$179,B73,$K$6:$K$179,K73)+1)/2,"NA")</x:f>
        <x:v>86.5</x:v>
      </x:c>
      <x:c r="AA73" s="26" t="n">
        <x:f>IF(OR(B73="s3",B73="s6"),COUNTIFS($B$6:$B$179,B73,$M$6:$M$179,"&gt;"&amp;M73)+(COUNTIFS($B$6:$B$179,B73,$M$6:$M$179,M73)+1)/2,"NA")</x:f>
        <x:v>60.5</x:v>
      </x:c>
      <x:c r="AB73" s="26" t="n">
        <x:f>IF(OR(B73="s3",B73="s6"),COUNTIFS($B$6:$B$179,B73,$O$6:$O$179,"&gt;"&amp;O73)+(COUNTIFS($B$6:$B$179,B73,$O$6:$O$179,O73)+1)/2,"NA")</x:f>
        <x:v>66.5</x:v>
      </x:c>
      <x:c r="AC73" s="26" t="n">
        <x:f>IF(OR(B73="s3",B73="s6"),COUNTIFS($B$6:$B$179,B73,$Q$6:$Q$179,"&gt;"&amp;Q73)+(COUNTIFS($B$6:$B$179,B73,$Q$6:$Q$179,Q73)+1)/2,"NA")</x:f>
        <x:v>91.5</x:v>
      </x:c>
    </x:row>
    <x:row r="74" ht="23" customHeight="1">
      <x:c r="A74" s="21" t="str">
        <x:v>2025秋:258959</x:v>
      </x:c>
      <x:c r="B74" s="22" t="str">
        <x:v>s3</x:v>
      </x:c>
      <x:c r="C74" s="24" t="n">
        <x:v>1</x:v>
      </x:c>
      <x:c r="D74" s="24" t="n">
        <x:v>1</x:v>
      </x:c>
      <x:c r="E74" s="29" t="n">
        <x:f>'指标计算'!K55</x:f>
        <x:v>0.00952175357827552</x:v>
      </x:c>
      <x:c r="F74" s="29" t="n">
        <x:f>'指标计算'!L55</x:f>
        <x:v>0.11426104293930624</x:v>
      </x:c>
      <x:c r="G74" s="29" t="n">
        <x:f>'指标计算'!M55</x:f>
        <x:v>0.11426104293930624</x:v>
      </x:c>
      <x:c r="H74" s="29" t="n">
        <x:f>'指标计算'!N55</x:f>
        <x:v>1</x:v>
      </x:c>
      <x:c r="I74" s="30" t="n">
        <x:f>IF(COUNT('总览与权重'!$H$6:$K$6)=4,ROUND(100*SUMPRODUCT(E74:H74,'总览与权重'!$H$6:$K$6),12),"NA")</x:f>
        <x:v>34.856094324921</x:v>
      </x:c>
      <x:c r="J74" s="30" t="n">
        <x:f>IF(ISNUMBER(I74),COUNTIFS($I$6:$I$179,"&gt;"&amp;I74)+(COUNTIFS($I$6:$I$179,I74)+1)/2,"NA")</x:f>
        <x:v>68.5</x:v>
      </x:c>
      <x:c r="K74" s="30" t="n">
        <x:f>IF(COUNT('总览与权重'!$H$7:$K$7)=4,ROUND(100*SUMPRODUCT(E74:H74,'总览与权重'!$H$7:$K$7),12),"NA")</x:f>
        <x:v>27.046097647924</x:v>
      </x:c>
      <x:c r="L74" s="30" t="n">
        <x:f>IF(ISNUMBER(K74),COUNTIFS($K$6:$K$179,"&gt;"&amp;K74)+(COUNTIFS($K$6:$K$179,K74)+1)/2,"NA")</x:f>
        <x:v>91.5</x:v>
      </x:c>
      <x:c r="M74" s="30" t="n">
        <x:f>IF(COUNT('总览与权重'!$H$8:$K$8)=4,ROUND(100*SUMPRODUCT(E74:H74,'总览与权重'!$H$8:$K$8),12),"NA")</x:f>
        <x:v>39.808485557029</x:v>
      </x:c>
      <x:c r="N74" s="30" t="n">
        <x:f>IF(ISNUMBER(M74),COUNTIFS($M$6:$M$179,"&gt;"&amp;M74)+(COUNTIFS($M$6:$M$179,M74)+1)/2,"NA")</x:f>
        <x:v>64.5</x:v>
      </x:c>
      <x:c r="O74" s="30" t="n">
        <x:f>IF(COUNT('总览与权重'!$H$9:$K$9)=4,ROUND(100*SUMPRODUCT(E74:H74,'总览与权重'!$H$9:$K$9),12),"NA")</x:f>
        <x:v>35.550256149627</x:v>
      </x:c>
      <x:c r="P74" s="30" t="n">
        <x:f>IF(ISNUMBER(O74),COUNTIFS($O$6:$O$179,"&gt;"&amp;O74)+(COUNTIFS($O$6:$O$179,O74)+1)/2,"NA")</x:f>
        <x:v>70.5</x:v>
      </x:c>
      <x:c r="Q74" s="30" t="n">
        <x:f>IF(COUNT('总览与权重'!$H$10:$K$10)=4,ROUND(100*SUMPRODUCT(E74:H74,'总览与权重'!$H$10:$K$10),12),"NA")</x:f>
        <x:v>11.08141823886</x:v>
      </x:c>
      <x:c r="R74" s="30" t="n">
        <x:f>IF(ISNUMBER(Q74),COUNTIFS($Q$6:$Q$179,"&gt;"&amp;Q74)+(COUNTIFS($Q$6:$Q$179,Q74)+1)/2,"NA")</x:f>
        <x:v>98.5</x:v>
      </x:c>
      <x:c r="S74" s="31" t="n">
        <x:f>IF(OR(B74="s3",B74="s6"),COUNTIFS($B$6:$B$179,B74,$I$6:$I$179,"&gt;"&amp;I74)+(COUNTIFS($B$6:$B$179,B74,$I$6:$I$179,I74)+1)/2,"NA")</x:f>
        <x:v>64.5</x:v>
      </x:c>
      <x:c r="T74" s="26" t="str">
        <x:f>IF(COUNTIFS($I$6:$I$179,"&gt;"&amp;I74)&gt;=35,"非前20%",IF(COUNTIFS($I$6:$I$179,"&gt;="&amp;I74)&gt;=35,"边界同分","严格前20%"))</x:f>
        <x:v>非前20%</x:v>
      </x:c>
      <x:c r="U74" s="26" t="str">
        <x:f>IF(COUNTIFS($I$6:$I$179,"&lt;"&amp;I74)&gt;=35,"非后20%",IF(COUNTIFS($I$6:$I$179,"&lt;="&amp;I74)&gt;=35,"边界同分","严格后20%"))</x:f>
        <x:v>非后20%</x:v>
      </x:c>
      <x:c r="V74" s="26" t="n">
        <x:f>'基线调整'!I58</x:f>
        <x:v>64.520361092348</x:v>
      </x:c>
      <x:c r="W74" s="26" t="n">
        <x:f>'基线调整'!J58</x:f>
        <x:v>52.5</x:v>
      </x:c>
      <x:c r="X74" s="22" t="str">
        <x:v>["S0018"]</x:v>
      </x:c>
      <x:c r="Y74" s="22" t="str">
        <x:v>evidence/student_evidence.jsonl；student_key=2025秋:258959</x:v>
      </x:c>
      <x:c r="Z74" s="26" t="n">
        <x:f>IF(OR(B74="s3",B74="s6"),COUNTIFS($B$6:$B$179,B74,$K$6:$K$179,"&gt;"&amp;K74)+(COUNTIFS($B$6:$B$179,B74,$K$6:$K$179,K74)+1)/2,"NA")</x:f>
        <x:v>86.5</x:v>
      </x:c>
      <x:c r="AA74" s="26" t="n">
        <x:f>IF(OR(B74="s3",B74="s6"),COUNTIFS($B$6:$B$179,B74,$M$6:$M$179,"&gt;"&amp;M74)+(COUNTIFS($B$6:$B$179,B74,$M$6:$M$179,M74)+1)/2,"NA")</x:f>
        <x:v>60.5</x:v>
      </x:c>
      <x:c r="AB74" s="26" t="n">
        <x:f>IF(OR(B74="s3",B74="s6"),COUNTIFS($B$6:$B$179,B74,$O$6:$O$179,"&gt;"&amp;O74)+(COUNTIFS($B$6:$B$179,B74,$O$6:$O$179,O74)+1)/2,"NA")</x:f>
        <x:v>66.5</x:v>
      </x:c>
      <x:c r="AC74" s="26" t="n">
        <x:f>IF(OR(B74="s3",B74="s6"),COUNTIFS($B$6:$B$179,B74,$Q$6:$Q$179,"&gt;"&amp;Q74)+(COUNTIFS($B$6:$B$179,B74,$Q$6:$Q$179,Q74)+1)/2,"NA")</x:f>
        <x:v>91.5</x:v>
      </x:c>
    </x:row>
    <x:row r="75" ht="23" customHeight="1">
      <x:c r="A75" s="21" t="str">
        <x:v>2026春:25A071</x:v>
      </x:c>
      <x:c r="B75" s="22" t="str">
        <x:v>s3</x:v>
      </x:c>
      <x:c r="C75" s="24" t="n">
        <x:v>1</x:v>
      </x:c>
      <x:c r="D75" s="24" t="n">
        <x:v>1</x:v>
      </x:c>
      <x:c r="E75" s="29" t="n">
        <x:f>'指标计算'!K148</x:f>
        <x:v>0.0385855780777672</x:v>
      </x:c>
      <x:c r="F75" s="29" t="n">
        <x:f>'指标计算'!L148</x:f>
        <x:v>0.4630269369332064</x:v>
      </x:c>
      <x:c r="G75" s="29" t="n">
        <x:f>'指标计算'!M148</x:f>
        <x:v>0.4630269369332064</x:v>
      </x:c>
      <x:c r="H75" s="29" t="n">
        <x:f>'指标计算'!N148</x:f>
        <x:v>0.5</x:v>
      </x:c>
      <x:c r="I75" s="30" t="n">
        <x:f>IF(COUNT('总览与权重'!$H$6:$K$6)=4,ROUND(100*SUMPRODUCT(E75:H75,'总览与权重'!$H$6:$K$6),12),"NA")</x:f>
        <x:v>34.678644819661</x:v>
      </x:c>
      <x:c r="J75" s="30" t="n">
        <x:f>IF(ISNUMBER(I75),COUNTIFS($I$6:$I$179,"&gt;"&amp;I75)+(COUNTIFS($I$6:$I$179,I75)+1)/2,"NA")</x:f>
        <x:v>70</x:v>
      </x:c>
      <x:c r="K75" s="30" t="n">
        <x:f>IF(COUNT('总览与权重'!$H$7:$K$7)=4,ROUND(100*SUMPRODUCT(E75:H75,'总览与权重'!$H$7:$K$7),12),"NA")</x:f>
        <x:v>38.553327777548</x:v>
      </x:c>
      <x:c r="L75" s="30" t="n">
        <x:f>IF(ISNUMBER(K75),COUNTIFS($K$6:$K$179,"&gt;"&amp;K75)+(COUNTIFS($K$6:$K$179,K75)+1)/2,"NA")</x:f>
        <x:v>54</x:v>
      </x:c>
      <x:c r="M75" s="30" t="n">
        <x:f>IF(COUNT('总览与权重'!$H$8:$K$8)=4,ROUND(100*SUMPRODUCT(E75:H75,'总览与权重'!$H$8:$K$8),12),"NA")</x:f>
        <x:v>36.985716929272</x:v>
      </x:c>
      <x:c r="N75" s="30" t="n">
        <x:f>IF(ISNUMBER(M75),COUNTIFS($M$6:$M$179,"&gt;"&amp;M75)+(COUNTIFS($M$6:$M$179,M75)+1)/2,"NA")</x:f>
        <x:v>72</x:v>
      </x:c>
      <x:c r="O75" s="30" t="n">
        <x:f>IF(COUNT('总览与权重'!$H$9:$K$9)=4,ROUND(100*SUMPRODUCT(E75:H75,'总览与权重'!$H$9:$K$9),12),"NA")</x:f>
        <x:v>37.491638777722</x:v>
      </x:c>
      <x:c r="P75" s="30" t="n">
        <x:f>IF(ISNUMBER(O75),COUNTIFS($O$6:$O$179,"&gt;"&amp;O75)+(COUNTIFS($O$6:$O$179,O75)+1)/2,"NA")</x:f>
        <x:v>62</x:v>
      </x:c>
      <x:c r="Q75" s="30" t="n">
        <x:f>IF(COUNT('总览与权重'!$H$10:$K$10)=4,ROUND(100*SUMPRODUCT(E75:H75,'总览与权重'!$H$10:$K$10),12),"NA")</x:f>
        <x:v>32.742743824969</x:v>
      </x:c>
      <x:c r="R75" s="30" t="n">
        <x:f>IF(ISNUMBER(Q75),COUNTIFS($Q$6:$Q$179,"&gt;"&amp;Q75)+(COUNTIFS($Q$6:$Q$179,Q75)+1)/2,"NA")</x:f>
        <x:v>20</x:v>
      </x:c>
      <x:c r="S75" s="31" t="n">
        <x:f>IF(OR(B75="s3",B75="s6"),COUNTIFS($B$6:$B$179,B75,$I$6:$I$179,"&gt;"&amp;I75)+(COUNTIFS($B$6:$B$179,B75,$I$6:$I$179,I75)+1)/2,"NA")</x:f>
        <x:v>66</x:v>
      </x:c>
      <x:c r="T75" s="26" t="str">
        <x:f>IF(COUNTIFS($I$6:$I$179,"&gt;"&amp;I75)&gt;=35,"非前20%",IF(COUNTIFS($I$6:$I$179,"&gt;="&amp;I75)&gt;=35,"边界同分","严格前20%"))</x:f>
        <x:v>非前20%</x:v>
      </x:c>
      <x:c r="U75" s="26" t="str">
        <x:f>IF(COUNTIFS($I$6:$I$179,"&lt;"&amp;I75)&gt;=35,"非后20%",IF(COUNTIFS($I$6:$I$179,"&lt;="&amp;I75)&gt;=35,"边界同分","严格后20%"))</x:f>
        <x:v>非后20%</x:v>
      </x:c>
      <x:c r="V75" s="26" t="n">
        <x:f>'基线调整'!I110</x:f>
        <x:v>57.726767493447</x:v>
      </x:c>
      <x:c r="W75" s="26" t="n">
        <x:f>'基线调整'!J110</x:f>
        <x:v>105</x:v>
      </x:c>
      <x:c r="X75" s="22" t="str">
        <x:v>["S0868"]</x:v>
      </x:c>
      <x:c r="Y75" s="22" t="str">
        <x:v>evidence/student_evidence.jsonl；student_key=2026春:25A071</x:v>
      </x:c>
      <x:c r="Z75" s="26" t="n">
        <x:f>IF(OR(B75="s3",B75="s6"),COUNTIFS($B$6:$B$179,B75,$K$6:$K$179,"&gt;"&amp;K75)+(COUNTIFS($B$6:$B$179,B75,$K$6:$K$179,K75)+1)/2,"NA")</x:f>
        <x:v>51</x:v>
      </x:c>
      <x:c r="AA75" s="26" t="n">
        <x:f>IF(OR(B75="s3",B75="s6"),COUNTIFS($B$6:$B$179,B75,$M$6:$M$179,"&gt;"&amp;M75)+(COUNTIFS($B$6:$B$179,B75,$M$6:$M$179,M75)+1)/2,"NA")</x:f>
        <x:v>68</x:v>
      </x:c>
      <x:c r="AB75" s="26" t="n">
        <x:f>IF(OR(B75="s3",B75="s6"),COUNTIFS($B$6:$B$179,B75,$O$6:$O$179,"&gt;"&amp;O75)+(COUNTIFS($B$6:$B$179,B75,$O$6:$O$179,O75)+1)/2,"NA")</x:f>
        <x:v>58</x:v>
      </x:c>
      <x:c r="AC75" s="26" t="n">
        <x:f>IF(OR(B75="s3",B75="s6"),COUNTIFS($B$6:$B$179,B75,$Q$6:$Q$179,"&gt;"&amp;Q75)+(COUNTIFS($B$6:$B$179,B75,$Q$6:$Q$179,Q75)+1)/2,"NA")</x:f>
        <x:v>17</x:v>
      </x:c>
    </x:row>
    <x:row r="76" ht="23" customHeight="1">
      <x:c r="A76" s="21" t="str">
        <x:v>2025秋:258540</x:v>
      </x:c>
      <x:c r="B76" s="22" t="str">
        <x:v>s3</x:v>
      </x:c>
      <x:c r="C76" s="24" t="n">
        <x:v>1</x:v>
      </x:c>
      <x:c r="D76" s="24" t="n">
        <x:v>1</x:v>
      </x:c>
      <x:c r="E76" s="29" t="n">
        <x:f>'指标计算'!K21</x:f>
        <x:v>0.008934609955481095</x:v>
      </x:c>
      <x:c r="F76" s="29" t="n">
        <x:f>'指标计算'!L21</x:f>
        <x:v>0.10721531946577315</x:v>
      </x:c>
      <x:c r="G76" s="29" t="n">
        <x:f>'指标计算'!M21</x:f>
        <x:v>0.10721531946577315</x:v>
      </x:c>
      <x:c r="H76" s="29" t="n">
        <x:f>'指标计算'!N21</x:f>
        <x:v>1</x:v>
      </x:c>
      <x:c r="I76" s="30" t="n">
        <x:f>IF(COUNT('总览与权重'!$H$6:$K$6)=4,ROUND(100*SUMPRODUCT(E76:H76,'总览与权重'!$H$6:$K$6),12),"NA")</x:f>
        <x:v>34.556651077295</x:v>
      </x:c>
      <x:c r="J76" s="30" t="n">
        <x:f>IF(ISNUMBER(I76),COUNTIFS($I$6:$I$179,"&gt;"&amp;I76)+(COUNTIFS($I$6:$I$179,I76)+1)/2,"NA")</x:f>
        <x:v>71.5</x:v>
      </x:c>
      <x:c r="K76" s="30" t="n">
        <x:f>IF(COUNT('总览与权重'!$H$7:$K$7)=4,ROUND(100*SUMPRODUCT(E76:H76,'总览与权重'!$H$7:$K$7),12),"NA")</x:f>
        <x:v>26.611611367056</x:v>
      </x:c>
      <x:c r="L76" s="30" t="n">
        <x:f>IF(ISNUMBER(K76),COUNTIFS($K$6:$K$179,"&gt;"&amp;K76)+(COUNTIFS($K$6:$K$179,K76)+1)/2,"NA")</x:f>
        <x:v>93.5</x:v>
      </x:c>
      <x:c r="M76" s="30" t="n">
        <x:f>IF(COUNT('总览与权重'!$H$8:$K$8)=4,ROUND(100*SUMPRODUCT(E76:H76,'总览与权重'!$H$8:$K$8),12),"NA")</x:f>
        <x:v>39.511978027518</x:v>
      </x:c>
      <x:c r="N76" s="30" t="n">
        <x:f>IF(ISNUMBER(M76),COUNTIFS($M$6:$M$179,"&gt;"&amp;M76)+(COUNTIFS($M$6:$M$179,M76)+1)/2,"NA")</x:f>
        <x:v>66.5</x:v>
      </x:c>
      <x:c r="O76" s="30" t="n">
        <x:f>IF(COUNT('总览与权重'!$H$9:$K$9)=4,ROUND(100*SUMPRODUCT(E76:H76,'总览与权重'!$H$9:$K$9),12),"NA")</x:f>
        <x:v>35.20800852934</x:v>
      </x:c>
      <x:c r="P76" s="30" t="n">
        <x:f>IF(ISNUMBER(O76),COUNTIFS($O$6:$O$179,"&gt;"&amp;O76)+(COUNTIFS($O$6:$O$179,O76)+1)/2,"NA")</x:f>
        <x:v>72.5</x:v>
      </x:c>
      <x:c r="Q76" s="30" t="n">
        <x:f>IF(COUNT('总览与权重'!$H$10:$K$10)=4,ROUND(100*SUMPRODUCT(E76:H76,'总览与权重'!$H$10:$K$10),12),"NA")</x:f>
        <x:v>10.609233693368</x:v>
      </x:c>
      <x:c r="R76" s="30" t="n">
        <x:f>IF(ISNUMBER(Q76),COUNTIFS($Q$6:$Q$179,"&gt;"&amp;Q76)+(COUNTIFS($Q$6:$Q$179,Q76)+1)/2,"NA")</x:f>
        <x:v>101.5</x:v>
      </x:c>
      <x:c r="S76" s="31" t="n">
        <x:f>IF(OR(B76="s3",B76="s6"),COUNTIFS($B$6:$B$179,B76,$I$6:$I$179,"&gt;"&amp;I76)+(COUNTIFS($B$6:$B$179,B76,$I$6:$I$179,I76)+1)/2,"NA")</x:f>
        <x:v>67.5</x:v>
      </x:c>
      <x:c r="T76" s="26" t="str">
        <x:f>IF(COUNTIFS($I$6:$I$179,"&gt;"&amp;I76)&gt;=35,"非前20%",IF(COUNTIFS($I$6:$I$179,"&gt;="&amp;I76)&gt;=35,"边界同分","严格前20%"))</x:f>
        <x:v>非前20%</x:v>
      </x:c>
      <x:c r="U76" s="26" t="str">
        <x:f>IF(COUNTIFS($I$6:$I$179,"&lt;"&amp;I76)&gt;=35,"非后20%",IF(COUNTIFS($I$6:$I$179,"&lt;="&amp;I76)&gt;=35,"边界同分","严格后20%"))</x:f>
        <x:v>非后20%</x:v>
      </x:c>
      <x:c r="V76" s="26" t="n">
        <x:f>'基线调整'!I59</x:f>
        <x:v>64.370639468535</x:v>
      </x:c>
      <x:c r="W76" s="26" t="n">
        <x:f>'基线调整'!J59</x:f>
        <x:v>54.5</x:v>
      </x:c>
      <x:c r="X76" s="22" t="str">
        <x:v>["S0042"]</x:v>
      </x:c>
      <x:c r="Y76" s="22" t="str">
        <x:v>evidence/student_evidence.jsonl；student_key=2025秋:258540</x:v>
      </x:c>
      <x:c r="Z76" s="26" t="n">
        <x:f>IF(OR(B76="s3",B76="s6"),COUNTIFS($B$6:$B$179,B76,$K$6:$K$179,"&gt;"&amp;K76)+(COUNTIFS($B$6:$B$179,B76,$K$6:$K$179,K76)+1)/2,"NA")</x:f>
        <x:v>88.5</x:v>
      </x:c>
      <x:c r="AA76" s="26" t="n">
        <x:f>IF(OR(B76="s3",B76="s6"),COUNTIFS($B$6:$B$179,B76,$M$6:$M$179,"&gt;"&amp;M76)+(COUNTIFS($B$6:$B$179,B76,$M$6:$M$179,M76)+1)/2,"NA")</x:f>
        <x:v>62.5</x:v>
      </x:c>
      <x:c r="AB76" s="26" t="n">
        <x:f>IF(OR(B76="s3",B76="s6"),COUNTIFS($B$6:$B$179,B76,$O$6:$O$179,"&gt;"&amp;O76)+(COUNTIFS($B$6:$B$179,B76,$O$6:$O$179,O76)+1)/2,"NA")</x:f>
        <x:v>68.5</x:v>
      </x:c>
      <x:c r="AC76" s="26" t="n">
        <x:f>IF(OR(B76="s3",B76="s6"),COUNTIFS($B$6:$B$179,B76,$Q$6:$Q$179,"&gt;"&amp;Q76)+(COUNTIFS($B$6:$B$179,B76,$Q$6:$Q$179,Q76)+1)/2,"NA")</x:f>
        <x:v>94.5</x:v>
      </x:c>
    </x:row>
    <x:row r="77" ht="23" customHeight="1">
      <x:c r="A77" s="21" t="str">
        <x:v>2025秋:258951</x:v>
      </x:c>
      <x:c r="B77" s="22" t="str">
        <x:v>s3</x:v>
      </x:c>
      <x:c r="C77" s="24" t="n">
        <x:v>1</x:v>
      </x:c>
      <x:c r="D77" s="24" t="n">
        <x:v>1</x:v>
      </x:c>
      <x:c r="E77" s="29" t="n">
        <x:f>'指标计算'!K52</x:f>
        <x:v>0.008934609955481095</x:v>
      </x:c>
      <x:c r="F77" s="29" t="n">
        <x:f>'指标计算'!L52</x:f>
        <x:v>0.10721531946577315</x:v>
      </x:c>
      <x:c r="G77" s="29" t="n">
        <x:f>'指标计算'!M52</x:f>
        <x:v>0.10721531946577315</x:v>
      </x:c>
      <x:c r="H77" s="29" t="n">
        <x:f>'指标计算'!N52</x:f>
        <x:v>1</x:v>
      </x:c>
      <x:c r="I77" s="30" t="n">
        <x:f>IF(COUNT('总览与权重'!$H$6:$K$6)=4,ROUND(100*SUMPRODUCT(E77:H77,'总览与权重'!$H$6:$K$6),12),"NA")</x:f>
        <x:v>34.556651077295</x:v>
      </x:c>
      <x:c r="J77" s="30" t="n">
        <x:f>IF(ISNUMBER(I77),COUNTIFS($I$6:$I$179,"&gt;"&amp;I77)+(COUNTIFS($I$6:$I$179,I77)+1)/2,"NA")</x:f>
        <x:v>71.5</x:v>
      </x:c>
      <x:c r="K77" s="30" t="n">
        <x:f>IF(COUNT('总览与权重'!$H$7:$K$7)=4,ROUND(100*SUMPRODUCT(E77:H77,'总览与权重'!$H$7:$K$7),12),"NA")</x:f>
        <x:v>26.611611367056</x:v>
      </x:c>
      <x:c r="L77" s="30" t="n">
        <x:f>IF(ISNUMBER(K77),COUNTIFS($K$6:$K$179,"&gt;"&amp;K77)+(COUNTIFS($K$6:$K$179,K77)+1)/2,"NA")</x:f>
        <x:v>93.5</x:v>
      </x:c>
      <x:c r="M77" s="30" t="n">
        <x:f>IF(COUNT('总览与权重'!$H$8:$K$8)=4,ROUND(100*SUMPRODUCT(E77:H77,'总览与权重'!$H$8:$K$8),12),"NA")</x:f>
        <x:v>39.511978027518</x:v>
      </x:c>
      <x:c r="N77" s="30" t="n">
        <x:f>IF(ISNUMBER(M77),COUNTIFS($M$6:$M$179,"&gt;"&amp;M77)+(COUNTIFS($M$6:$M$179,M77)+1)/2,"NA")</x:f>
        <x:v>66.5</x:v>
      </x:c>
      <x:c r="O77" s="30" t="n">
        <x:f>IF(COUNT('总览与权重'!$H$9:$K$9)=4,ROUND(100*SUMPRODUCT(E77:H77,'总览与权重'!$H$9:$K$9),12),"NA")</x:f>
        <x:v>35.20800852934</x:v>
      </x:c>
      <x:c r="P77" s="30" t="n">
        <x:f>IF(ISNUMBER(O77),COUNTIFS($O$6:$O$179,"&gt;"&amp;O77)+(COUNTIFS($O$6:$O$179,O77)+1)/2,"NA")</x:f>
        <x:v>72.5</x:v>
      </x:c>
      <x:c r="Q77" s="30" t="n">
        <x:f>IF(COUNT('总览与权重'!$H$10:$K$10)=4,ROUND(100*SUMPRODUCT(E77:H77,'总览与权重'!$H$10:$K$10),12),"NA")</x:f>
        <x:v>10.609233693368</x:v>
      </x:c>
      <x:c r="R77" s="30" t="n">
        <x:f>IF(ISNUMBER(Q77),COUNTIFS($Q$6:$Q$179,"&gt;"&amp;Q77)+(COUNTIFS($Q$6:$Q$179,Q77)+1)/2,"NA")</x:f>
        <x:v>101.5</x:v>
      </x:c>
      <x:c r="S77" s="31" t="n">
        <x:f>IF(OR(B77="s3",B77="s6"),COUNTIFS($B$6:$B$179,B77,$I$6:$I$179,"&gt;"&amp;I77)+(COUNTIFS($B$6:$B$179,B77,$I$6:$I$179,I77)+1)/2,"NA")</x:f>
        <x:v>67.5</x:v>
      </x:c>
      <x:c r="T77" s="26" t="str">
        <x:f>IF(COUNTIFS($I$6:$I$179,"&gt;"&amp;I77)&gt;=35,"非前20%",IF(COUNTIFS($I$6:$I$179,"&gt;="&amp;I77)&gt;=35,"边界同分","严格前20%"))</x:f>
        <x:v>非前20%</x:v>
      </x:c>
      <x:c r="U77" s="26" t="str">
        <x:f>IF(COUNTIFS($I$6:$I$179,"&lt;"&amp;I77)&gt;=35,"非后20%",IF(COUNTIFS($I$6:$I$179,"&lt;="&amp;I77)&gt;=35,"边界同分","严格后20%"))</x:f>
        <x:v>非后20%</x:v>
      </x:c>
      <x:c r="V77" s="26" t="n">
        <x:f>'基线调整'!I60</x:f>
        <x:v>64.370639468535</x:v>
      </x:c>
      <x:c r="W77" s="26" t="n">
        <x:f>'基线调整'!J60</x:f>
        <x:v>54.5</x:v>
      </x:c>
      <x:c r="X77" s="22" t="str">
        <x:v>["S0431"]</x:v>
      </x:c>
      <x:c r="Y77" s="22" t="str">
        <x:v>evidence/student_evidence.jsonl；student_key=2025秋:258951</x:v>
      </x:c>
      <x:c r="Z77" s="26" t="n">
        <x:f>IF(OR(B77="s3",B77="s6"),COUNTIFS($B$6:$B$179,B77,$K$6:$K$179,"&gt;"&amp;K77)+(COUNTIFS($B$6:$B$179,B77,$K$6:$K$179,K77)+1)/2,"NA")</x:f>
        <x:v>88.5</x:v>
      </x:c>
      <x:c r="AA77" s="26" t="n">
        <x:f>IF(OR(B77="s3",B77="s6"),COUNTIFS($B$6:$B$179,B77,$M$6:$M$179,"&gt;"&amp;M77)+(COUNTIFS($B$6:$B$179,B77,$M$6:$M$179,M77)+1)/2,"NA")</x:f>
        <x:v>62.5</x:v>
      </x:c>
      <x:c r="AB77" s="26" t="n">
        <x:f>IF(OR(B77="s3",B77="s6"),COUNTIFS($B$6:$B$179,B77,$O$6:$O$179,"&gt;"&amp;O77)+(COUNTIFS($B$6:$B$179,B77,$O$6:$O$179,O77)+1)/2,"NA")</x:f>
        <x:v>68.5</x:v>
      </x:c>
      <x:c r="AC77" s="26" t="n">
        <x:f>IF(OR(B77="s3",B77="s6"),COUNTIFS($B$6:$B$179,B77,$Q$6:$Q$179,"&gt;"&amp;Q77)+(COUNTIFS($B$6:$B$179,B77,$Q$6:$Q$179,Q77)+1)/2,"NA")</x:f>
        <x:v>94.5</x:v>
      </x:c>
    </x:row>
    <x:row r="78" ht="23" customHeight="1">
      <x:c r="A78" s="21" t="str">
        <x:v>2025秋:25A168</x:v>
      </x:c>
      <x:c r="B78" s="22" t="str">
        <x:v>s3</x:v>
      </x:c>
      <x:c r="C78" s="24" t="n">
        <x:v>3</x:v>
      </x:c>
      <x:c r="D78" s="24" t="n">
        <x:v>3</x:v>
      </x:c>
      <x:c r="E78" s="29" t="n">
        <x:f>'指标计算'!K139</x:f>
        <x:v>0.059842888815565744</x:v>
      </x:c>
      <x:c r="F78" s="29" t="n">
        <x:f>'指标计算'!L139</x:f>
        <x:v>0.239371555262263</x:v>
      </x:c>
      <x:c r="G78" s="29" t="n">
        <x:f>'指标计算'!M139</x:f>
        <x:v>0.39340551921197076</x:v>
      </x:c>
      <x:c r="H78" s="29" t="n">
        <x:f>'指标计算'!N139</x:f>
        <x:v>0.6666666666666666</x:v>
      </x:c>
      <x:c r="I78" s="30" t="n">
        <x:f>IF(COUNT('总览与权重'!$H$6:$K$6)=4,ROUND(100*SUMPRODUCT(E78:H78,'总览与权重'!$H$6:$K$6),12),"NA")</x:f>
        <x:v>33.680658334203</x:v>
      </x:c>
      <x:c r="J78" s="30" t="n">
        <x:f>IF(ISNUMBER(I78),COUNTIFS($I$6:$I$179,"&gt;"&amp;I78)+(COUNTIFS($I$6:$I$179,I78)+1)/2,"NA")</x:f>
        <x:v>73</x:v>
      </x:c>
      <x:c r="K78" s="30" t="n">
        <x:f>IF(COUNT('总览与权重'!$H$7:$K$7)=4,ROUND(100*SUMPRODUCT(E78:H78,'总览与权重'!$H$7:$K$7),12),"NA")</x:f>
        <x:v>35.053842983369</x:v>
      </x:c>
      <x:c r="L78" s="30" t="n">
        <x:f>IF(ISNUMBER(K78),COUNTIFS($K$6:$K$179,"&gt;"&amp;K78)+(COUNTIFS($K$6:$K$179,K78)+1)/2,"NA")</x:f>
        <x:v>60</x:v>
      </x:c>
      <x:c r="M78" s="30" t="n">
        <x:f>IF(COUNT('总览与权重'!$H$8:$K$8)=4,ROUND(100*SUMPRODUCT(E78:H78,'总览与权重'!$H$8:$K$8),12),"NA")</x:f>
        <x:v>35.94460740371</x:v>
      </x:c>
      <x:c r="N78" s="30" t="n">
        <x:f>IF(ISNUMBER(M78),COUNTIFS($M$6:$M$179,"&gt;"&amp;M78)+(COUNTIFS($M$6:$M$179,M78)+1)/2,"NA")</x:f>
        <x:v>73</x:v>
      </x:c>
      <x:c r="O78" s="30" t="n">
        <x:f>IF(COUNT('总览与权重'!$H$9:$K$9)=4,ROUND(100*SUMPRODUCT(E78:H78,'总览与权重'!$H$9:$K$9),12),"NA")</x:f>
        <x:v>36.121747630127</x:v>
      </x:c>
      <x:c r="P78" s="30" t="n">
        <x:f>IF(ISNUMBER(O78),COUNTIFS($O$6:$O$179,"&gt;"&amp;O78)+(COUNTIFS($O$6:$O$179,O78)+1)/2,"NA")</x:f>
        <x:v>65</x:v>
      </x:c>
      <x:c r="Q78" s="30" t="n">
        <x:f>IF(COUNT('总览与权重'!$H$10:$K$10)=4,ROUND(100*SUMPRODUCT(E78:H78,'总览与权重'!$H$10:$K$10),12),"NA")</x:f>
        <x:v>24.525135630585</x:v>
      </x:c>
      <x:c r="R78" s="30" t="n">
        <x:f>IF(ISNUMBER(Q78),COUNTIFS($Q$6:$Q$179,"&gt;"&amp;Q78)+(COUNTIFS($Q$6:$Q$179,Q78)+1)/2,"NA")</x:f>
        <x:v>72</x:v>
      </x:c>
      <x:c r="S78" s="31" t="n">
        <x:f>IF(OR(B78="s3",B78="s6"),COUNTIFS($B$6:$B$179,B78,$I$6:$I$179,"&gt;"&amp;I78)+(COUNTIFS($B$6:$B$179,B78,$I$6:$I$179,I78)+1)/2,"NA")</x:f>
        <x:v>69</x:v>
      </x:c>
      <x:c r="T78" s="26" t="str">
        <x:f>IF(COUNTIFS($I$6:$I$179,"&gt;"&amp;I78)&gt;=35,"非前20%",IF(COUNTIFS($I$6:$I$179,"&gt;="&amp;I78)&gt;=35,"边界同分","严格前20%"))</x:f>
        <x:v>非前20%</x:v>
      </x:c>
      <x:c r="U78" s="26" t="str">
        <x:f>IF(COUNTIFS($I$6:$I$179,"&lt;"&amp;I78)&gt;=35,"非后20%",IF(COUNTIFS($I$6:$I$179,"&lt;="&amp;I78)&gt;=35,"边界同分","严格后20%"))</x:f>
        <x:v>非后20%</x:v>
      </x:c>
      <x:c r="V78" s="26" t="n">
        <x:f>'基线调整'!I109</x:f>
        <x:v>57.822781744446</x:v>
      </x:c>
      <x:c r="W78" s="26" t="n">
        <x:f>'基线调整'!J109</x:f>
        <x:v>104</x:v>
      </x:c>
      <x:c r="X78" s="22" t="str">
        <x:v>["S0201","S0429","S0472"]</x:v>
      </x:c>
      <x:c r="Y78" s="22" t="str">
        <x:v>evidence/student_evidence.jsonl；student_key=2025秋:25A168</x:v>
      </x:c>
      <x:c r="Z78" s="26" t="n">
        <x:f>IF(OR(B78="s3",B78="s6"),COUNTIFS($B$6:$B$179,B78,$K$6:$K$179,"&gt;"&amp;K78)+(COUNTIFS($B$6:$B$179,B78,$K$6:$K$179,K78)+1)/2,"NA")</x:f>
        <x:v>57</x:v>
      </x:c>
      <x:c r="AA78" s="26" t="n">
        <x:f>IF(OR(B78="s3",B78="s6"),COUNTIFS($B$6:$B$179,B78,$M$6:$M$179,"&gt;"&amp;M78)+(COUNTIFS($B$6:$B$179,B78,$M$6:$M$179,M78)+1)/2,"NA")</x:f>
        <x:v>69</x:v>
      </x:c>
      <x:c r="AB78" s="26" t="n">
        <x:f>IF(OR(B78="s3",B78="s6"),COUNTIFS($B$6:$B$179,B78,$O$6:$O$179,"&gt;"&amp;O78)+(COUNTIFS($B$6:$B$179,B78,$O$6:$O$179,O78)+1)/2,"NA")</x:f>
        <x:v>61</x:v>
      </x:c>
      <x:c r="AC78" s="26" t="n">
        <x:f>IF(OR(B78="s3",B78="s6"),COUNTIFS($B$6:$B$179,B78,$Q$6:$Q$179,"&gt;"&amp;Q78)+(COUNTIFS($B$6:$B$179,B78,$Q$6:$Q$179,Q78)+1)/2,"NA")</x:f>
        <x:v>68</x:v>
      </x:c>
    </x:row>
    <x:row r="79" ht="23" customHeight="1">
      <x:c r="A79" s="21" t="str">
        <x:v>2025秋:259863</x:v>
      </x:c>
      <x:c r="B79" s="22" t="str">
        <x:v>s3</x:v>
      </x:c>
      <x:c r="C79" s="24" t="n">
        <x:v>2</x:v>
      </x:c>
      <x:c r="D79" s="24" t="n">
        <x:v>1</x:v>
      </x:c>
      <x:c r="E79" s="29" t="n">
        <x:f>'指标计算'!K116</x:f>
        <x:v>0.02384413721671727</x:v>
      </x:c>
      <x:c r="F79" s="29" t="n">
        <x:f>'指标计算'!L116</x:f>
        <x:v>0.28612964660060725</x:v>
      </x:c>
      <x:c r="G79" s="29" t="n">
        <x:f>'指标计算'!M116</x:f>
        <x:v>0.28612964660060725</x:v>
      </x:c>
      <x:c r="H79" s="29" t="n">
        <x:f>'指标计算'!N116</x:f>
        <x:v>0.6666666666666666</x:v>
      </x:c>
      <x:c r="I79" s="30" t="n">
        <x:f>IF(COUNT('总览与权重'!$H$6:$K$6)=4,ROUND(100*SUMPRODUCT(E79:H79,'总览与权重'!$H$6:$K$6),12),"NA")</x:f>
        <x:v>32.160509980526</x:v>
      </x:c>
      <x:c r="J79" s="30" t="n">
        <x:f>IF(ISNUMBER(I79),COUNTIFS($I$6:$I$179,"&gt;"&amp;I79)+(COUNTIFS($I$6:$I$179,I79)+1)/2,"NA")</x:f>
        <x:v>74</x:v>
      </x:c>
      <x:c r="K79" s="30" t="n">
        <x:f>IF(COUNT('总览与权重'!$H$7:$K$7)=4,ROUND(100*SUMPRODUCT(E79:H79,'总览与权重'!$H$7:$K$7),12),"NA")</x:f>
        <x:v>30.977994873704</x:v>
      </x:c>
      <x:c r="L79" s="30" t="n">
        <x:f>IF(ISNUMBER(K79),COUNTIFS($K$6:$K$179,"&gt;"&amp;K79)+(COUNTIFS($K$6:$K$179,K79)+1)/2,"NA")</x:f>
        <x:v>70</x:v>
      </x:c>
      <x:c r="M79" s="30" t="n">
        <x:f>IF(COUNT('总览与权重'!$H$8:$K$8)=4,ROUND(100*SUMPRODUCT(E79:H79,'总览与权重'!$H$8:$K$8),12),"NA")</x:f>
        <x:v>35.374622627776</x:v>
      </x:c>
      <x:c r="N79" s="30" t="n">
        <x:f>IF(ISNUMBER(M79),COUNTIFS($M$6:$M$179,"&gt;"&amp;M79)+(COUNTIFS($M$6:$M$179,M79)+1)/2,"NA")</x:f>
        <x:v>74</x:v>
      </x:c>
      <x:c r="O79" s="30" t="n">
        <x:f>IF(COUNT('总览与权重'!$H$9:$K$9)=4,ROUND(100*SUMPRODUCT(E79:H79,'总览与权重'!$H$9:$K$9),12),"NA")</x:f>
        <x:v>33.898812664254</x:v>
      </x:c>
      <x:c r="P79" s="30" t="n">
        <x:f>IF(ISNUMBER(O79),COUNTIFS($O$6:$O$179,"&gt;"&amp;O79)+(COUNTIFS($O$6:$O$179,O79)+1)/2,"NA")</x:f>
        <x:v>75</x:v>
      </x:c>
      <x:c r="Q79" s="30" t="n">
        <x:f>IF(COUNT('总览与权重'!$H$10:$K$10)=4,ROUND(100*SUMPRODUCT(E79:H79,'总览与权重'!$H$10:$K$10),12),"NA")</x:f>
        <x:v>21.458246412662</x:v>
      </x:c>
      <x:c r="R79" s="30" t="n">
        <x:f>IF(ISNUMBER(Q79),COUNTIFS($Q$6:$Q$179,"&gt;"&amp;Q79)+(COUNTIFS($Q$6:$Q$179,Q79)+1)/2,"NA")</x:f>
        <x:v>77</x:v>
      </x:c>
      <x:c r="S79" s="31" t="n">
        <x:f>IF(OR(B79="s3",B79="s6"),COUNTIFS($B$6:$B$179,B79,$I$6:$I$179,"&gt;"&amp;I79)+(COUNTIFS($B$6:$B$179,B79,$I$6:$I$179,I79)+1)/2,"NA")</x:f>
        <x:v>70</x:v>
      </x:c>
      <x:c r="T79" s="26" t="str">
        <x:f>IF(COUNTIFS($I$6:$I$179,"&gt;"&amp;I79)&gt;=35,"非前20%",IF(COUNTIFS($I$6:$I$179,"&gt;="&amp;I79)&gt;=35,"边界同分","严格前20%"))</x:f>
        <x:v>非前20%</x:v>
      </x:c>
      <x:c r="U79" s="26" t="str">
        <x:f>IF(COUNTIFS($I$6:$I$179,"&lt;"&amp;I79)&gt;=35,"非后20%",IF(COUNTIFS($I$6:$I$179,"&lt;="&amp;I79)&gt;=35,"边界同分","严格后20%"))</x:f>
        <x:v>非后20%</x:v>
      </x:c>
      <x:c r="V79" s="26" t="n">
        <x:f>'基线调整'!I105</x:f>
        <x:v>59.035297390276</x:v>
      </x:c>
      <x:c r="W79" s="26" t="n">
        <x:f>'基线调整'!J105</x:f>
        <x:v>100</x:v>
      </x:c>
      <x:c r="X79" s="22" t="str">
        <x:v>["S0268","S0278"]</x:v>
      </x:c>
      <x:c r="Y79" s="22" t="str">
        <x:v>evidence/student_evidence.jsonl；student_key=2025秋:259863</x:v>
      </x:c>
      <x:c r="Z79" s="26" t="n">
        <x:f>IF(OR(B79="s3",B79="s6"),COUNTIFS($B$6:$B$179,B79,$K$6:$K$179,"&gt;"&amp;K79)+(COUNTIFS($B$6:$B$179,B79,$K$6:$K$179,K79)+1)/2,"NA")</x:f>
        <x:v>65</x:v>
      </x:c>
      <x:c r="AA79" s="26" t="n">
        <x:f>IF(OR(B79="s3",B79="s6"),COUNTIFS($B$6:$B$179,B79,$M$6:$M$179,"&gt;"&amp;M79)+(COUNTIFS($B$6:$B$179,B79,$M$6:$M$179,M79)+1)/2,"NA")</x:f>
        <x:v>70</x:v>
      </x:c>
      <x:c r="AB79" s="26" t="n">
        <x:f>IF(OR(B79="s3",B79="s6"),COUNTIFS($B$6:$B$179,B79,$O$6:$O$179,"&gt;"&amp;O79)+(COUNTIFS($B$6:$B$179,B79,$O$6:$O$179,O79)+1)/2,"NA")</x:f>
        <x:v>70</x:v>
      </x:c>
      <x:c r="AC79" s="26" t="n">
        <x:f>IF(OR(B79="s3",B79="s6"),COUNTIFS($B$6:$B$179,B79,$Q$6:$Q$179,"&gt;"&amp;Q79)+(COUNTIFS($B$6:$B$179,B79,$Q$6:$Q$179,Q79)+1)/2,"NA")</x:f>
        <x:v>73</x:v>
      </x:c>
    </x:row>
    <x:row r="80" ht="23" customHeight="1">
      <x:c r="A80" s="21" t="str">
        <x:v>2025秋:258504</x:v>
      </x:c>
      <x:c r="B80" s="22" t="str">
        <x:v>s6</x:v>
      </x:c>
      <x:c r="C80" s="24" t="n">
        <x:v>1</x:v>
      </x:c>
      <x:c r="D80" s="24" t="n">
        <x:v>1</x:v>
      </x:c>
      <x:c r="E80" s="29" t="n">
        <x:f>'指标计算'!K18</x:f>
        <x:v>0.03333333333333333</x:v>
      </x:c>
      <x:c r="F80" s="29" t="n">
        <x:f>'指标计算'!L18</x:f>
        <x:v>0.4</x:v>
      </x:c>
      <x:c r="G80" s="29" t="n">
        <x:f>'指标计算'!M18</x:f>
        <x:v>0.4</x:v>
      </x:c>
      <x:c r="H80" s="29" t="n">
        <x:f>'指标计算'!N18</x:f>
        <x:v>0.5</x:v>
      </x:c>
      <x:c r="I80" s="30" t="n">
        <x:f>IF(COUNT('总览与权重'!$H$6:$K$6)=4,ROUND(100*SUMPRODUCT(E80:H80,'总览与权重'!$H$6:$K$6),12),"NA")</x:f>
        <x:v>32</x:v>
      </x:c>
      <x:c r="J80" s="30" t="n">
        <x:f>IF(ISNUMBER(I80),COUNTIFS($I$6:$I$179,"&gt;"&amp;I80)+(COUNTIFS($I$6:$I$179,I80)+1)/2,"NA")</x:f>
        <x:v>75</x:v>
      </x:c>
      <x:c r="K80" s="30" t="n">
        <x:f>IF(COUNT('总览与权重'!$H$7:$K$7)=4,ROUND(100*SUMPRODUCT(E80:H80,'总览与权重'!$H$7:$K$7),12),"NA")</x:f>
        <x:v>34.666666666667</x:v>
      </x:c>
      <x:c r="L80" s="30" t="n">
        <x:f>IF(ISNUMBER(K80),COUNTIFS($K$6:$K$179,"&gt;"&amp;K80)+(COUNTIFS($K$6:$K$179,K80)+1)/2,"NA")</x:f>
        <x:v>61</x:v>
      </x:c>
      <x:c r="M80" s="30" t="n">
        <x:f>IF(COUNT('总览与权重'!$H$8:$K$8)=4,ROUND(100*SUMPRODUCT(E80:H80,'总览与权重'!$H$8:$K$8),12),"NA")</x:f>
        <x:v>34.333333333333</x:v>
      </x:c>
      <x:c r="N80" s="30" t="n">
        <x:f>IF(ISNUMBER(M80),COUNTIFS($M$6:$M$179,"&gt;"&amp;M80)+(COUNTIFS($M$6:$M$179,M80)+1)/2,"NA")</x:f>
        <x:v>115</x:v>
      </x:c>
      <x:c r="O80" s="30" t="n">
        <x:f>IF(COUNT('总览与权重'!$H$9:$K$9)=4,ROUND(100*SUMPRODUCT(E80:H80,'总览与权重'!$H$9:$K$9),12),"NA")</x:f>
        <x:v>34.430090980617</x:v>
      </x:c>
      <x:c r="P80" s="30" t="n">
        <x:f>IF(ISNUMBER(O80),COUNTIFS($O$6:$O$179,"&gt;"&amp;O80)+(COUNTIFS($O$6:$O$179,O80)+1)/2,"NA")</x:f>
        <x:v>74</x:v>
      </x:c>
      <x:c r="Q80" s="30" t="n">
        <x:f>IF(COUNT('总览与权重'!$H$10:$K$10)=4,ROUND(100*SUMPRODUCT(E80:H80,'总览与权重'!$H$10:$K$10),12),"NA")</x:f>
        <x:v>28.518856004026</x:v>
      </x:c>
      <x:c r="R80" s="30" t="n">
        <x:f>IF(ISNUMBER(Q80),COUNTIFS($Q$6:$Q$179,"&gt;"&amp;Q80)+(COUNTIFS($Q$6:$Q$179,Q80)+1)/2,"NA")</x:f>
        <x:v>32</x:v>
      </x:c>
      <x:c r="S80" s="31" t="n">
        <x:f>IF(OR(B80="s3",B80="s6"),COUNTIFS($B$6:$B$179,B80,$I$6:$I$179,"&gt;"&amp;I80)+(COUNTIFS($B$6:$B$179,B80,$I$6:$I$179,I80)+1)/2,"NA")</x:f>
        <x:v>5</x:v>
      </x:c>
      <x:c r="T80" s="26" t="str">
        <x:f>IF(COUNTIFS($I$6:$I$179,"&gt;"&amp;I80)&gt;=35,"非前20%",IF(COUNTIFS($I$6:$I$179,"&gt;="&amp;I80)&gt;=35,"边界同分","严格前20%"))</x:f>
        <x:v>非前20%</x:v>
      </x:c>
      <x:c r="U80" s="26" t="str">
        <x:f>IF(COUNTIFS($I$6:$I$179,"&lt;"&amp;I80)&gt;=35,"非后20%",IF(COUNTIFS($I$6:$I$179,"&lt;="&amp;I80)&gt;=35,"边界同分","严格后20%"))</x:f>
        <x:v>非后20%</x:v>
      </x:c>
      <x:c r="V80" s="26" t="n">
        <x:f>'基线调整'!I114</x:f>
        <x:v>55.148571428571</x:v>
      </x:c>
      <x:c r="W80" s="26" t="n">
        <x:f>'基线调整'!J114</x:f>
        <x:v>109</x:v>
      </x:c>
      <x:c r="X80" s="22" t="str">
        <x:v>["S0508"]</x:v>
      </x:c>
      <x:c r="Y80" s="22" t="str">
        <x:v>evidence/student_evidence.jsonl；student_key=2025秋:258504</x:v>
      </x:c>
      <x:c r="Z80" s="26" t="n">
        <x:f>IF(OR(B80="s3",B80="s6"),COUNTIFS($B$6:$B$179,B80,$K$6:$K$179,"&gt;"&amp;K80)+(COUNTIFS($B$6:$B$179,B80,$K$6:$K$179,K80)+1)/2,"NA")</x:f>
        <x:v>4</x:v>
      </x:c>
      <x:c r="AA80" s="26" t="n">
        <x:f>IF(OR(B80="s3",B80="s6"),COUNTIFS($B$6:$B$179,B80,$M$6:$M$179,"&gt;"&amp;M80)+(COUNTIFS($B$6:$B$179,B80,$M$6:$M$179,M80)+1)/2,"NA")</x:f>
        <x:v>6</x:v>
      </x:c>
      <x:c r="AB80" s="26" t="n">
        <x:f>IF(OR(B80="s3",B80="s6"),COUNTIFS($B$6:$B$179,B80,$O$6:$O$179,"&gt;"&amp;O80)+(COUNTIFS($B$6:$B$179,B80,$O$6:$O$179,O80)+1)/2,"NA")</x:f>
        <x:v>5</x:v>
      </x:c>
      <x:c r="AC80" s="26" t="n">
        <x:f>IF(OR(B80="s3",B80="s6"),COUNTIFS($B$6:$B$179,B80,$Q$6:$Q$179,"&gt;"&amp;Q80)+(COUNTIFS($B$6:$B$179,B80,$Q$6:$Q$179,Q80)+1)/2,"NA")</x:f>
        <x:v>4</x:v>
      </x:c>
    </x:row>
    <x:row r="81" ht="23" customHeight="1">
      <x:c r="A81" s="21" t="str">
        <x:v>2025秋:259161</x:v>
      </x:c>
      <x:c r="B81" s="22" t="str">
        <x:v>s3</x:v>
      </x:c>
      <x:c r="C81" s="24" t="n">
        <x:v>1</x:v>
      </x:c>
      <x:c r="D81" s="24" t="n">
        <x:v>1</x:v>
      </x:c>
      <x:c r="E81" s="29" t="n">
        <x:f>'指标计算'!K79</x:f>
        <x:v>0.022569347827431193</x:v>
      </x:c>
      <x:c r="F81" s="29" t="n">
        <x:f>'指标计算'!L79</x:f>
        <x:v>0.2708321739291743</x:v>
      </x:c>
      <x:c r="G81" s="29" t="n">
        <x:f>'指标计算'!M79</x:f>
        <x:v>0.2708321739291743</x:v>
      </x:c>
      <x:c r="H81" s="29" t="n">
        <x:f>'指标计算'!N79</x:f>
        <x:v>0.6666666666666666</x:v>
      </x:c>
      <x:c r="I81" s="30" t="n">
        <x:f>IF(COUNT('总览与权重'!$H$6:$K$6)=4,ROUND(100*SUMPRODUCT(E81:H81,'总览与权重'!$H$6:$K$6),12),"NA")</x:f>
        <x:v>31.51036739199</x:v>
      </x:c>
      <x:c r="J81" s="30" t="n">
        <x:f>IF(ISNUMBER(I81),COUNTIFS($I$6:$I$179,"&gt;"&amp;I81)+(COUNTIFS($I$6:$I$179,I81)+1)/2,"NA")</x:f>
        <x:v>76</x:v>
      </x:c>
      <x:c r="K81" s="30" t="n">
        <x:f>IF(COUNT('总览与权重'!$H$7:$K$7)=4,ROUND(100*SUMPRODUCT(E81:H81,'总览与权重'!$H$7:$K$7),12),"NA")</x:f>
        <x:v>30.034650725632</x:v>
      </x:c>
      <x:c r="L81" s="30" t="n">
        <x:f>IF(ISNUMBER(K81),COUNTIFS($K$6:$K$179,"&gt;"&amp;K81)+(COUNTIFS($K$6:$K$179,K81)+1)/2,"NA")</x:f>
        <x:v>74</x:v>
      </x:c>
      <x:c r="M81" s="30" t="n">
        <x:f>IF(COUNT('总览与权重'!$H$8:$K$8)=4,ROUND(100*SUMPRODUCT(E81:H81,'总览与权重'!$H$8:$K$8),12),"NA")</x:f>
        <x:v>34.730853986186</x:v>
      </x:c>
      <x:c r="N81" s="30" t="n">
        <x:f>IF(ISNUMBER(M81),COUNTIFS($M$6:$M$179,"&gt;"&amp;M81)+(COUNTIFS($M$6:$M$179,M81)+1)/2,"NA")</x:f>
        <x:v>114</x:v>
      </x:c>
      <x:c r="O81" s="30" t="n">
        <x:f>IF(COUNT('总览与权重'!$H$9:$K$9)=4,ROUND(100*SUMPRODUCT(E81:H81,'总览与权重'!$H$9:$K$9),12),"NA")</x:f>
        <x:v>33.155734449806</x:v>
      </x:c>
      <x:c r="P81" s="30" t="n">
        <x:f>IF(ISNUMBER(O81),COUNTIFS($O$6:$O$179,"&gt;"&amp;O81)+(COUNTIFS($O$6:$O$179,O81)+1)/2,"NA")</x:f>
        <x:v>79</x:v>
      </x:c>
      <x:c r="Q81" s="30" t="n">
        <x:f>IF(COUNT('总览与权重'!$H$10:$K$10)=4,ROUND(100*SUMPRODUCT(E81:H81,'总览与权重'!$H$10:$K$10),12),"NA")</x:f>
        <x:v>20.433052873961</x:v>
      </x:c>
      <x:c r="R81" s="30" t="n">
        <x:f>IF(ISNUMBER(Q81),COUNTIFS($Q$6:$Q$179,"&gt;"&amp;Q81)+(COUNTIFS($Q$6:$Q$179,Q81)+1)/2,"NA")</x:f>
        <x:v>79</x:v>
      </x:c>
      <x:c r="S81" s="31" t="n">
        <x:f>IF(OR(B81="s3",B81="s6"),COUNTIFS($B$6:$B$179,B81,$I$6:$I$179,"&gt;"&amp;I81)+(COUNTIFS($B$6:$B$179,B81,$I$6:$I$179,I81)+1)/2,"NA")</x:f>
        <x:v>71</x:v>
      </x:c>
      <x:c r="T81" s="26" t="str">
        <x:f>IF(COUNTIFS($I$6:$I$179,"&gt;"&amp;I81)&gt;=35,"非前20%",IF(COUNTIFS($I$6:$I$179,"&gt;="&amp;I81)&gt;=35,"边界同分","严格前20%"))</x:f>
        <x:v>非前20%</x:v>
      </x:c>
      <x:c r="U81" s="26" t="str">
        <x:f>IF(COUNTIFS($I$6:$I$179,"&lt;"&amp;I81)&gt;=35,"非后20%",IF(COUNTIFS($I$6:$I$179,"&lt;="&amp;I81)&gt;=35,"边界同分","严格后20%"))</x:f>
        <x:v>非后20%</x:v>
      </x:c>
      <x:c r="V81" s="26" t="n">
        <x:f>'基线调整'!I106</x:f>
        <x:v>58.714050464176</x:v>
      </x:c>
      <x:c r="W81" s="26" t="n">
        <x:f>'基线调整'!J106</x:f>
        <x:v>101</x:v>
      </x:c>
      <x:c r="X81" s="22" t="str">
        <x:v>["S0210"]</x:v>
      </x:c>
      <x:c r="Y81" s="22" t="str">
        <x:v>evidence/student_evidence.jsonl；student_key=2025秋:259161</x:v>
      </x:c>
      <x:c r="Z81" s="26" t="n">
        <x:f>IF(OR(B81="s3",B81="s6"),COUNTIFS($B$6:$B$179,B81,$K$6:$K$179,"&gt;"&amp;K81)+(COUNTIFS($B$6:$B$179,B81,$K$6:$K$179,K81)+1)/2,"NA")</x:f>
        <x:v>69</x:v>
      </x:c>
      <x:c r="AA81" s="26" t="n">
        <x:f>IF(OR(B81="s3",B81="s6"),COUNTIFS($B$6:$B$179,B81,$M$6:$M$179,"&gt;"&amp;M81)+(COUNTIFS($B$6:$B$179,B81,$M$6:$M$179,M81)+1)/2,"NA")</x:f>
        <x:v>109</x:v>
      </x:c>
      <x:c r="AB81" s="26" t="n">
        <x:f>IF(OR(B81="s3",B81="s6"),COUNTIFS($B$6:$B$179,B81,$O$6:$O$179,"&gt;"&amp;O81)+(COUNTIFS($B$6:$B$179,B81,$O$6:$O$179,O81)+1)/2,"NA")</x:f>
        <x:v>74</x:v>
      </x:c>
      <x:c r="AC81" s="26" t="n">
        <x:f>IF(OR(B81="s3",B81="s6"),COUNTIFS($B$6:$B$179,B81,$Q$6:$Q$179,"&gt;"&amp;Q81)+(COUNTIFS($B$6:$B$179,B81,$Q$6:$Q$179,Q81)+1)/2,"NA")</x:f>
        <x:v>75</x:v>
      </x:c>
    </x:row>
    <x:row r="82" ht="23" customHeight="1">
      <x:c r="A82" s="21" t="str">
        <x:v>2025秋:257174</x:v>
      </x:c>
      <x:c r="B82" s="22" t="str">
        <x:v>s3</x:v>
      </x:c>
      <x:c r="C82" s="24" t="n">
        <x:v>1</x:v>
      </x:c>
      <x:c r="D82" s="24" t="n">
        <x:v>1</x:v>
      </x:c>
      <x:c r="E82" s="29" t="n">
        <x:f>'指标计算'!K8</x:f>
        <x:v>0.03182369801389313</x:v>
      </x:c>
      <x:c r="F82" s="29" t="n">
        <x:f>'指标计算'!L8</x:f>
        <x:v>0.3818843761667175</x:v>
      </x:c>
      <x:c r="G82" s="29" t="n">
        <x:f>'指标计算'!M8</x:f>
        <x:v>0.3818843761667175</x:v>
      </x:c>
      <x:c r="H82" s="29" t="n">
        <x:f>'指标计算'!N8</x:f>
        <x:v>0.5</x:v>
      </x:c>
      <x:c r="I82" s="30" t="n">
        <x:f>IF(COUNT('总览与权重'!$H$6:$K$6)=4,ROUND(100*SUMPRODUCT(E82:H82,'总览与权重'!$H$6:$K$6),12),"NA")</x:f>
        <x:v>31.230085987085</x:v>
      </x:c>
      <x:c r="J82" s="30" t="n">
        <x:f>IF(ISNUMBER(I82),COUNTIFS($I$6:$I$179,"&gt;"&amp;I82)+(COUNTIFS($I$6:$I$179,I82)+1)/2,"NA")</x:f>
        <x:v>77.5</x:v>
      </x:c>
      <x:c r="K82" s="30" t="n">
        <x:f>IF(COUNT('总览与权重'!$H$7:$K$7)=4,ROUND(100*SUMPRODUCT(E82:H82,'总览与权重'!$H$7:$K$7),12),"NA")</x:f>
        <x:v>33.549536530281</x:v>
      </x:c>
      <x:c r="L82" s="30" t="n">
        <x:f>IF(ISNUMBER(K82),COUNTIFS($K$6:$K$179,"&gt;"&amp;K82)+(COUNTIFS($K$6:$K$179,K82)+1)/2,"NA")</x:f>
        <x:v>62.5</x:v>
      </x:c>
      <x:c r="M82" s="30" t="n">
        <x:f>IF(COUNT('总览与权重'!$H$8:$K$8)=4,ROUND(100*SUMPRODUCT(E82:H82,'总览与权重'!$H$8:$K$8),12),"NA")</x:f>
        <x:v>33.570967497016</x:v>
      </x:c>
      <x:c r="N82" s="30" t="n">
        <x:f>IF(ISNUMBER(M82),COUNTIFS($M$6:$M$179,"&gt;"&amp;M82)+(COUNTIFS($M$6:$M$179,M82)+1)/2,"NA")</x:f>
        <x:v>116.5</x:v>
      </x:c>
      <x:c r="O82" s="30" t="n">
        <x:f>IF(COUNT('总览与权重'!$H$9:$K$9)=4,ROUND(100*SUMPRODUCT(E82:H82,'总览与权重'!$H$9:$K$9),12),"NA")</x:f>
        <x:v>33.550120432489</x:v>
      </x:c>
      <x:c r="P82" s="30" t="n">
        <x:f>IF(ISNUMBER(O82),COUNTIFS($O$6:$O$179,"&gt;"&amp;O82)+(COUNTIFS($O$6:$O$179,O82)+1)/2,"NA")</x:f>
        <x:v>76.5</x:v>
      </x:c>
      <x:c r="Q82" s="30" t="n">
        <x:f>IF(COUNT('总览与权重'!$H$10:$K$10)=4,ROUND(100*SUMPRODUCT(E82:H82,'总览与权重'!$H$10:$K$10),12),"NA")</x:f>
        <x:v>27.30479791075</x:v>
      </x:c>
      <x:c r="R82" s="30" t="n">
        <x:f>IF(ISNUMBER(Q82),COUNTIFS($Q$6:$Q$179,"&gt;"&amp;Q82)+(COUNTIFS($Q$6:$Q$179,Q82)+1)/2,"NA")</x:f>
        <x:v>43.5</x:v>
      </x:c>
      <x:c r="S82" s="31" t="n">
        <x:f>IF(OR(B82="s3",B82="s6"),COUNTIFS($B$6:$B$179,B82,$I$6:$I$179,"&gt;"&amp;I82)+(COUNTIFS($B$6:$B$179,B82,$I$6:$I$179,I82)+1)/2,"NA")</x:f>
        <x:v>72.5</x:v>
      </x:c>
      <x:c r="T82" s="26" t="str">
        <x:f>IF(COUNTIFS($I$6:$I$179,"&gt;"&amp;I82)&gt;=35,"非前20%",IF(COUNTIFS($I$6:$I$179,"&gt;="&amp;I82)&gt;=35,"边界同分","严格前20%"))</x:f>
        <x:v>非前20%</x:v>
      </x:c>
      <x:c r="U82" s="26" t="str">
        <x:f>IF(COUNTIFS($I$6:$I$179,"&lt;"&amp;I82)&gt;=35,"非后20%",IF(COUNTIFS($I$6:$I$179,"&lt;="&amp;I82)&gt;=35,"边界同分","严格后20%"))</x:f>
        <x:v>非后20%</x:v>
      </x:c>
      <x:c r="V82" s="26" t="str">
        <x:v>NA</x:v>
      </x:c>
      <x:c r="W82" s="26" t="str">
        <x:v>NA</x:v>
      </x:c>
      <x:c r="X82" s="22" t="str">
        <x:v>["S0475"]</x:v>
      </x:c>
      <x:c r="Y82" s="22" t="str">
        <x:v>evidence/student_evidence.jsonl；student_key=2025秋:257174</x:v>
      </x:c>
      <x:c r="Z82" s="26" t="n">
        <x:f>IF(OR(B82="s3",B82="s6"),COUNTIFS($B$6:$B$179,B82,$K$6:$K$179,"&gt;"&amp;K82)+(COUNTIFS($B$6:$B$179,B82,$K$6:$K$179,K82)+1)/2,"NA")</x:f>
        <x:v>58.5</x:v>
      </x:c>
      <x:c r="AA82" s="26" t="n">
        <x:f>IF(OR(B82="s3",B82="s6"),COUNTIFS($B$6:$B$179,B82,$M$6:$M$179,"&gt;"&amp;M82)+(COUNTIFS($B$6:$B$179,B82,$M$6:$M$179,M82)+1)/2,"NA")</x:f>
        <x:v>110.5</x:v>
      </x:c>
      <x:c r="AB82" s="26" t="n">
        <x:f>IF(OR(B82="s3",B82="s6"),COUNTIFS($B$6:$B$179,B82,$O$6:$O$179,"&gt;"&amp;O82)+(COUNTIFS($B$6:$B$179,B82,$O$6:$O$179,O82)+1)/2,"NA")</x:f>
        <x:v>71.5</x:v>
      </x:c>
      <x:c r="AC82" s="26" t="n">
        <x:f>IF(OR(B82="s3",B82="s6"),COUNTIFS($B$6:$B$179,B82,$Q$6:$Q$179,"&gt;"&amp;Q82)+(COUNTIFS($B$6:$B$179,B82,$Q$6:$Q$179,Q82)+1)/2,"NA")</x:f>
        <x:v>39.5</x:v>
      </x:c>
    </x:row>
    <x:row r="83" ht="23" customHeight="1">
      <x:c r="A83" s="21" t="str">
        <x:v>2025秋:259039</x:v>
      </x:c>
      <x:c r="B83" s="22" t="str">
        <x:v>s3</x:v>
      </x:c>
      <x:c r="C83" s="24" t="n">
        <x:v>1</x:v>
      </x:c>
      <x:c r="D83" s="24" t="n">
        <x:v>1</x:v>
      </x:c>
      <x:c r="E83" s="29" t="n">
        <x:f>'指标计算'!K67</x:f>
        <x:v>0.03182369801389313</x:v>
      </x:c>
      <x:c r="F83" s="29" t="n">
        <x:f>'指标计算'!L67</x:f>
        <x:v>0.3818843761667175</x:v>
      </x:c>
      <x:c r="G83" s="29" t="n">
        <x:f>'指标计算'!M67</x:f>
        <x:v>0.3818843761667175</x:v>
      </x:c>
      <x:c r="H83" s="29" t="n">
        <x:f>'指标计算'!N67</x:f>
        <x:v>0.5</x:v>
      </x:c>
      <x:c r="I83" s="30" t="n">
        <x:f>IF(COUNT('总览与权重'!$H$6:$K$6)=4,ROUND(100*SUMPRODUCT(E83:H83,'总览与权重'!$H$6:$K$6),12),"NA")</x:f>
        <x:v>31.230085987085</x:v>
      </x:c>
      <x:c r="J83" s="30" t="n">
        <x:f>IF(ISNUMBER(I83),COUNTIFS($I$6:$I$179,"&gt;"&amp;I83)+(COUNTIFS($I$6:$I$179,I83)+1)/2,"NA")</x:f>
        <x:v>77.5</x:v>
      </x:c>
      <x:c r="K83" s="30" t="n">
        <x:f>IF(COUNT('总览与权重'!$H$7:$K$7)=4,ROUND(100*SUMPRODUCT(E83:H83,'总览与权重'!$H$7:$K$7),12),"NA")</x:f>
        <x:v>33.549536530281</x:v>
      </x:c>
      <x:c r="L83" s="30" t="n">
        <x:f>IF(ISNUMBER(K83),COUNTIFS($K$6:$K$179,"&gt;"&amp;K83)+(COUNTIFS($K$6:$K$179,K83)+1)/2,"NA")</x:f>
        <x:v>62.5</x:v>
      </x:c>
      <x:c r="M83" s="30" t="n">
        <x:f>IF(COUNT('总览与权重'!$H$8:$K$8)=4,ROUND(100*SUMPRODUCT(E83:H83,'总览与权重'!$H$8:$K$8),12),"NA")</x:f>
        <x:v>33.570967497016</x:v>
      </x:c>
      <x:c r="N83" s="30" t="n">
        <x:f>IF(ISNUMBER(M83),COUNTIFS($M$6:$M$179,"&gt;"&amp;M83)+(COUNTIFS($M$6:$M$179,M83)+1)/2,"NA")</x:f>
        <x:v>116.5</x:v>
      </x:c>
      <x:c r="O83" s="30" t="n">
        <x:f>IF(COUNT('总览与权重'!$H$9:$K$9)=4,ROUND(100*SUMPRODUCT(E83:H83,'总览与权重'!$H$9:$K$9),12),"NA")</x:f>
        <x:v>33.550120432489</x:v>
      </x:c>
      <x:c r="P83" s="30" t="n">
        <x:f>IF(ISNUMBER(O83),COUNTIFS($O$6:$O$179,"&gt;"&amp;O83)+(COUNTIFS($O$6:$O$179,O83)+1)/2,"NA")</x:f>
        <x:v>76.5</x:v>
      </x:c>
      <x:c r="Q83" s="30" t="n">
        <x:f>IF(COUNT('总览与权重'!$H$10:$K$10)=4,ROUND(100*SUMPRODUCT(E83:H83,'总览与权重'!$H$10:$K$10),12),"NA")</x:f>
        <x:v>27.30479791075</x:v>
      </x:c>
      <x:c r="R83" s="30" t="n">
        <x:f>IF(ISNUMBER(Q83),COUNTIFS($Q$6:$Q$179,"&gt;"&amp;Q83)+(COUNTIFS($Q$6:$Q$179,Q83)+1)/2,"NA")</x:f>
        <x:v>43.5</x:v>
      </x:c>
      <x:c r="S83" s="31" t="n">
        <x:f>IF(OR(B83="s3",B83="s6"),COUNTIFS($B$6:$B$179,B83,$I$6:$I$179,"&gt;"&amp;I83)+(COUNTIFS($B$6:$B$179,B83,$I$6:$I$179,I83)+1)/2,"NA")</x:f>
        <x:v>72.5</x:v>
      </x:c>
      <x:c r="T83" s="26" t="str">
        <x:f>IF(COUNTIFS($I$6:$I$179,"&gt;"&amp;I83)&gt;=35,"非前20%",IF(COUNTIFS($I$6:$I$179,"&gt;="&amp;I83)&gt;=35,"边界同分","严格前20%"))</x:f>
        <x:v>非前20%</x:v>
      </x:c>
      <x:c r="U83" s="26" t="str">
        <x:f>IF(COUNTIFS($I$6:$I$179,"&lt;"&amp;I83)&gt;=35,"非后20%",IF(COUNTIFS($I$6:$I$179,"&lt;="&amp;I83)&gt;=35,"边界同分","严格后20%"))</x:f>
        <x:v>非后20%</x:v>
      </x:c>
      <x:c r="V83" s="26" t="n">
        <x:f>'基线调整'!I112</x:f>
        <x:v>55.20735692343</x:v>
      </x:c>
      <x:c r="W83" s="26" t="n">
        <x:f>'基线调整'!J112</x:f>
        <x:v>107</x:v>
      </x:c>
      <x:c r="X83" s="22" t="str">
        <x:v>["S0017"]</x:v>
      </x:c>
      <x:c r="Y83" s="22" t="str">
        <x:v>evidence/student_evidence.jsonl；student_key=2025秋:259039</x:v>
      </x:c>
      <x:c r="Z83" s="26" t="n">
        <x:f>IF(OR(B83="s3",B83="s6"),COUNTIFS($B$6:$B$179,B83,$K$6:$K$179,"&gt;"&amp;K83)+(COUNTIFS($B$6:$B$179,B83,$K$6:$K$179,K83)+1)/2,"NA")</x:f>
        <x:v>58.5</x:v>
      </x:c>
      <x:c r="AA83" s="26" t="n">
        <x:f>IF(OR(B83="s3",B83="s6"),COUNTIFS($B$6:$B$179,B83,$M$6:$M$179,"&gt;"&amp;M83)+(COUNTIFS($B$6:$B$179,B83,$M$6:$M$179,M83)+1)/2,"NA")</x:f>
        <x:v>110.5</x:v>
      </x:c>
      <x:c r="AB83" s="26" t="n">
        <x:f>IF(OR(B83="s3",B83="s6"),COUNTIFS($B$6:$B$179,B83,$O$6:$O$179,"&gt;"&amp;O83)+(COUNTIFS($B$6:$B$179,B83,$O$6:$O$179,O83)+1)/2,"NA")</x:f>
        <x:v>71.5</x:v>
      </x:c>
      <x:c r="AC83" s="26" t="n">
        <x:f>IF(OR(B83="s3",B83="s6"),COUNTIFS($B$6:$B$179,B83,$Q$6:$Q$179,"&gt;"&amp;Q83)+(COUNTIFS($B$6:$B$179,B83,$Q$6:$Q$179,Q83)+1)/2,"NA")</x:f>
        <x:v>39.5</x:v>
      </x:c>
    </x:row>
    <x:row r="84" ht="23" customHeight="1">
      <x:c r="A84" s="21" t="str">
        <x:v>2025秋:259403</x:v>
      </x:c>
      <x:c r="B84" s="22" t="str">
        <x:v>s3</x:v>
      </x:c>
      <x:c r="C84" s="24" t="n">
        <x:v>1</x:v>
      </x:c>
      <x:c r="D84" s="24" t="n">
        <x:v>1</x:v>
      </x:c>
      <x:c r="E84" s="29" t="n">
        <x:f>'指标计算'!K97</x:f>
        <x:v>0.031650835368013476</x:v>
      </x:c>
      <x:c r="F84" s="29" t="n">
        <x:f>'指标计算'!L97</x:f>
        <x:v>0.3798100244161617</x:v>
      </x:c>
      <x:c r="G84" s="29" t="n">
        <x:f>'指标计算'!M97</x:f>
        <x:v>0.3798100244161617</x:v>
      </x:c>
      <x:c r="H84" s="29" t="n">
        <x:f>'指标计算'!N97</x:f>
        <x:v>0.5</x:v>
      </x:c>
      <x:c r="I84" s="30" t="n">
        <x:f>IF(COUNT('总览与权重'!$H$6:$K$6)=4,ROUND(100*SUMPRODUCT(E84:H84,'总览与权重'!$H$6:$K$6),12),"NA")</x:f>
        <x:v>31.141926037687</x:v>
      </x:c>
      <x:c r="J84" s="30" t="n">
        <x:f>IF(ISNUMBER(I84),COUNTIFS($I$6:$I$179,"&gt;"&amp;I84)+(COUNTIFS($I$6:$I$179,I84)+1)/2,"NA")</x:f>
        <x:v>79</x:v>
      </x:c>
      <x:c r="K84" s="30" t="n">
        <x:f>IF(COUNT('总览与权重'!$H$7:$K$7)=4,ROUND(100*SUMPRODUCT(E84:H84,'总览与权重'!$H$7:$K$7),12),"NA")</x:f>
        <x:v>33.42161817233</x:v>
      </x:c>
      <x:c r="L84" s="30" t="n">
        <x:f>IF(ISNUMBER(K84),COUNTIFS($K$6:$K$179,"&gt;"&amp;K84)+(COUNTIFS($K$6:$K$179,K84)+1)/2,"NA")</x:f>
        <x:v>64</x:v>
      </x:c>
      <x:c r="M84" s="30" t="n">
        <x:f>IF(COUNT('总览与权重'!$H$8:$K$8)=4,ROUND(100*SUMPRODUCT(E84:H84,'总览与权重'!$H$8:$K$8),12),"NA")</x:f>
        <x:v>33.483671860847</x:v>
      </x:c>
      <x:c r="N84" s="30" t="n">
        <x:f>IF(ISNUMBER(M84),COUNTIFS($M$6:$M$179,"&gt;"&amp;M84)+(COUNTIFS($M$6:$M$179,M84)+1)/2,"NA")</x:f>
        <x:v>118</x:v>
      </x:c>
      <x:c r="O84" s="30" t="n">
        <x:f>IF(COUNT('总览与权重'!$H$9:$K$9)=4,ROUND(100*SUMPRODUCT(E84:H84,'总览与权重'!$H$9:$K$9),12),"NA")</x:f>
        <x:v>33.449358324391</x:v>
      </x:c>
      <x:c r="P84" s="30" t="n">
        <x:f>IF(ISNUMBER(O84),COUNTIFS($O$6:$O$179,"&gt;"&amp;O84)+(COUNTIFS($O$6:$O$179,O84)+1)/2,"NA")</x:f>
        <x:v>78</x:v>
      </x:c>
      <x:c r="Q84" s="30" t="n">
        <x:f>IF(COUNT('总览与权重'!$H$10:$K$10)=4,ROUND(100*SUMPRODUCT(E84:H84,'总览与权重'!$H$10:$K$10),12),"NA")</x:f>
        <x:v>27.165780698081</x:v>
      </x:c>
      <x:c r="R84" s="30" t="n">
        <x:f>IF(ISNUMBER(Q84),COUNTIFS($Q$6:$Q$179,"&gt;"&amp;Q84)+(COUNTIFS($Q$6:$Q$179,Q84)+1)/2,"NA")</x:f>
        <x:v>45</x:v>
      </x:c>
      <x:c r="S84" s="31" t="n">
        <x:f>IF(OR(B84="s3",B84="s6"),COUNTIFS($B$6:$B$179,B84,$I$6:$I$179,"&gt;"&amp;I84)+(COUNTIFS($B$6:$B$179,B84,$I$6:$I$179,I84)+1)/2,"NA")</x:f>
        <x:v>74</x:v>
      </x:c>
      <x:c r="T84" s="26" t="str">
        <x:f>IF(COUNTIFS($I$6:$I$179,"&gt;"&amp;I84)&gt;=35,"非前20%",IF(COUNTIFS($I$6:$I$179,"&gt;="&amp;I84)&gt;=35,"边界同分","严格前20%"))</x:f>
        <x:v>非前20%</x:v>
      </x:c>
      <x:c r="U84" s="26" t="str">
        <x:f>IF(COUNTIFS($I$6:$I$179,"&lt;"&amp;I84)&gt;=35,"非后20%",IF(COUNTIFS($I$6:$I$179,"&lt;="&amp;I84)&gt;=35,"边界同分","严格后20%"))</x:f>
        <x:v>非后20%</x:v>
      </x:c>
      <x:c r="V84" s="26" t="n">
        <x:f>'基线调整'!I113</x:f>
        <x:v>55.163276948731</x:v>
      </x:c>
      <x:c r="W84" s="26" t="n">
        <x:f>'基线调整'!J113</x:f>
        <x:v>108</x:v>
      </x:c>
      <x:c r="X84" s="22" t="str">
        <x:v>["S0382"]</x:v>
      </x:c>
      <x:c r="Y84" s="22" t="str">
        <x:v>evidence/student_evidence.jsonl；student_key=2025秋:259403</x:v>
      </x:c>
      <x:c r="Z84" s="26" t="n">
        <x:f>IF(OR(B84="s3",B84="s6"),COUNTIFS($B$6:$B$179,B84,$K$6:$K$179,"&gt;"&amp;K84)+(COUNTIFS($B$6:$B$179,B84,$K$6:$K$179,K84)+1)/2,"NA")</x:f>
        <x:v>60</x:v>
      </x:c>
      <x:c r="AA84" s="26" t="n">
        <x:f>IF(OR(B84="s3",B84="s6"),COUNTIFS($B$6:$B$179,B84,$M$6:$M$179,"&gt;"&amp;M84)+(COUNTIFS($B$6:$B$179,B84,$M$6:$M$179,M84)+1)/2,"NA")</x:f>
        <x:v>112</x:v>
      </x:c>
      <x:c r="AB84" s="26" t="n">
        <x:f>IF(OR(B84="s3",B84="s6"),COUNTIFS($B$6:$B$179,B84,$O$6:$O$179,"&gt;"&amp;O84)+(COUNTIFS($B$6:$B$179,B84,$O$6:$O$179,O84)+1)/2,"NA")</x:f>
        <x:v>73</x:v>
      </x:c>
      <x:c r="AC84" s="26" t="n">
        <x:f>IF(OR(B84="s3",B84="s6"),COUNTIFS($B$6:$B$179,B84,$Q$6:$Q$179,"&gt;"&amp;Q84)+(COUNTIFS($B$6:$B$179,B84,$Q$6:$Q$179,Q84)+1)/2,"NA")</x:f>
        <x:v>41</x:v>
      </x:c>
    </x:row>
    <x:row r="85" ht="23" customHeight="1">
      <x:c r="A85" s="21" t="str">
        <x:v>2026春:268112</x:v>
      </x:c>
      <x:c r="B85" s="22" t="str">
        <x:v>s3</x:v>
      </x:c>
      <x:c r="C85" s="24" t="n">
        <x:v>1</x:v>
      </x:c>
      <x:c r="D85" s="24" t="n">
        <x:v>1</x:v>
      </x:c>
      <x:c r="E85" s="29" t="n">
        <x:f>'指标计算'!K149</x:f>
        <x:v>0.029851784894398523</x:v>
      </x:c>
      <x:c r="F85" s="29" t="n">
        <x:f>'指标计算'!L149</x:f>
        <x:v>0.3582214187327823</x:v>
      </x:c>
      <x:c r="G85" s="29" t="n">
        <x:f>'指标计算'!M149</x:f>
        <x:v>0.3582214187327823</x:v>
      </x:c>
      <x:c r="H85" s="29" t="n">
        <x:f>'指标计算'!N149</x:f>
        <x:v>0.5</x:v>
      </x:c>
      <x:c r="I85" s="30" t="n">
        <x:f>IF(COUNT('总览与权重'!$H$6:$K$6)=4,ROUND(100*SUMPRODUCT(E85:H85,'总览与权重'!$H$6:$K$6),12),"NA")</x:f>
        <x:v>30.224410296143</x:v>
      </x:c>
      <x:c r="J85" s="30" t="n">
        <x:f>IF(ISNUMBER(I85),COUNTIFS($I$6:$I$179,"&gt;"&amp;I85)+(COUNTIFS($I$6:$I$179,I85)+1)/2,"NA")</x:f>
        <x:v>80</x:v>
      </x:c>
      <x:c r="K85" s="30" t="n">
        <x:f>IF(COUNT('总览与权重'!$H$7:$K$7)=4,ROUND(100*SUMPRODUCT(E85:H85,'总览与权重'!$H$7:$K$7),12),"NA")</x:f>
        <x:v>32.090320821855</x:v>
      </x:c>
      <x:c r="L85" s="30" t="n">
        <x:f>IF(ISNUMBER(K85),COUNTIFS($K$6:$K$179,"&gt;"&amp;K85)+(COUNTIFS($K$6:$K$179,K85)+1)/2,"NA")</x:f>
        <x:v>66</x:v>
      </x:c>
      <x:c r="M85" s="30" t="n">
        <x:f>IF(COUNT('总览与权重'!$H$8:$K$8)=4,ROUND(100*SUMPRODUCT(E85:H85,'总览与权重'!$H$8:$K$8),12),"NA")</x:f>
        <x:v>32.575151371671</x:v>
      </x:c>
      <x:c r="N85" s="30" t="n">
        <x:f>IF(ISNUMBER(M85),COUNTIFS($M$6:$M$179,"&gt;"&amp;M85)+(COUNTIFS($M$6:$M$179,M85)+1)/2,"NA")</x:f>
        <x:v>119</x:v>
      </x:c>
      <x:c r="O85" s="30" t="n">
        <x:f>IF(COUNT('总览与权重'!$H$9:$K$9)=4,ROUND(100*SUMPRODUCT(E85:H85,'总览与权重'!$H$9:$K$9),12),"NA")</x:f>
        <x:v>32.40068689296</x:v>
      </x:c>
      <x:c r="P85" s="30" t="n">
        <x:f>IF(ISNUMBER(O85),COUNTIFS($O$6:$O$179,"&gt;"&amp;O85)+(COUNTIFS($O$6:$O$179,O85)+1)/2,"NA")</x:f>
        <x:v>81</x:v>
      </x:c>
      <x:c r="Q85" s="30" t="n">
        <x:f>IF(COUNT('总览与权重'!$H$10:$K$10)=4,ROUND(100*SUMPRODUCT(E85:H85,'总览与权重'!$H$10:$K$10),12),"NA")</x:f>
        <x:v>25.718973141594</x:v>
      </x:c>
      <x:c r="R85" s="30" t="n">
        <x:f>IF(ISNUMBER(Q85),COUNTIFS($Q$6:$Q$179,"&gt;"&amp;Q85)+(COUNTIFS($Q$6:$Q$179,Q85)+1)/2,"NA")</x:f>
        <x:v>59</x:v>
      </x:c>
      <x:c r="S85" s="31" t="n">
        <x:f>IF(OR(B85="s3",B85="s6"),COUNTIFS($B$6:$B$179,B85,$I$6:$I$179,"&gt;"&amp;I85)+(COUNTIFS($B$6:$B$179,B85,$I$6:$I$179,I85)+1)/2,"NA")</x:f>
        <x:v>75</x:v>
      </x:c>
      <x:c r="T85" s="26" t="str">
        <x:f>IF(COUNTIFS($I$6:$I$179,"&gt;"&amp;I85)&gt;=35,"非前20%",IF(COUNTIFS($I$6:$I$179,"&gt;="&amp;I85)&gt;=35,"边界同分","严格前20%"))</x:f>
        <x:v>非前20%</x:v>
      </x:c>
      <x:c r="U85" s="26" t="str">
        <x:f>IF(COUNTIFS($I$6:$I$179,"&lt;"&amp;I85)&gt;=35,"非后20%",IF(COUNTIFS($I$6:$I$179,"&lt;="&amp;I85)&gt;=35,"边界同分","严格后20%"))</x:f>
        <x:v>非后20%</x:v>
      </x:c>
      <x:c r="V85" s="26" t="n">
        <x:f>'基线调整'!I117</x:f>
        <x:v>54.704519077959</x:v>
      </x:c>
      <x:c r="W85" s="26" t="n">
        <x:f>'基线调整'!J117</x:f>
        <x:v>112</x:v>
      </x:c>
      <x:c r="X85" s="22" t="str">
        <x:v>["S0889"]</x:v>
      </x:c>
      <x:c r="Y85" s="22" t="str">
        <x:v>evidence/student_evidence.jsonl；student_key=2026春:268112</x:v>
      </x:c>
      <x:c r="Z85" s="26" t="n">
        <x:f>IF(OR(B85="s3",B85="s6"),COUNTIFS($B$6:$B$179,B85,$K$6:$K$179,"&gt;"&amp;K85)+(COUNTIFS($B$6:$B$179,B85,$K$6:$K$179,K85)+1)/2,"NA")</x:f>
        <x:v>61</x:v>
      </x:c>
      <x:c r="AA85" s="26" t="n">
        <x:f>IF(OR(B85="s3",B85="s6"),COUNTIFS($B$6:$B$179,B85,$M$6:$M$179,"&gt;"&amp;M85)+(COUNTIFS($B$6:$B$179,B85,$M$6:$M$179,M85)+1)/2,"NA")</x:f>
        <x:v>113</x:v>
      </x:c>
      <x:c r="AB85" s="26" t="n">
        <x:f>IF(OR(B85="s3",B85="s6"),COUNTIFS($B$6:$B$179,B85,$O$6:$O$179,"&gt;"&amp;O85)+(COUNTIFS($B$6:$B$179,B85,$O$6:$O$179,O85)+1)/2,"NA")</x:f>
        <x:v>76</x:v>
      </x:c>
      <x:c r="AC85" s="26" t="n">
        <x:f>IF(OR(B85="s3",B85="s6"),COUNTIFS($B$6:$B$179,B85,$Q$6:$Q$179,"&gt;"&amp;Q85)+(COUNTIFS($B$6:$B$179,B85,$Q$6:$Q$179,Q85)+1)/2,"NA")</x:f>
        <x:v>55</x:v>
      </x:c>
    </x:row>
    <x:row r="86" ht="23" customHeight="1">
      <x:c r="A86" s="21" t="str">
        <x:v>2025秋:258268</x:v>
      </x:c>
      <x:c r="B86" s="22" t="str">
        <x:v>s3</x:v>
      </x:c>
      <x:c r="C86" s="24" t="n">
        <x:v>1</x:v>
      </x:c>
      <x:c r="D86" s="24" t="n">
        <x:v>1</x:v>
      </x:c>
      <x:c r="E86" s="29" t="n">
        <x:f>'指标计算'!K9</x:f>
        <x:v>0</x:v>
      </x:c>
      <x:c r="F86" s="29" t="n">
        <x:f>'指标计算'!L9</x:f>
        <x:v>0</x:v>
      </x:c>
      <x:c r="G86" s="29" t="n">
        <x:f>'指标计算'!M9</x:f>
        <x:v>0</x:v>
      </x:c>
      <x:c r="H86" s="29" t="n">
        <x:f>'指标计算'!N9</x:f>
        <x:v>1</x:v>
      </x:c>
      <x:c r="I86" s="30" t="n">
        <x:f>IF(COUNT('总览与权重'!$H$6:$K$6)=4,ROUND(100*SUMPRODUCT(E86:H86,'总览与权重'!$H$6:$K$6),12),"NA")</x:f>
        <x:v>30</x:v>
      </x:c>
      <x:c r="J86" s="30" t="n">
        <x:f>IF(ISNUMBER(I86),COUNTIFS($I$6:$I$179,"&gt;"&amp;I86)+(COUNTIFS($I$6:$I$179,I86)+1)/2,"NA")</x:f>
        <x:v>100</x:v>
      </x:c>
      <x:c r="K86" s="30" t="n">
        <x:f>IF(COUNT('总览与权重'!$H$7:$K$7)=4,ROUND(100*SUMPRODUCT(E86:H86,'总览与权重'!$H$7:$K$7),12),"NA")</x:f>
        <x:v>20</x:v>
      </x:c>
      <x:c r="L86" s="30" t="n">
        <x:f>IF(ISNUMBER(K86),COUNTIFS($K$6:$K$179,"&gt;"&amp;K86)+(COUNTIFS($K$6:$K$179,K86)+1)/2,"NA")</x:f>
        <x:v>119</x:v>
      </x:c>
      <x:c r="M86" s="30" t="n">
        <x:f>IF(COUNT('总览与权重'!$H$8:$K$8)=4,ROUND(100*SUMPRODUCT(E86:H86,'总览与权重'!$H$8:$K$8),12),"NA")</x:f>
        <x:v>35</x:v>
      </x:c>
      <x:c r="N86" s="30" t="n">
        <x:f>IF(ISNUMBER(M86),COUNTIFS($M$6:$M$179,"&gt;"&amp;M86)+(COUNTIFS($M$6:$M$179,M86)+1)/2,"NA")</x:f>
        <x:v>94</x:v>
      </x:c>
      <x:c r="O86" s="30" t="n">
        <x:f>IF(COUNT('总览与权重'!$H$9:$K$9)=4,ROUND(100*SUMPRODUCT(E86:H86,'总览与权重'!$H$9:$K$9),12),"NA")</x:f>
        <x:v>30</x:v>
      </x:c>
      <x:c r="P86" s="30" t="n">
        <x:f>IF(ISNUMBER(O86),COUNTIFS($O$6:$O$179,"&gt;"&amp;O86)+(COUNTIFS($O$6:$O$179,O86)+1)/2,"NA")</x:f>
        <x:v>104</x:v>
      </x:c>
      <x:c r="Q86" s="30" t="n">
        <x:f>IF(COUNT('总览与权重'!$H$10:$K$10)=4,ROUND(100*SUMPRODUCT(E86:H86,'总览与权重'!$H$10:$K$10),12),"NA")</x:f>
        <x:v>3.423964915513</x:v>
      </x:c>
      <x:c r="R86" s="30" t="n">
        <x:f>IF(ISNUMBER(Q86),COUNTIFS($Q$6:$Q$179,"&gt;"&amp;Q86)+(COUNTIFS($Q$6:$Q$179,Q86)+1)/2,"NA")</x:f>
        <x:v>128</x:v>
      </x:c>
      <x:c r="S86" s="31" t="n">
        <x:f>IF(OR(B86="s3",B86="s6"),COUNTIFS($B$6:$B$179,B86,$I$6:$I$179,"&gt;"&amp;I86)+(COUNTIFS($B$6:$B$179,B86,$I$6:$I$179,I86)+1)/2,"NA")</x:f>
        <x:v>94.5</x:v>
      </x:c>
      <x:c r="T86" s="26" t="str">
        <x:f>IF(COUNTIFS($I$6:$I$179,"&gt;"&amp;I86)&gt;=35,"非前20%",IF(COUNTIFS($I$6:$I$179,"&gt;="&amp;I86)&gt;=35,"边界同分","严格前20%"))</x:f>
        <x:v>非前20%</x:v>
      </x:c>
      <x:c r="U86" s="26" t="str">
        <x:f>IF(COUNTIFS($I$6:$I$179,"&lt;"&amp;I86)&gt;=35,"非后20%",IF(COUNTIFS($I$6:$I$179,"&lt;="&amp;I86)&gt;=35,"边界同分","严格后20%"))</x:f>
        <x:v>非后20%</x:v>
      </x:c>
      <x:c r="V86" s="26" t="n">
        <x:f>'基线调整'!I71</x:f>
        <x:v>63.00320181785</x:v>
      </x:c>
      <x:c r="W86" s="26" t="n">
        <x:f>'基线调整'!J71</x:f>
        <x:v>67.5</x:v>
      </x:c>
      <x:c r="X86" s="22" t="str">
        <x:v>["S0259"]</x:v>
      </x:c>
      <x:c r="Y86" s="22" t="str">
        <x:v>evidence/student_evidence.jsonl；student_key=2025秋:258268</x:v>
      </x:c>
      <x:c r="Z86" s="26" t="n">
        <x:f>IF(OR(B86="s3",B86="s6"),COUNTIFS($B$6:$B$179,B86,$K$6:$K$179,"&gt;"&amp;K86)+(COUNTIFS($B$6:$B$179,B86,$K$6:$K$179,K86)+1)/2,"NA")</x:f>
        <x:v>111.5</x:v>
      </x:c>
      <x:c r="AA86" s="26" t="n">
        <x:f>IF(OR(B86="s3",B86="s6"),COUNTIFS($B$6:$B$179,B86,$M$6:$M$179,"&gt;"&amp;M86)+(COUNTIFS($B$6:$B$179,B86,$M$6:$M$179,M86)+1)/2,"NA")</x:f>
        <x:v>89.5</x:v>
      </x:c>
      <x:c r="AB86" s="26" t="n">
        <x:f>IF(OR(B86="s3",B86="s6"),COUNTIFS($B$6:$B$179,B86,$O$6:$O$179,"&gt;"&amp;O86)+(COUNTIFS($B$6:$B$179,B86,$O$6:$O$179,O86)+1)/2,"NA")</x:f>
        <x:v>98.5</x:v>
      </x:c>
      <x:c r="AC86" s="26" t="n">
        <x:f>IF(OR(B86="s3",B86="s6"),COUNTIFS($B$6:$B$179,B86,$Q$6:$Q$179,"&gt;"&amp;Q86)+(COUNTIFS($B$6:$B$179,B86,$Q$6:$Q$179,Q86)+1)/2,"NA")</x:f>
        <x:v>120.5</x:v>
      </x:c>
    </x:row>
    <x:row r="87" ht="23" customHeight="1">
      <x:c r="A87" s="21" t="str">
        <x:v>2025秋:258425</x:v>
      </x:c>
      <x:c r="B87" s="22" t="str">
        <x:v>s3</x:v>
      </x:c>
      <x:c r="C87" s="24" t="n">
        <x:v>1</x:v>
      </x:c>
      <x:c r="D87" s="24" t="n">
        <x:v>1</x:v>
      </x:c>
      <x:c r="E87" s="29" t="n">
        <x:f>'指标计算'!K12</x:f>
        <x:v>0</x:v>
      </x:c>
      <x:c r="F87" s="29" t="n">
        <x:f>'指标计算'!L12</x:f>
        <x:v>0</x:v>
      </x:c>
      <x:c r="G87" s="29" t="n">
        <x:f>'指标计算'!M12</x:f>
        <x:v>0</x:v>
      </x:c>
      <x:c r="H87" s="29" t="n">
        <x:f>'指标计算'!N12</x:f>
        <x:v>1</x:v>
      </x:c>
      <x:c r="I87" s="30" t="n">
        <x:f>IF(COUNT('总览与权重'!$H$6:$K$6)=4,ROUND(100*SUMPRODUCT(E87:H87,'总览与权重'!$H$6:$K$6),12),"NA")</x:f>
        <x:v>30</x:v>
      </x:c>
      <x:c r="J87" s="30" t="n">
        <x:f>IF(ISNUMBER(I87),COUNTIFS($I$6:$I$179,"&gt;"&amp;I87)+(COUNTIFS($I$6:$I$179,I87)+1)/2,"NA")</x:f>
        <x:v>100</x:v>
      </x:c>
      <x:c r="K87" s="30" t="n">
        <x:f>IF(COUNT('总览与权重'!$H$7:$K$7)=4,ROUND(100*SUMPRODUCT(E87:H87,'总览与权重'!$H$7:$K$7),12),"NA")</x:f>
        <x:v>20</x:v>
      </x:c>
      <x:c r="L87" s="30" t="n">
        <x:f>IF(ISNUMBER(K87),COUNTIFS($K$6:$K$179,"&gt;"&amp;K87)+(COUNTIFS($K$6:$K$179,K87)+1)/2,"NA")</x:f>
        <x:v>119</x:v>
      </x:c>
      <x:c r="M87" s="30" t="n">
        <x:f>IF(COUNT('总览与权重'!$H$8:$K$8)=4,ROUND(100*SUMPRODUCT(E87:H87,'总览与权重'!$H$8:$K$8),12),"NA")</x:f>
        <x:v>35</x:v>
      </x:c>
      <x:c r="N87" s="30" t="n">
        <x:f>IF(ISNUMBER(M87),COUNTIFS($M$6:$M$179,"&gt;"&amp;M87)+(COUNTIFS($M$6:$M$179,M87)+1)/2,"NA")</x:f>
        <x:v>94</x:v>
      </x:c>
      <x:c r="O87" s="30" t="n">
        <x:f>IF(COUNT('总览与权重'!$H$9:$K$9)=4,ROUND(100*SUMPRODUCT(E87:H87,'总览与权重'!$H$9:$K$9),12),"NA")</x:f>
        <x:v>30</x:v>
      </x:c>
      <x:c r="P87" s="30" t="n">
        <x:f>IF(ISNUMBER(O87),COUNTIFS($O$6:$O$179,"&gt;"&amp;O87)+(COUNTIFS($O$6:$O$179,O87)+1)/2,"NA")</x:f>
        <x:v>104</x:v>
      </x:c>
      <x:c r="Q87" s="30" t="n">
        <x:f>IF(COUNT('总览与权重'!$H$10:$K$10)=4,ROUND(100*SUMPRODUCT(E87:H87,'总览与权重'!$H$10:$K$10),12),"NA")</x:f>
        <x:v>3.423964915513</x:v>
      </x:c>
      <x:c r="R87" s="30" t="n">
        <x:f>IF(ISNUMBER(Q87),COUNTIFS($Q$6:$Q$179,"&gt;"&amp;Q87)+(COUNTIFS($Q$6:$Q$179,Q87)+1)/2,"NA")</x:f>
        <x:v>128</x:v>
      </x:c>
      <x:c r="S87" s="31" t="n">
        <x:f>IF(OR(B87="s3",B87="s6"),COUNTIFS($B$6:$B$179,B87,$I$6:$I$179,"&gt;"&amp;I87)+(COUNTIFS($B$6:$B$179,B87,$I$6:$I$179,I87)+1)/2,"NA")</x:f>
        <x:v>94.5</x:v>
      </x:c>
      <x:c r="T87" s="26" t="str">
        <x:f>IF(COUNTIFS($I$6:$I$179,"&gt;"&amp;I87)&gt;=35,"非前20%",IF(COUNTIFS($I$6:$I$179,"&gt;="&amp;I87)&gt;=35,"边界同分","严格前20%"))</x:f>
        <x:v>非前20%</x:v>
      </x:c>
      <x:c r="U87" s="26" t="str">
        <x:f>IF(COUNTIFS($I$6:$I$179,"&lt;"&amp;I87)&gt;=35,"非后20%",IF(COUNTIFS($I$6:$I$179,"&lt;="&amp;I87)&gt;=35,"边界同分","严格后20%"))</x:f>
        <x:v>非后20%</x:v>
      </x:c>
      <x:c r="V87" s="26" t="n">
        <x:f>'基线调整'!I68</x:f>
        <x:v>63.026574811664</x:v>
      </x:c>
      <x:c r="W87" s="26" t="n">
        <x:f>'基线调整'!J68</x:f>
        <x:v>64</x:v>
      </x:c>
      <x:c r="X87" s="22" t="str">
        <x:v>["S0319"]</x:v>
      </x:c>
      <x:c r="Y87" s="22" t="str">
        <x:v>evidence/student_evidence.jsonl；student_key=2025秋:258425</x:v>
      </x:c>
      <x:c r="Z87" s="26" t="n">
        <x:f>IF(OR(B87="s3",B87="s6"),COUNTIFS($B$6:$B$179,B87,$K$6:$K$179,"&gt;"&amp;K87)+(COUNTIFS($B$6:$B$179,B87,$K$6:$K$179,K87)+1)/2,"NA")</x:f>
        <x:v>111.5</x:v>
      </x:c>
      <x:c r="AA87" s="26" t="n">
        <x:f>IF(OR(B87="s3",B87="s6"),COUNTIFS($B$6:$B$179,B87,$M$6:$M$179,"&gt;"&amp;M87)+(COUNTIFS($B$6:$B$179,B87,$M$6:$M$179,M87)+1)/2,"NA")</x:f>
        <x:v>89.5</x:v>
      </x:c>
      <x:c r="AB87" s="26" t="n">
        <x:f>IF(OR(B87="s3",B87="s6"),COUNTIFS($B$6:$B$179,B87,$O$6:$O$179,"&gt;"&amp;O87)+(COUNTIFS($B$6:$B$179,B87,$O$6:$O$179,O87)+1)/2,"NA")</x:f>
        <x:v>98.5</x:v>
      </x:c>
      <x:c r="AC87" s="26" t="n">
        <x:f>IF(OR(B87="s3",B87="s6"),COUNTIFS($B$6:$B$179,B87,$Q$6:$Q$179,"&gt;"&amp;Q87)+(COUNTIFS($B$6:$B$179,B87,$Q$6:$Q$179,Q87)+1)/2,"NA")</x:f>
        <x:v>120.5</x:v>
      </x:c>
    </x:row>
    <x:row r="88" ht="23" customHeight="1">
      <x:c r="A88" s="21" t="str">
        <x:v>2025秋:258439</x:v>
      </x:c>
      <x:c r="B88" s="22" t="str">
        <x:v>s6</x:v>
      </x:c>
      <x:c r="C88" s="24" t="n">
        <x:v>1</x:v>
      </x:c>
      <x:c r="D88" s="24" t="n">
        <x:v>1</x:v>
      </x:c>
      <x:c r="E88" s="29" t="n">
        <x:f>'指标计算'!K16</x:f>
        <x:v>0</x:v>
      </x:c>
      <x:c r="F88" s="29" t="n">
        <x:f>'指标计算'!L16</x:f>
        <x:v>0</x:v>
      </x:c>
      <x:c r="G88" s="29" t="n">
        <x:f>'指标计算'!M16</x:f>
        <x:v>0</x:v>
      </x:c>
      <x:c r="H88" s="29" t="n">
        <x:f>'指标计算'!N16</x:f>
        <x:v>1</x:v>
      </x:c>
      <x:c r="I88" s="30" t="n">
        <x:f>IF(COUNT('总览与权重'!$H$6:$K$6)=4,ROUND(100*SUMPRODUCT(E88:H88,'总览与权重'!$H$6:$K$6),12),"NA")</x:f>
        <x:v>30</x:v>
      </x:c>
      <x:c r="J88" s="30" t="n">
        <x:f>IF(ISNUMBER(I88),COUNTIFS($I$6:$I$179,"&gt;"&amp;I88)+(COUNTIFS($I$6:$I$179,I88)+1)/2,"NA")</x:f>
        <x:v>100</x:v>
      </x:c>
      <x:c r="K88" s="30" t="n">
        <x:f>IF(COUNT('总览与权重'!$H$7:$K$7)=4,ROUND(100*SUMPRODUCT(E88:H88,'总览与权重'!$H$7:$K$7),12),"NA")</x:f>
        <x:v>20</x:v>
      </x:c>
      <x:c r="L88" s="30" t="n">
        <x:f>IF(ISNUMBER(K88),COUNTIFS($K$6:$K$179,"&gt;"&amp;K88)+(COUNTIFS($K$6:$K$179,K88)+1)/2,"NA")</x:f>
        <x:v>119</x:v>
      </x:c>
      <x:c r="M88" s="30" t="n">
        <x:f>IF(COUNT('总览与权重'!$H$8:$K$8)=4,ROUND(100*SUMPRODUCT(E88:H88,'总览与权重'!$H$8:$K$8),12),"NA")</x:f>
        <x:v>35</x:v>
      </x:c>
      <x:c r="N88" s="30" t="n">
        <x:f>IF(ISNUMBER(M88),COUNTIFS($M$6:$M$179,"&gt;"&amp;M88)+(COUNTIFS($M$6:$M$179,M88)+1)/2,"NA")</x:f>
        <x:v>94</x:v>
      </x:c>
      <x:c r="O88" s="30" t="n">
        <x:f>IF(COUNT('总览与权重'!$H$9:$K$9)=4,ROUND(100*SUMPRODUCT(E88:H88,'总览与权重'!$H$9:$K$9),12),"NA")</x:f>
        <x:v>30</x:v>
      </x:c>
      <x:c r="P88" s="30" t="n">
        <x:f>IF(ISNUMBER(O88),COUNTIFS($O$6:$O$179,"&gt;"&amp;O88)+(COUNTIFS($O$6:$O$179,O88)+1)/2,"NA")</x:f>
        <x:v>104</x:v>
      </x:c>
      <x:c r="Q88" s="30" t="n">
        <x:f>IF(COUNT('总览与权重'!$H$10:$K$10)=4,ROUND(100*SUMPRODUCT(E88:H88,'总览与权重'!$H$10:$K$10),12),"NA")</x:f>
        <x:v>3.423964915513</x:v>
      </x:c>
      <x:c r="R88" s="30" t="n">
        <x:f>IF(ISNUMBER(Q88),COUNTIFS($Q$6:$Q$179,"&gt;"&amp;Q88)+(COUNTIFS($Q$6:$Q$179,Q88)+1)/2,"NA")</x:f>
        <x:v>128</x:v>
      </x:c>
      <x:c r="S88" s="31" t="n">
        <x:f>IF(OR(B88="s3",B88="s6"),COUNTIFS($B$6:$B$179,B88,$I$6:$I$179,"&gt;"&amp;I88)+(COUNTIFS($B$6:$B$179,B88,$I$6:$I$179,I88)+1)/2,"NA")</x:f>
        <x:v>6</x:v>
      </x:c>
      <x:c r="T88" s="26" t="str">
        <x:f>IF(COUNTIFS($I$6:$I$179,"&gt;"&amp;I88)&gt;=35,"非前20%",IF(COUNTIFS($I$6:$I$179,"&gt;="&amp;I88)&gt;=35,"边界同分","严格前20%"))</x:f>
        <x:v>非前20%</x:v>
      </x:c>
      <x:c r="U88" s="26" t="str">
        <x:f>IF(COUNTIFS($I$6:$I$179,"&lt;"&amp;I88)&gt;=35,"非后20%",IF(COUNTIFS($I$6:$I$179,"&lt;="&amp;I88)&gt;=35,"边界同分","严格后20%"))</x:f>
        <x:v>非后20%</x:v>
      </x:c>
      <x:c r="V88" s="26" t="n">
        <x:f>'基线调整'!I102</x:f>
        <x:v>61.648571428571</x:v>
      </x:c>
      <x:c r="W88" s="26" t="n">
        <x:f>'基线调整'!J102</x:f>
        <x:v>97</x:v>
      </x:c>
      <x:c r="X88" s="22" t="str">
        <x:v>["S0280"]</x:v>
      </x:c>
      <x:c r="Y88" s="22" t="str">
        <x:v>evidence/student_evidence.jsonl；student_key=2025秋:258439</x:v>
      </x:c>
      <x:c r="Z88" s="26" t="n">
        <x:f>IF(OR(B88="s3",B88="s6"),COUNTIFS($B$6:$B$179,B88,$K$6:$K$179,"&gt;"&amp;K88)+(COUNTIFS($B$6:$B$179,B88,$K$6:$K$179,K88)+1)/2,"NA")</x:f>
        <x:v>7</x:v>
      </x:c>
      <x:c r="AA88" s="26" t="n">
        <x:f>IF(OR(B88="s3",B88="s6"),COUNTIFS($B$6:$B$179,B88,$M$6:$M$179,"&gt;"&amp;M88)+(COUNTIFS($B$6:$B$179,B88,$M$6:$M$179,M88)+1)/2,"NA")</x:f>
        <x:v>5</x:v>
      </x:c>
      <x:c r="AB88" s="26" t="n">
        <x:f>IF(OR(B88="s3",B88="s6"),COUNTIFS($B$6:$B$179,B88,$O$6:$O$179,"&gt;"&amp;O88)+(COUNTIFS($B$6:$B$179,B88,$O$6:$O$179,O88)+1)/2,"NA")</x:f>
        <x:v>6</x:v>
      </x:c>
      <x:c r="AC88" s="26" t="n">
        <x:f>IF(OR(B88="s3",B88="s6"),COUNTIFS($B$6:$B$179,B88,$Q$6:$Q$179,"&gt;"&amp;Q88)+(COUNTIFS($B$6:$B$179,B88,$Q$6:$Q$179,Q88)+1)/2,"NA")</x:f>
        <x:v>7</x:v>
      </x:c>
    </x:row>
    <x:row r="89" ht="23" customHeight="1">
      <x:c r="A89" s="21" t="str">
        <x:v>2025秋:258440</x:v>
      </x:c>
      <x:c r="B89" s="22" t="str">
        <x:v>s3</x:v>
      </x:c>
      <x:c r="C89" s="24" t="n">
        <x:v>2</x:v>
      </x:c>
      <x:c r="D89" s="24" t="n">
        <x:v>2</x:v>
      </x:c>
      <x:c r="E89" s="29" t="n">
        <x:f>'指标计算'!K17</x:f>
        <x:v>0</x:v>
      </x:c>
      <x:c r="F89" s="29" t="n">
        <x:f>'指标计算'!L17</x:f>
        <x:v>0</x:v>
      </x:c>
      <x:c r="G89" s="29" t="n">
        <x:f>'指标计算'!M17</x:f>
        <x:v>0</x:v>
      </x:c>
      <x:c r="H89" s="29" t="n">
        <x:f>'指标计算'!N17</x:f>
        <x:v>1</x:v>
      </x:c>
      <x:c r="I89" s="30" t="n">
        <x:f>IF(COUNT('总览与权重'!$H$6:$K$6)=4,ROUND(100*SUMPRODUCT(E89:H89,'总览与权重'!$H$6:$K$6),12),"NA")</x:f>
        <x:v>30</x:v>
      </x:c>
      <x:c r="J89" s="30" t="n">
        <x:f>IF(ISNUMBER(I89),COUNTIFS($I$6:$I$179,"&gt;"&amp;I89)+(COUNTIFS($I$6:$I$179,I89)+1)/2,"NA")</x:f>
        <x:v>100</x:v>
      </x:c>
      <x:c r="K89" s="30" t="n">
        <x:f>IF(COUNT('总览与权重'!$H$7:$K$7)=4,ROUND(100*SUMPRODUCT(E89:H89,'总览与权重'!$H$7:$K$7),12),"NA")</x:f>
        <x:v>20</x:v>
      </x:c>
      <x:c r="L89" s="30" t="n">
        <x:f>IF(ISNUMBER(K89),COUNTIFS($K$6:$K$179,"&gt;"&amp;K89)+(COUNTIFS($K$6:$K$179,K89)+1)/2,"NA")</x:f>
        <x:v>119</x:v>
      </x:c>
      <x:c r="M89" s="30" t="n">
        <x:f>IF(COUNT('总览与权重'!$H$8:$K$8)=4,ROUND(100*SUMPRODUCT(E89:H89,'总览与权重'!$H$8:$K$8),12),"NA")</x:f>
        <x:v>35</x:v>
      </x:c>
      <x:c r="N89" s="30" t="n">
        <x:f>IF(ISNUMBER(M89),COUNTIFS($M$6:$M$179,"&gt;"&amp;M89)+(COUNTIFS($M$6:$M$179,M89)+1)/2,"NA")</x:f>
        <x:v>94</x:v>
      </x:c>
      <x:c r="O89" s="30" t="n">
        <x:f>IF(COUNT('总览与权重'!$H$9:$K$9)=4,ROUND(100*SUMPRODUCT(E89:H89,'总览与权重'!$H$9:$K$9),12),"NA")</x:f>
        <x:v>30</x:v>
      </x:c>
      <x:c r="P89" s="30" t="n">
        <x:f>IF(ISNUMBER(O89),COUNTIFS($O$6:$O$179,"&gt;"&amp;O89)+(COUNTIFS($O$6:$O$179,O89)+1)/2,"NA")</x:f>
        <x:v>104</x:v>
      </x:c>
      <x:c r="Q89" s="30" t="n">
        <x:f>IF(COUNT('总览与权重'!$H$10:$K$10)=4,ROUND(100*SUMPRODUCT(E89:H89,'总览与权重'!$H$10:$K$10),12),"NA")</x:f>
        <x:v>3.423964915513</x:v>
      </x:c>
      <x:c r="R89" s="30" t="n">
        <x:f>IF(ISNUMBER(Q89),COUNTIFS($Q$6:$Q$179,"&gt;"&amp;Q89)+(COUNTIFS($Q$6:$Q$179,Q89)+1)/2,"NA")</x:f>
        <x:v>128</x:v>
      </x:c>
      <x:c r="S89" s="31" t="n">
        <x:f>IF(OR(B89="s3",B89="s6"),COUNTIFS($B$6:$B$179,B89,$I$6:$I$179,"&gt;"&amp;I89)+(COUNTIFS($B$6:$B$179,B89,$I$6:$I$179,I89)+1)/2,"NA")</x:f>
        <x:v>94.5</x:v>
      </x:c>
      <x:c r="T89" s="26" t="str">
        <x:f>IF(COUNTIFS($I$6:$I$179,"&gt;"&amp;I89)&gt;=35,"非前20%",IF(COUNTIFS($I$6:$I$179,"&gt;="&amp;I89)&gt;=35,"边界同分","严格前20%"))</x:f>
        <x:v>非前20%</x:v>
      </x:c>
      <x:c r="U89" s="26" t="str">
        <x:f>IF(COUNTIFS($I$6:$I$179,"&lt;"&amp;I89)&gt;=35,"非后20%",IF(COUNTIFS($I$6:$I$179,"&lt;="&amp;I89)&gt;=35,"边界同分","严格后20%"))</x:f>
        <x:v>非后20%</x:v>
      </x:c>
      <x:c r="V89" s="26" t="n">
        <x:f>'基线调整'!I76</x:f>
        <x:v>62.697516711359</x:v>
      </x:c>
      <x:c r="W89" s="26" t="n">
        <x:f>'基线调整'!J76</x:f>
        <x:v>71</x:v>
      </x:c>
      <x:c r="X89" s="22" t="str">
        <x:v>["S0350","S0666"]</x:v>
      </x:c>
      <x:c r="Y89" s="22" t="str">
        <x:v>evidence/student_evidence.jsonl；student_key=2025秋:258440</x:v>
      </x:c>
      <x:c r="Z89" s="26" t="n">
        <x:f>IF(OR(B89="s3",B89="s6"),COUNTIFS($B$6:$B$179,B89,$K$6:$K$179,"&gt;"&amp;K89)+(COUNTIFS($B$6:$B$179,B89,$K$6:$K$179,K89)+1)/2,"NA")</x:f>
        <x:v>111.5</x:v>
      </x:c>
      <x:c r="AA89" s="26" t="n">
        <x:f>IF(OR(B89="s3",B89="s6"),COUNTIFS($B$6:$B$179,B89,$M$6:$M$179,"&gt;"&amp;M89)+(COUNTIFS($B$6:$B$179,B89,$M$6:$M$179,M89)+1)/2,"NA")</x:f>
        <x:v>89.5</x:v>
      </x:c>
      <x:c r="AB89" s="26" t="n">
        <x:f>IF(OR(B89="s3",B89="s6"),COUNTIFS($B$6:$B$179,B89,$O$6:$O$179,"&gt;"&amp;O89)+(COUNTIFS($B$6:$B$179,B89,$O$6:$O$179,O89)+1)/2,"NA")</x:f>
        <x:v>98.5</x:v>
      </x:c>
      <x:c r="AC89" s="26" t="n">
        <x:f>IF(OR(B89="s3",B89="s6"),COUNTIFS($B$6:$B$179,B89,$Q$6:$Q$179,"&gt;"&amp;Q89)+(COUNTIFS($B$6:$B$179,B89,$Q$6:$Q$179,Q89)+1)/2,"NA")</x:f>
        <x:v>120.5</x:v>
      </x:c>
    </x:row>
    <x:row r="90" ht="23" customHeight="1">
      <x:c r="A90" s="21" t="str">
        <x:v>2025秋:258868</x:v>
      </x:c>
      <x:c r="B90" s="22" t="str">
        <x:v>s3</x:v>
      </x:c>
      <x:c r="C90" s="24" t="n">
        <x:v>1</x:v>
      </x:c>
      <x:c r="D90" s="24" t="n">
        <x:v>1</x:v>
      </x:c>
      <x:c r="E90" s="29" t="n">
        <x:f>'指标计算'!K26</x:f>
        <x:v>0</x:v>
      </x:c>
      <x:c r="F90" s="29" t="n">
        <x:f>'指标计算'!L26</x:f>
        <x:v>0</x:v>
      </x:c>
      <x:c r="G90" s="29" t="n">
        <x:f>'指标计算'!M26</x:f>
        <x:v>0</x:v>
      </x:c>
      <x:c r="H90" s="29" t="n">
        <x:f>'指标计算'!N26</x:f>
        <x:v>1</x:v>
      </x:c>
      <x:c r="I90" s="30" t="n">
        <x:f>IF(COUNT('总览与权重'!$H$6:$K$6)=4,ROUND(100*SUMPRODUCT(E90:H90,'总览与权重'!$H$6:$K$6),12),"NA")</x:f>
        <x:v>30</x:v>
      </x:c>
      <x:c r="J90" s="30" t="n">
        <x:f>IF(ISNUMBER(I90),COUNTIFS($I$6:$I$179,"&gt;"&amp;I90)+(COUNTIFS($I$6:$I$179,I90)+1)/2,"NA")</x:f>
        <x:v>100</x:v>
      </x:c>
      <x:c r="K90" s="30" t="n">
        <x:f>IF(COUNT('总览与权重'!$H$7:$K$7)=4,ROUND(100*SUMPRODUCT(E90:H90,'总览与权重'!$H$7:$K$7),12),"NA")</x:f>
        <x:v>20</x:v>
      </x:c>
      <x:c r="L90" s="30" t="n">
        <x:f>IF(ISNUMBER(K90),COUNTIFS($K$6:$K$179,"&gt;"&amp;K90)+(COUNTIFS($K$6:$K$179,K90)+1)/2,"NA")</x:f>
        <x:v>119</x:v>
      </x:c>
      <x:c r="M90" s="30" t="n">
        <x:f>IF(COUNT('总览与权重'!$H$8:$K$8)=4,ROUND(100*SUMPRODUCT(E90:H90,'总览与权重'!$H$8:$K$8),12),"NA")</x:f>
        <x:v>35</x:v>
      </x:c>
      <x:c r="N90" s="30" t="n">
        <x:f>IF(ISNUMBER(M90),COUNTIFS($M$6:$M$179,"&gt;"&amp;M90)+(COUNTIFS($M$6:$M$179,M90)+1)/2,"NA")</x:f>
        <x:v>94</x:v>
      </x:c>
      <x:c r="O90" s="30" t="n">
        <x:f>IF(COUNT('总览与权重'!$H$9:$K$9)=4,ROUND(100*SUMPRODUCT(E90:H90,'总览与权重'!$H$9:$K$9),12),"NA")</x:f>
        <x:v>30</x:v>
      </x:c>
      <x:c r="P90" s="30" t="n">
        <x:f>IF(ISNUMBER(O90),COUNTIFS($O$6:$O$179,"&gt;"&amp;O90)+(COUNTIFS($O$6:$O$179,O90)+1)/2,"NA")</x:f>
        <x:v>104</x:v>
      </x:c>
      <x:c r="Q90" s="30" t="n">
        <x:f>IF(COUNT('总览与权重'!$H$10:$K$10)=4,ROUND(100*SUMPRODUCT(E90:H90,'总览与权重'!$H$10:$K$10),12),"NA")</x:f>
        <x:v>3.423964915513</x:v>
      </x:c>
      <x:c r="R90" s="30" t="n">
        <x:f>IF(ISNUMBER(Q90),COUNTIFS($Q$6:$Q$179,"&gt;"&amp;Q90)+(COUNTIFS($Q$6:$Q$179,Q90)+1)/2,"NA")</x:f>
        <x:v>128</x:v>
      </x:c>
      <x:c r="S90" s="31" t="n">
        <x:f>IF(OR(B90="s3",B90="s6"),COUNTIFS($B$6:$B$179,B90,$I$6:$I$179,"&gt;"&amp;I90)+(COUNTIFS($B$6:$B$179,B90,$I$6:$I$179,I90)+1)/2,"NA")</x:f>
        <x:v>94.5</x:v>
      </x:c>
      <x:c r="T90" s="26" t="str">
        <x:f>IF(COUNTIFS($I$6:$I$179,"&gt;"&amp;I90)&gt;=35,"非前20%",IF(COUNTIFS($I$6:$I$179,"&gt;="&amp;I90)&gt;=35,"边界同分","严格前20%"))</x:f>
        <x:v>非前20%</x:v>
      </x:c>
      <x:c r="U90" s="26" t="str">
        <x:f>IF(COUNTIFS($I$6:$I$179,"&lt;"&amp;I90)&gt;=35,"非后20%",IF(COUNTIFS($I$6:$I$179,"&lt;="&amp;I90)&gt;=35,"边界同分","严格后20%"))</x:f>
        <x:v>非后20%</x:v>
      </x:c>
      <x:c r="V90" s="26" t="n">
        <x:f>'基线调整'!I85</x:f>
        <x:v>62.176785714286</x:v>
      </x:c>
      <x:c r="W90" s="26" t="n">
        <x:f>'基线调整'!J85</x:f>
        <x:v>80</x:v>
      </x:c>
      <x:c r="X90" s="22" t="str">
        <x:v>["S0028"]</x:v>
      </x:c>
      <x:c r="Y90" s="22" t="str">
        <x:v>evidence/student_evidence.jsonl；student_key=2025秋:258868</x:v>
      </x:c>
      <x:c r="Z90" s="26" t="n">
        <x:f>IF(OR(B90="s3",B90="s6"),COUNTIFS($B$6:$B$179,B90,$K$6:$K$179,"&gt;"&amp;K90)+(COUNTIFS($B$6:$B$179,B90,$K$6:$K$179,K90)+1)/2,"NA")</x:f>
        <x:v>111.5</x:v>
      </x:c>
      <x:c r="AA90" s="26" t="n">
        <x:f>IF(OR(B90="s3",B90="s6"),COUNTIFS($B$6:$B$179,B90,$M$6:$M$179,"&gt;"&amp;M90)+(COUNTIFS($B$6:$B$179,B90,$M$6:$M$179,M90)+1)/2,"NA")</x:f>
        <x:v>89.5</x:v>
      </x:c>
      <x:c r="AB90" s="26" t="n">
        <x:f>IF(OR(B90="s3",B90="s6"),COUNTIFS($B$6:$B$179,B90,$O$6:$O$179,"&gt;"&amp;O90)+(COUNTIFS($B$6:$B$179,B90,$O$6:$O$179,O90)+1)/2,"NA")</x:f>
        <x:v>98.5</x:v>
      </x:c>
      <x:c r="AC90" s="26" t="n">
        <x:f>IF(OR(B90="s3",B90="s6"),COUNTIFS($B$6:$B$179,B90,$Q$6:$Q$179,"&gt;"&amp;Q90)+(COUNTIFS($B$6:$B$179,B90,$Q$6:$Q$179,Q90)+1)/2,"NA")</x:f>
        <x:v>120.5</x:v>
      </x:c>
    </x:row>
    <x:row r="91" ht="23" customHeight="1">
      <x:c r="A91" s="21" t="str">
        <x:v>2025秋:258880</x:v>
      </x:c>
      <x:c r="B91" s="22" t="str">
        <x:v>s3</x:v>
      </x:c>
      <x:c r="C91" s="24" t="n">
        <x:v>1</x:v>
      </x:c>
      <x:c r="D91" s="24" t="n">
        <x:v>1</x:v>
      </x:c>
      <x:c r="E91" s="29" t="n">
        <x:f>'指标计算'!K28</x:f>
        <x:v>0</x:v>
      </x:c>
      <x:c r="F91" s="29" t="n">
        <x:f>'指标计算'!L28</x:f>
        <x:v>0</x:v>
      </x:c>
      <x:c r="G91" s="29" t="n">
        <x:f>'指标计算'!M28</x:f>
        <x:v>0</x:v>
      </x:c>
      <x:c r="H91" s="29" t="n">
        <x:f>'指标计算'!N28</x:f>
        <x:v>1</x:v>
      </x:c>
      <x:c r="I91" s="30" t="n">
        <x:f>IF(COUNT('总览与权重'!$H$6:$K$6)=4,ROUND(100*SUMPRODUCT(E91:H91,'总览与权重'!$H$6:$K$6),12),"NA")</x:f>
        <x:v>30</x:v>
      </x:c>
      <x:c r="J91" s="30" t="n">
        <x:f>IF(ISNUMBER(I91),COUNTIFS($I$6:$I$179,"&gt;"&amp;I91)+(COUNTIFS($I$6:$I$179,I91)+1)/2,"NA")</x:f>
        <x:v>100</x:v>
      </x:c>
      <x:c r="K91" s="30" t="n">
        <x:f>IF(COUNT('总览与权重'!$H$7:$K$7)=4,ROUND(100*SUMPRODUCT(E91:H91,'总览与权重'!$H$7:$K$7),12),"NA")</x:f>
        <x:v>20</x:v>
      </x:c>
      <x:c r="L91" s="30" t="n">
        <x:f>IF(ISNUMBER(K91),COUNTIFS($K$6:$K$179,"&gt;"&amp;K91)+(COUNTIFS($K$6:$K$179,K91)+1)/2,"NA")</x:f>
        <x:v>119</x:v>
      </x:c>
      <x:c r="M91" s="30" t="n">
        <x:f>IF(COUNT('总览与权重'!$H$8:$K$8)=4,ROUND(100*SUMPRODUCT(E91:H91,'总览与权重'!$H$8:$K$8),12),"NA")</x:f>
        <x:v>35</x:v>
      </x:c>
      <x:c r="N91" s="30" t="n">
        <x:f>IF(ISNUMBER(M91),COUNTIFS($M$6:$M$179,"&gt;"&amp;M91)+(COUNTIFS($M$6:$M$179,M91)+1)/2,"NA")</x:f>
        <x:v>94</x:v>
      </x:c>
      <x:c r="O91" s="30" t="n">
        <x:f>IF(COUNT('总览与权重'!$H$9:$K$9)=4,ROUND(100*SUMPRODUCT(E91:H91,'总览与权重'!$H$9:$K$9),12),"NA")</x:f>
        <x:v>30</x:v>
      </x:c>
      <x:c r="P91" s="30" t="n">
        <x:f>IF(ISNUMBER(O91),COUNTIFS($O$6:$O$179,"&gt;"&amp;O91)+(COUNTIFS($O$6:$O$179,O91)+1)/2,"NA")</x:f>
        <x:v>104</x:v>
      </x:c>
      <x:c r="Q91" s="30" t="n">
        <x:f>IF(COUNT('总览与权重'!$H$10:$K$10)=4,ROUND(100*SUMPRODUCT(E91:H91,'总览与权重'!$H$10:$K$10),12),"NA")</x:f>
        <x:v>3.423964915513</x:v>
      </x:c>
      <x:c r="R91" s="30" t="n">
        <x:f>IF(ISNUMBER(Q91),COUNTIFS($Q$6:$Q$179,"&gt;"&amp;Q91)+(COUNTIFS($Q$6:$Q$179,Q91)+1)/2,"NA")</x:f>
        <x:v>128</x:v>
      </x:c>
      <x:c r="S91" s="31" t="n">
        <x:f>IF(OR(B91="s3",B91="s6"),COUNTIFS($B$6:$B$179,B91,$I$6:$I$179,"&gt;"&amp;I91)+(COUNTIFS($B$6:$B$179,B91,$I$6:$I$179,I91)+1)/2,"NA")</x:f>
        <x:v>94.5</x:v>
      </x:c>
      <x:c r="T91" s="26" t="str">
        <x:f>IF(COUNTIFS($I$6:$I$179,"&gt;"&amp;I91)&gt;=35,"非前20%",IF(COUNTIFS($I$6:$I$179,"&gt;="&amp;I91)&gt;=35,"边界同分","严格前20%"))</x:f>
        <x:v>非前20%</x:v>
      </x:c>
      <x:c r="U91" s="26" t="str">
        <x:f>IF(COUNTIFS($I$6:$I$179,"&lt;"&amp;I91)&gt;=35,"非后20%",IF(COUNTIFS($I$6:$I$179,"&lt;="&amp;I91)&gt;=35,"边界同分","严格后20%"))</x:f>
        <x:v>非后20%</x:v>
      </x:c>
      <x:c r="V91" s="26" t="n">
        <x:f>'基线调整'!I66</x:f>
        <x:v>63.077822329591</x:v>
      </x:c>
      <x:c r="W91" s="26" t="n">
        <x:f>'基线调整'!J66</x:f>
        <x:v>61.5</x:v>
      </x:c>
      <x:c r="X91" s="22" t="str">
        <x:v>["S0063"]</x:v>
      </x:c>
      <x:c r="Y91" s="22" t="str">
        <x:v>evidence/student_evidence.jsonl；student_key=2025秋:258880</x:v>
      </x:c>
      <x:c r="Z91" s="26" t="n">
        <x:f>IF(OR(B91="s3",B91="s6"),COUNTIFS($B$6:$B$179,B91,$K$6:$K$179,"&gt;"&amp;K91)+(COUNTIFS($B$6:$B$179,B91,$K$6:$K$179,K91)+1)/2,"NA")</x:f>
        <x:v>111.5</x:v>
      </x:c>
      <x:c r="AA91" s="26" t="n">
        <x:f>IF(OR(B91="s3",B91="s6"),COUNTIFS($B$6:$B$179,B91,$M$6:$M$179,"&gt;"&amp;M91)+(COUNTIFS($B$6:$B$179,B91,$M$6:$M$179,M91)+1)/2,"NA")</x:f>
        <x:v>89.5</x:v>
      </x:c>
      <x:c r="AB91" s="26" t="n">
        <x:f>IF(OR(B91="s3",B91="s6"),COUNTIFS($B$6:$B$179,B91,$O$6:$O$179,"&gt;"&amp;O91)+(COUNTIFS($B$6:$B$179,B91,$O$6:$O$179,O91)+1)/2,"NA")</x:f>
        <x:v>98.5</x:v>
      </x:c>
      <x:c r="AC91" s="26" t="n">
        <x:f>IF(OR(B91="s3",B91="s6"),COUNTIFS($B$6:$B$179,B91,$Q$6:$Q$179,"&gt;"&amp;Q91)+(COUNTIFS($B$6:$B$179,B91,$Q$6:$Q$179,Q91)+1)/2,"NA")</x:f>
        <x:v>120.5</x:v>
      </x:c>
    </x:row>
    <x:row r="92" ht="23" customHeight="1">
      <x:c r="A92" s="21" t="str">
        <x:v>2025秋:258887</x:v>
      </x:c>
      <x:c r="B92" s="22" t="str">
        <x:v>s3</x:v>
      </x:c>
      <x:c r="C92" s="24" t="n">
        <x:v>1</x:v>
      </x:c>
      <x:c r="D92" s="24" t="n">
        <x:v>1</x:v>
      </x:c>
      <x:c r="E92" s="29" t="n">
        <x:f>'指标计算'!K29</x:f>
        <x:v>0</x:v>
      </x:c>
      <x:c r="F92" s="29" t="n">
        <x:f>'指标计算'!L29</x:f>
        <x:v>0</x:v>
      </x:c>
      <x:c r="G92" s="29" t="n">
        <x:f>'指标计算'!M29</x:f>
        <x:v>0</x:v>
      </x:c>
      <x:c r="H92" s="29" t="n">
        <x:f>'指标计算'!N29</x:f>
        <x:v>1</x:v>
      </x:c>
      <x:c r="I92" s="30" t="n">
        <x:f>IF(COUNT('总览与权重'!$H$6:$K$6)=4,ROUND(100*SUMPRODUCT(E92:H92,'总览与权重'!$H$6:$K$6),12),"NA")</x:f>
        <x:v>30</x:v>
      </x:c>
      <x:c r="J92" s="30" t="n">
        <x:f>IF(ISNUMBER(I92),COUNTIFS($I$6:$I$179,"&gt;"&amp;I92)+(COUNTIFS($I$6:$I$179,I92)+1)/2,"NA")</x:f>
        <x:v>100</x:v>
      </x:c>
      <x:c r="K92" s="30" t="n">
        <x:f>IF(COUNT('总览与权重'!$H$7:$K$7)=4,ROUND(100*SUMPRODUCT(E92:H92,'总览与权重'!$H$7:$K$7),12),"NA")</x:f>
        <x:v>20</x:v>
      </x:c>
      <x:c r="L92" s="30" t="n">
        <x:f>IF(ISNUMBER(K92),COUNTIFS($K$6:$K$179,"&gt;"&amp;K92)+(COUNTIFS($K$6:$K$179,K92)+1)/2,"NA")</x:f>
        <x:v>119</x:v>
      </x:c>
      <x:c r="M92" s="30" t="n">
        <x:f>IF(COUNT('总览与权重'!$H$8:$K$8)=4,ROUND(100*SUMPRODUCT(E92:H92,'总览与权重'!$H$8:$K$8),12),"NA")</x:f>
        <x:v>35</x:v>
      </x:c>
      <x:c r="N92" s="30" t="n">
        <x:f>IF(ISNUMBER(M92),COUNTIFS($M$6:$M$179,"&gt;"&amp;M92)+(COUNTIFS($M$6:$M$179,M92)+1)/2,"NA")</x:f>
        <x:v>94</x:v>
      </x:c>
      <x:c r="O92" s="30" t="n">
        <x:f>IF(COUNT('总览与权重'!$H$9:$K$9)=4,ROUND(100*SUMPRODUCT(E92:H92,'总览与权重'!$H$9:$K$9),12),"NA")</x:f>
        <x:v>30</x:v>
      </x:c>
      <x:c r="P92" s="30" t="n">
        <x:f>IF(ISNUMBER(O92),COUNTIFS($O$6:$O$179,"&gt;"&amp;O92)+(COUNTIFS($O$6:$O$179,O92)+1)/2,"NA")</x:f>
        <x:v>104</x:v>
      </x:c>
      <x:c r="Q92" s="30" t="n">
        <x:f>IF(COUNT('总览与权重'!$H$10:$K$10)=4,ROUND(100*SUMPRODUCT(E92:H92,'总览与权重'!$H$10:$K$10),12),"NA")</x:f>
        <x:v>3.423964915513</x:v>
      </x:c>
      <x:c r="R92" s="30" t="n">
        <x:f>IF(ISNUMBER(Q92),COUNTIFS($Q$6:$Q$179,"&gt;"&amp;Q92)+(COUNTIFS($Q$6:$Q$179,Q92)+1)/2,"NA")</x:f>
        <x:v>128</x:v>
      </x:c>
      <x:c r="S92" s="31" t="n">
        <x:f>IF(OR(B92="s3",B92="s6"),COUNTIFS($B$6:$B$179,B92,$I$6:$I$179,"&gt;"&amp;I92)+(COUNTIFS($B$6:$B$179,B92,$I$6:$I$179,I92)+1)/2,"NA")</x:f>
        <x:v>94.5</x:v>
      </x:c>
      <x:c r="T92" s="26" t="str">
        <x:f>IF(COUNTIFS($I$6:$I$179,"&gt;"&amp;I92)&gt;=35,"非前20%",IF(COUNTIFS($I$6:$I$179,"&gt;="&amp;I92)&gt;=35,"边界同分","严格前20%"))</x:f>
        <x:v>非前20%</x:v>
      </x:c>
      <x:c r="U92" s="26" t="str">
        <x:f>IF(COUNTIFS($I$6:$I$179,"&lt;"&amp;I92)&gt;=35,"非后20%",IF(COUNTIFS($I$6:$I$179,"&lt;="&amp;I92)&gt;=35,"边界同分","严格后20%"))</x:f>
        <x:v>非后20%</x:v>
      </x:c>
      <x:c r="V92" s="26" t="n">
        <x:f>'基线调整'!I91</x:f>
        <x:v>62.092313929888</x:v>
      </x:c>
      <x:c r="W92" s="26" t="n">
        <x:f>'基线调整'!J91</x:f>
        <x:v>91</x:v>
      </x:c>
      <x:c r="X92" s="22" t="str">
        <x:v>["S0309"]</x:v>
      </x:c>
      <x:c r="Y92" s="22" t="str">
        <x:v>evidence/student_evidence.jsonl；student_key=2025秋:258887</x:v>
      </x:c>
      <x:c r="Z92" s="26" t="n">
        <x:f>IF(OR(B92="s3",B92="s6"),COUNTIFS($B$6:$B$179,B92,$K$6:$K$179,"&gt;"&amp;K92)+(COUNTIFS($B$6:$B$179,B92,$K$6:$K$179,K92)+1)/2,"NA")</x:f>
        <x:v>111.5</x:v>
      </x:c>
      <x:c r="AA92" s="26" t="n">
        <x:f>IF(OR(B92="s3",B92="s6"),COUNTIFS($B$6:$B$179,B92,$M$6:$M$179,"&gt;"&amp;M92)+(COUNTIFS($B$6:$B$179,B92,$M$6:$M$179,M92)+1)/2,"NA")</x:f>
        <x:v>89.5</x:v>
      </x:c>
      <x:c r="AB92" s="26" t="n">
        <x:f>IF(OR(B92="s3",B92="s6"),COUNTIFS($B$6:$B$179,B92,$O$6:$O$179,"&gt;"&amp;O92)+(COUNTIFS($B$6:$B$179,B92,$O$6:$O$179,O92)+1)/2,"NA")</x:f>
        <x:v>98.5</x:v>
      </x:c>
      <x:c r="AC92" s="26" t="n">
        <x:f>IF(OR(B92="s3",B92="s6"),COUNTIFS($B$6:$B$179,B92,$Q$6:$Q$179,"&gt;"&amp;Q92)+(COUNTIFS($B$6:$B$179,B92,$Q$6:$Q$179,Q92)+1)/2,"NA")</x:f>
        <x:v>120.5</x:v>
      </x:c>
    </x:row>
    <x:row r="93" ht="23" customHeight="1">
      <x:c r="A93" s="21" t="str">
        <x:v>2025秋:258900</x:v>
      </x:c>
      <x:c r="B93" s="22" t="str">
        <x:v>s3</x:v>
      </x:c>
      <x:c r="C93" s="24" t="n">
        <x:v>1</x:v>
      </x:c>
      <x:c r="D93" s="24" t="n">
        <x:v>1</x:v>
      </x:c>
      <x:c r="E93" s="29" t="n">
        <x:f>'指标计算'!K33</x:f>
        <x:v>0</x:v>
      </x:c>
      <x:c r="F93" s="29" t="n">
        <x:f>'指标计算'!L33</x:f>
        <x:v>0</x:v>
      </x:c>
      <x:c r="G93" s="29" t="n">
        <x:f>'指标计算'!M33</x:f>
        <x:v>0</x:v>
      </x:c>
      <x:c r="H93" s="29" t="n">
        <x:f>'指标计算'!N33</x:f>
        <x:v>1</x:v>
      </x:c>
      <x:c r="I93" s="30" t="n">
        <x:f>IF(COUNT('总览与权重'!$H$6:$K$6)=4,ROUND(100*SUMPRODUCT(E93:H93,'总览与权重'!$H$6:$K$6),12),"NA")</x:f>
        <x:v>30</x:v>
      </x:c>
      <x:c r="J93" s="30" t="n">
        <x:f>IF(ISNUMBER(I93),COUNTIFS($I$6:$I$179,"&gt;"&amp;I93)+(COUNTIFS($I$6:$I$179,I93)+1)/2,"NA")</x:f>
        <x:v>100</x:v>
      </x:c>
      <x:c r="K93" s="30" t="n">
        <x:f>IF(COUNT('总览与权重'!$H$7:$K$7)=4,ROUND(100*SUMPRODUCT(E93:H93,'总览与权重'!$H$7:$K$7),12),"NA")</x:f>
        <x:v>20</x:v>
      </x:c>
      <x:c r="L93" s="30" t="n">
        <x:f>IF(ISNUMBER(K93),COUNTIFS($K$6:$K$179,"&gt;"&amp;K93)+(COUNTIFS($K$6:$K$179,K93)+1)/2,"NA")</x:f>
        <x:v>119</x:v>
      </x:c>
      <x:c r="M93" s="30" t="n">
        <x:f>IF(COUNT('总览与权重'!$H$8:$K$8)=4,ROUND(100*SUMPRODUCT(E93:H93,'总览与权重'!$H$8:$K$8),12),"NA")</x:f>
        <x:v>35</x:v>
      </x:c>
      <x:c r="N93" s="30" t="n">
        <x:f>IF(ISNUMBER(M93),COUNTIFS($M$6:$M$179,"&gt;"&amp;M93)+(COUNTIFS($M$6:$M$179,M93)+1)/2,"NA")</x:f>
        <x:v>94</x:v>
      </x:c>
      <x:c r="O93" s="30" t="n">
        <x:f>IF(COUNT('总览与权重'!$H$9:$K$9)=4,ROUND(100*SUMPRODUCT(E93:H93,'总览与权重'!$H$9:$K$9),12),"NA")</x:f>
        <x:v>30</x:v>
      </x:c>
      <x:c r="P93" s="30" t="n">
        <x:f>IF(ISNUMBER(O93),COUNTIFS($O$6:$O$179,"&gt;"&amp;O93)+(COUNTIFS($O$6:$O$179,O93)+1)/2,"NA")</x:f>
        <x:v>104</x:v>
      </x:c>
      <x:c r="Q93" s="30" t="n">
        <x:f>IF(COUNT('总览与权重'!$H$10:$K$10)=4,ROUND(100*SUMPRODUCT(E93:H93,'总览与权重'!$H$10:$K$10),12),"NA")</x:f>
        <x:v>3.423964915513</x:v>
      </x:c>
      <x:c r="R93" s="30" t="n">
        <x:f>IF(ISNUMBER(Q93),COUNTIFS($Q$6:$Q$179,"&gt;"&amp;Q93)+(COUNTIFS($Q$6:$Q$179,Q93)+1)/2,"NA")</x:f>
        <x:v>128</x:v>
      </x:c>
      <x:c r="S93" s="31" t="n">
        <x:f>IF(OR(B93="s3",B93="s6"),COUNTIFS($B$6:$B$179,B93,$I$6:$I$179,"&gt;"&amp;I93)+(COUNTIFS($B$6:$B$179,B93,$I$6:$I$179,I93)+1)/2,"NA")</x:f>
        <x:v>94.5</x:v>
      </x:c>
      <x:c r="T93" s="26" t="str">
        <x:f>IF(COUNTIFS($I$6:$I$179,"&gt;"&amp;I93)&gt;=35,"非前20%",IF(COUNTIFS($I$6:$I$179,"&gt;="&amp;I93)&gt;=35,"边界同分","严格前20%"))</x:f>
        <x:v>非前20%</x:v>
      </x:c>
      <x:c r="U93" s="26" t="str">
        <x:f>IF(COUNTIFS($I$6:$I$179,"&lt;"&amp;I93)&gt;=35,"非后20%",IF(COUNTIFS($I$6:$I$179,"&lt;="&amp;I93)&gt;=35,"边界同分","严格后20%"))</x:f>
        <x:v>非后20%</x:v>
      </x:c>
      <x:c r="V93" s="26" t="n">
        <x:f>'基线调整'!I92</x:f>
        <x:v>62.092313929888</x:v>
      </x:c>
      <x:c r="W93" s="26" t="n">
        <x:f>'基线调整'!J92</x:f>
        <x:v>91</x:v>
      </x:c>
      <x:c r="X93" s="22" t="str">
        <x:v>["S0460"]</x:v>
      </x:c>
      <x:c r="Y93" s="22" t="str">
        <x:v>evidence/student_evidence.jsonl；student_key=2025秋:258900</x:v>
      </x:c>
      <x:c r="Z93" s="26" t="n">
        <x:f>IF(OR(B93="s3",B93="s6"),COUNTIFS($B$6:$B$179,B93,$K$6:$K$179,"&gt;"&amp;K93)+(COUNTIFS($B$6:$B$179,B93,$K$6:$K$179,K93)+1)/2,"NA")</x:f>
        <x:v>111.5</x:v>
      </x:c>
      <x:c r="AA93" s="26" t="n">
        <x:f>IF(OR(B93="s3",B93="s6"),COUNTIFS($B$6:$B$179,B93,$M$6:$M$179,"&gt;"&amp;M93)+(COUNTIFS($B$6:$B$179,B93,$M$6:$M$179,M93)+1)/2,"NA")</x:f>
        <x:v>89.5</x:v>
      </x:c>
      <x:c r="AB93" s="26" t="n">
        <x:f>IF(OR(B93="s3",B93="s6"),COUNTIFS($B$6:$B$179,B93,$O$6:$O$179,"&gt;"&amp;O93)+(COUNTIFS($B$6:$B$179,B93,$O$6:$O$179,O93)+1)/2,"NA")</x:f>
        <x:v>98.5</x:v>
      </x:c>
      <x:c r="AC93" s="26" t="n">
        <x:f>IF(OR(B93="s3",B93="s6"),COUNTIFS($B$6:$B$179,B93,$Q$6:$Q$179,"&gt;"&amp;Q93)+(COUNTIFS($B$6:$B$179,B93,$Q$6:$Q$179,Q93)+1)/2,"NA")</x:f>
        <x:v>120.5</x:v>
      </x:c>
    </x:row>
    <x:row r="94" ht="23" customHeight="1">
      <x:c r="A94" s="21" t="str">
        <x:v>2025秋:258906</x:v>
      </x:c>
      <x:c r="B94" s="22" t="str">
        <x:v>s3</x:v>
      </x:c>
      <x:c r="C94" s="24" t="n">
        <x:v>1</x:v>
      </x:c>
      <x:c r="D94" s="24" t="n">
        <x:v>1</x:v>
      </x:c>
      <x:c r="E94" s="29" t="n">
        <x:f>'指标计算'!K35</x:f>
        <x:v>0</x:v>
      </x:c>
      <x:c r="F94" s="29" t="n">
        <x:f>'指标计算'!L35</x:f>
        <x:v>0</x:v>
      </x:c>
      <x:c r="G94" s="29" t="n">
        <x:f>'指标计算'!M35</x:f>
        <x:v>0</x:v>
      </x:c>
      <x:c r="H94" s="29" t="n">
        <x:f>'指标计算'!N35</x:f>
        <x:v>1</x:v>
      </x:c>
      <x:c r="I94" s="30" t="n">
        <x:f>IF(COUNT('总览与权重'!$H$6:$K$6)=4,ROUND(100*SUMPRODUCT(E94:H94,'总览与权重'!$H$6:$K$6),12),"NA")</x:f>
        <x:v>30</x:v>
      </x:c>
      <x:c r="J94" s="30" t="n">
        <x:f>IF(ISNUMBER(I94),COUNTIFS($I$6:$I$179,"&gt;"&amp;I94)+(COUNTIFS($I$6:$I$179,I94)+1)/2,"NA")</x:f>
        <x:v>100</x:v>
      </x:c>
      <x:c r="K94" s="30" t="n">
        <x:f>IF(COUNT('总览与权重'!$H$7:$K$7)=4,ROUND(100*SUMPRODUCT(E94:H94,'总览与权重'!$H$7:$K$7),12),"NA")</x:f>
        <x:v>20</x:v>
      </x:c>
      <x:c r="L94" s="30" t="n">
        <x:f>IF(ISNUMBER(K94),COUNTIFS($K$6:$K$179,"&gt;"&amp;K94)+(COUNTIFS($K$6:$K$179,K94)+1)/2,"NA")</x:f>
        <x:v>119</x:v>
      </x:c>
      <x:c r="M94" s="30" t="n">
        <x:f>IF(COUNT('总览与权重'!$H$8:$K$8)=4,ROUND(100*SUMPRODUCT(E94:H94,'总览与权重'!$H$8:$K$8),12),"NA")</x:f>
        <x:v>35</x:v>
      </x:c>
      <x:c r="N94" s="30" t="n">
        <x:f>IF(ISNUMBER(M94),COUNTIFS($M$6:$M$179,"&gt;"&amp;M94)+(COUNTIFS($M$6:$M$179,M94)+1)/2,"NA")</x:f>
        <x:v>94</x:v>
      </x:c>
      <x:c r="O94" s="30" t="n">
        <x:f>IF(COUNT('总览与权重'!$H$9:$K$9)=4,ROUND(100*SUMPRODUCT(E94:H94,'总览与权重'!$H$9:$K$9),12),"NA")</x:f>
        <x:v>30</x:v>
      </x:c>
      <x:c r="P94" s="30" t="n">
        <x:f>IF(ISNUMBER(O94),COUNTIFS($O$6:$O$179,"&gt;"&amp;O94)+(COUNTIFS($O$6:$O$179,O94)+1)/2,"NA")</x:f>
        <x:v>104</x:v>
      </x:c>
      <x:c r="Q94" s="30" t="n">
        <x:f>IF(COUNT('总览与权重'!$H$10:$K$10)=4,ROUND(100*SUMPRODUCT(E94:H94,'总览与权重'!$H$10:$K$10),12),"NA")</x:f>
        <x:v>3.423964915513</x:v>
      </x:c>
      <x:c r="R94" s="30" t="n">
        <x:f>IF(ISNUMBER(Q94),COUNTIFS($Q$6:$Q$179,"&gt;"&amp;Q94)+(COUNTIFS($Q$6:$Q$179,Q94)+1)/2,"NA")</x:f>
        <x:v>128</x:v>
      </x:c>
      <x:c r="S94" s="31" t="n">
        <x:f>IF(OR(B94="s3",B94="s6"),COUNTIFS($B$6:$B$179,B94,$I$6:$I$179,"&gt;"&amp;I94)+(COUNTIFS($B$6:$B$179,B94,$I$6:$I$179,I94)+1)/2,"NA")</x:f>
        <x:v>94.5</x:v>
      </x:c>
      <x:c r="T94" s="26" t="str">
        <x:f>IF(COUNTIFS($I$6:$I$179,"&gt;"&amp;I94)&gt;=35,"非前20%",IF(COUNTIFS($I$6:$I$179,"&gt;="&amp;I94)&gt;=35,"边界同分","严格前20%"))</x:f>
        <x:v>非前20%</x:v>
      </x:c>
      <x:c r="U94" s="26" t="str">
        <x:f>IF(COUNTIFS($I$6:$I$179,"&lt;"&amp;I94)&gt;=35,"非后20%",IF(COUNTIFS($I$6:$I$179,"&lt;="&amp;I94)&gt;=35,"边界同分","严格后20%"))</x:f>
        <x:v>非后20%</x:v>
      </x:c>
      <x:c r="V94" s="26" t="n">
        <x:f>'基线调整'!I86</x:f>
        <x:v>62.092916556433</x:v>
      </x:c>
      <x:c r="W94" s="26" t="n">
        <x:f>'基线调整'!J86</x:f>
        <x:v>83</x:v>
      </x:c>
      <x:c r="X94" s="22" t="str">
        <x:v>["S0207"]</x:v>
      </x:c>
      <x:c r="Y94" s="22" t="str">
        <x:v>evidence/student_evidence.jsonl；student_key=2025秋:258906</x:v>
      </x:c>
      <x:c r="Z94" s="26" t="n">
        <x:f>IF(OR(B94="s3",B94="s6"),COUNTIFS($B$6:$B$179,B94,$K$6:$K$179,"&gt;"&amp;K94)+(COUNTIFS($B$6:$B$179,B94,$K$6:$K$179,K94)+1)/2,"NA")</x:f>
        <x:v>111.5</x:v>
      </x:c>
      <x:c r="AA94" s="26" t="n">
        <x:f>IF(OR(B94="s3",B94="s6"),COUNTIFS($B$6:$B$179,B94,$M$6:$M$179,"&gt;"&amp;M94)+(COUNTIFS($B$6:$B$179,B94,$M$6:$M$179,M94)+1)/2,"NA")</x:f>
        <x:v>89.5</x:v>
      </x:c>
      <x:c r="AB94" s="26" t="n">
        <x:f>IF(OR(B94="s3",B94="s6"),COUNTIFS($B$6:$B$179,B94,$O$6:$O$179,"&gt;"&amp;O94)+(COUNTIFS($B$6:$B$179,B94,$O$6:$O$179,O94)+1)/2,"NA")</x:f>
        <x:v>98.5</x:v>
      </x:c>
      <x:c r="AC94" s="26" t="n">
        <x:f>IF(OR(B94="s3",B94="s6"),COUNTIFS($B$6:$B$179,B94,$Q$6:$Q$179,"&gt;"&amp;Q94)+(COUNTIFS($B$6:$B$179,B94,$Q$6:$Q$179,Q94)+1)/2,"NA")</x:f>
        <x:v>120.5</x:v>
      </x:c>
    </x:row>
    <x:row r="95" ht="23" customHeight="1">
      <x:c r="A95" s="21" t="str">
        <x:v>2025秋:258911</x:v>
      </x:c>
      <x:c r="B95" s="22" t="str">
        <x:v>s3</x:v>
      </x:c>
      <x:c r="C95" s="24" t="n">
        <x:v>1</x:v>
      </x:c>
      <x:c r="D95" s="24" t="n">
        <x:v>1</x:v>
      </x:c>
      <x:c r="E95" s="29" t="n">
        <x:f>'指标计算'!K38</x:f>
        <x:v>0</x:v>
      </x:c>
      <x:c r="F95" s="29" t="n">
        <x:f>'指标计算'!L38</x:f>
        <x:v>0</x:v>
      </x:c>
      <x:c r="G95" s="29" t="n">
        <x:f>'指标计算'!M38</x:f>
        <x:v>0</x:v>
      </x:c>
      <x:c r="H95" s="29" t="n">
        <x:f>'指标计算'!N38</x:f>
        <x:v>1</x:v>
      </x:c>
      <x:c r="I95" s="30" t="n">
        <x:f>IF(COUNT('总览与权重'!$H$6:$K$6)=4,ROUND(100*SUMPRODUCT(E95:H95,'总览与权重'!$H$6:$K$6),12),"NA")</x:f>
        <x:v>30</x:v>
      </x:c>
      <x:c r="J95" s="30" t="n">
        <x:f>IF(ISNUMBER(I95),COUNTIFS($I$6:$I$179,"&gt;"&amp;I95)+(COUNTIFS($I$6:$I$179,I95)+1)/2,"NA")</x:f>
        <x:v>100</x:v>
      </x:c>
      <x:c r="K95" s="30" t="n">
        <x:f>IF(COUNT('总览与权重'!$H$7:$K$7)=4,ROUND(100*SUMPRODUCT(E95:H95,'总览与权重'!$H$7:$K$7),12),"NA")</x:f>
        <x:v>20</x:v>
      </x:c>
      <x:c r="L95" s="30" t="n">
        <x:f>IF(ISNUMBER(K95),COUNTIFS($K$6:$K$179,"&gt;"&amp;K95)+(COUNTIFS($K$6:$K$179,K95)+1)/2,"NA")</x:f>
        <x:v>119</x:v>
      </x:c>
      <x:c r="M95" s="30" t="n">
        <x:f>IF(COUNT('总览与权重'!$H$8:$K$8)=4,ROUND(100*SUMPRODUCT(E95:H95,'总览与权重'!$H$8:$K$8),12),"NA")</x:f>
        <x:v>35</x:v>
      </x:c>
      <x:c r="N95" s="30" t="n">
        <x:f>IF(ISNUMBER(M95),COUNTIFS($M$6:$M$179,"&gt;"&amp;M95)+(COUNTIFS($M$6:$M$179,M95)+1)/2,"NA")</x:f>
        <x:v>94</x:v>
      </x:c>
      <x:c r="O95" s="30" t="n">
        <x:f>IF(COUNT('总览与权重'!$H$9:$K$9)=4,ROUND(100*SUMPRODUCT(E95:H95,'总览与权重'!$H$9:$K$9),12),"NA")</x:f>
        <x:v>30</x:v>
      </x:c>
      <x:c r="P95" s="30" t="n">
        <x:f>IF(ISNUMBER(O95),COUNTIFS($O$6:$O$179,"&gt;"&amp;O95)+(COUNTIFS($O$6:$O$179,O95)+1)/2,"NA")</x:f>
        <x:v>104</x:v>
      </x:c>
      <x:c r="Q95" s="30" t="n">
        <x:f>IF(COUNT('总览与权重'!$H$10:$K$10)=4,ROUND(100*SUMPRODUCT(E95:H95,'总览与权重'!$H$10:$K$10),12),"NA")</x:f>
        <x:v>3.423964915513</x:v>
      </x:c>
      <x:c r="R95" s="30" t="n">
        <x:f>IF(ISNUMBER(Q95),COUNTIFS($Q$6:$Q$179,"&gt;"&amp;Q95)+(COUNTIFS($Q$6:$Q$179,Q95)+1)/2,"NA")</x:f>
        <x:v>128</x:v>
      </x:c>
      <x:c r="S95" s="31" t="n">
        <x:f>IF(OR(B95="s3",B95="s6"),COUNTIFS($B$6:$B$179,B95,$I$6:$I$179,"&gt;"&amp;I95)+(COUNTIFS($B$6:$B$179,B95,$I$6:$I$179,I95)+1)/2,"NA")</x:f>
        <x:v>94.5</x:v>
      </x:c>
      <x:c r="T95" s="26" t="str">
        <x:f>IF(COUNTIFS($I$6:$I$179,"&gt;"&amp;I95)&gt;=35,"非前20%",IF(COUNTIFS($I$6:$I$179,"&gt;="&amp;I95)&gt;=35,"边界同分","严格前20%"))</x:f>
        <x:v>非前20%</x:v>
      </x:c>
      <x:c r="U95" s="26" t="str">
        <x:f>IF(COUNTIFS($I$6:$I$179,"&lt;"&amp;I95)&gt;=35,"非后20%",IF(COUNTIFS($I$6:$I$179,"&lt;="&amp;I95)&gt;=35,"边界同分","严格后20%"))</x:f>
        <x:v>非后20%</x:v>
      </x:c>
      <x:c r="V95" s="26" t="n">
        <x:f>'基线调整'!I63</x:f>
        <x:v>63.643689427756</x:v>
      </x:c>
      <x:c r="W95" s="26" t="n">
        <x:f>'基线调整'!J63</x:f>
        <x:v>58.5</x:v>
      </x:c>
      <x:c r="X95" s="22" t="str">
        <x:v>["S0400"]</x:v>
      </x:c>
      <x:c r="Y95" s="22" t="str">
        <x:v>evidence/student_evidence.jsonl；student_key=2025秋:258911</x:v>
      </x:c>
      <x:c r="Z95" s="26" t="n">
        <x:f>IF(OR(B95="s3",B95="s6"),COUNTIFS($B$6:$B$179,B95,$K$6:$K$179,"&gt;"&amp;K95)+(COUNTIFS($B$6:$B$179,B95,$K$6:$K$179,K95)+1)/2,"NA")</x:f>
        <x:v>111.5</x:v>
      </x:c>
      <x:c r="AA95" s="26" t="n">
        <x:f>IF(OR(B95="s3",B95="s6"),COUNTIFS($B$6:$B$179,B95,$M$6:$M$179,"&gt;"&amp;M95)+(COUNTIFS($B$6:$B$179,B95,$M$6:$M$179,M95)+1)/2,"NA")</x:f>
        <x:v>89.5</x:v>
      </x:c>
      <x:c r="AB95" s="26" t="n">
        <x:f>IF(OR(B95="s3",B95="s6"),COUNTIFS($B$6:$B$179,B95,$O$6:$O$179,"&gt;"&amp;O95)+(COUNTIFS($B$6:$B$179,B95,$O$6:$O$179,O95)+1)/2,"NA")</x:f>
        <x:v>98.5</x:v>
      </x:c>
      <x:c r="AC95" s="26" t="n">
        <x:f>IF(OR(B95="s3",B95="s6"),COUNTIFS($B$6:$B$179,B95,$Q$6:$Q$179,"&gt;"&amp;Q95)+(COUNTIFS($B$6:$B$179,B95,$Q$6:$Q$179,Q95)+1)/2,"NA")</x:f>
        <x:v>120.5</x:v>
      </x:c>
    </x:row>
    <x:row r="96" ht="23" customHeight="1">
      <x:c r="A96" s="21" t="str">
        <x:v>2025秋:258927</x:v>
      </x:c>
      <x:c r="B96" s="22" t="str">
        <x:v>s3</x:v>
      </x:c>
      <x:c r="C96" s="24" t="n">
        <x:v>1</x:v>
      </x:c>
      <x:c r="D96" s="24" t="n">
        <x:v>1</x:v>
      </x:c>
      <x:c r="E96" s="29" t="n">
        <x:f>'指标计算'!K45</x:f>
        <x:v>0</x:v>
      </x:c>
      <x:c r="F96" s="29" t="n">
        <x:f>'指标计算'!L45</x:f>
        <x:v>0</x:v>
      </x:c>
      <x:c r="G96" s="29" t="n">
        <x:f>'指标计算'!M45</x:f>
        <x:v>0</x:v>
      </x:c>
      <x:c r="H96" s="29" t="n">
        <x:f>'指标计算'!N45</x:f>
        <x:v>1</x:v>
      </x:c>
      <x:c r="I96" s="30" t="n">
        <x:f>IF(COUNT('总览与权重'!$H$6:$K$6)=4,ROUND(100*SUMPRODUCT(E96:H96,'总览与权重'!$H$6:$K$6),12),"NA")</x:f>
        <x:v>30</x:v>
      </x:c>
      <x:c r="J96" s="30" t="n">
        <x:f>IF(ISNUMBER(I96),COUNTIFS($I$6:$I$179,"&gt;"&amp;I96)+(COUNTIFS($I$6:$I$179,I96)+1)/2,"NA")</x:f>
        <x:v>100</x:v>
      </x:c>
      <x:c r="K96" s="30" t="n">
        <x:f>IF(COUNT('总览与权重'!$H$7:$K$7)=4,ROUND(100*SUMPRODUCT(E96:H96,'总览与权重'!$H$7:$K$7),12),"NA")</x:f>
        <x:v>20</x:v>
      </x:c>
      <x:c r="L96" s="30" t="n">
        <x:f>IF(ISNUMBER(K96),COUNTIFS($K$6:$K$179,"&gt;"&amp;K96)+(COUNTIFS($K$6:$K$179,K96)+1)/2,"NA")</x:f>
        <x:v>119</x:v>
      </x:c>
      <x:c r="M96" s="30" t="n">
        <x:f>IF(COUNT('总览与权重'!$H$8:$K$8)=4,ROUND(100*SUMPRODUCT(E96:H96,'总览与权重'!$H$8:$K$8),12),"NA")</x:f>
        <x:v>35</x:v>
      </x:c>
      <x:c r="N96" s="30" t="n">
        <x:f>IF(ISNUMBER(M96),COUNTIFS($M$6:$M$179,"&gt;"&amp;M96)+(COUNTIFS($M$6:$M$179,M96)+1)/2,"NA")</x:f>
        <x:v>94</x:v>
      </x:c>
      <x:c r="O96" s="30" t="n">
        <x:f>IF(COUNT('总览与权重'!$H$9:$K$9)=4,ROUND(100*SUMPRODUCT(E96:H96,'总览与权重'!$H$9:$K$9),12),"NA")</x:f>
        <x:v>30</x:v>
      </x:c>
      <x:c r="P96" s="30" t="n">
        <x:f>IF(ISNUMBER(O96),COUNTIFS($O$6:$O$179,"&gt;"&amp;O96)+(COUNTIFS($O$6:$O$179,O96)+1)/2,"NA")</x:f>
        <x:v>104</x:v>
      </x:c>
      <x:c r="Q96" s="30" t="n">
        <x:f>IF(COUNT('总览与权重'!$H$10:$K$10)=4,ROUND(100*SUMPRODUCT(E96:H96,'总览与权重'!$H$10:$K$10),12),"NA")</x:f>
        <x:v>3.423964915513</x:v>
      </x:c>
      <x:c r="R96" s="30" t="n">
        <x:f>IF(ISNUMBER(Q96),COUNTIFS($Q$6:$Q$179,"&gt;"&amp;Q96)+(COUNTIFS($Q$6:$Q$179,Q96)+1)/2,"NA")</x:f>
        <x:v>128</x:v>
      </x:c>
      <x:c r="S96" s="31" t="n">
        <x:f>IF(OR(B96="s3",B96="s6"),COUNTIFS($B$6:$B$179,B96,$I$6:$I$179,"&gt;"&amp;I96)+(COUNTIFS($B$6:$B$179,B96,$I$6:$I$179,I96)+1)/2,"NA")</x:f>
        <x:v>94.5</x:v>
      </x:c>
      <x:c r="T96" s="26" t="str">
        <x:f>IF(COUNTIFS($I$6:$I$179,"&gt;"&amp;I96)&gt;=35,"非前20%",IF(COUNTIFS($I$6:$I$179,"&gt;="&amp;I96)&gt;=35,"边界同分","严格前20%"))</x:f>
        <x:v>非前20%</x:v>
      </x:c>
      <x:c r="U96" s="26" t="str">
        <x:f>IF(COUNTIFS($I$6:$I$179,"&lt;"&amp;I96)&gt;=35,"非后20%",IF(COUNTIFS($I$6:$I$179,"&lt;="&amp;I96)&gt;=35,"边界同分","严格后20%"))</x:f>
        <x:v>非后20%</x:v>
      </x:c>
      <x:c r="V96" s="26" t="n">
        <x:f>'基线调整'!I87</x:f>
        <x:v>62.092916556433</x:v>
      </x:c>
      <x:c r="W96" s="26" t="n">
        <x:f>'基线调整'!J87</x:f>
        <x:v>83</x:v>
      </x:c>
      <x:c r="X96" s="22" t="str">
        <x:v>["S0295"]</x:v>
      </x:c>
      <x:c r="Y96" s="22" t="str">
        <x:v>evidence/student_evidence.jsonl；student_key=2025秋:258927</x:v>
      </x:c>
      <x:c r="Z96" s="26" t="n">
        <x:f>IF(OR(B96="s3",B96="s6"),COUNTIFS($B$6:$B$179,B96,$K$6:$K$179,"&gt;"&amp;K96)+(COUNTIFS($B$6:$B$179,B96,$K$6:$K$179,K96)+1)/2,"NA")</x:f>
        <x:v>111.5</x:v>
      </x:c>
      <x:c r="AA96" s="26" t="n">
        <x:f>IF(OR(B96="s3",B96="s6"),COUNTIFS($B$6:$B$179,B96,$M$6:$M$179,"&gt;"&amp;M96)+(COUNTIFS($B$6:$B$179,B96,$M$6:$M$179,M96)+1)/2,"NA")</x:f>
        <x:v>89.5</x:v>
      </x:c>
      <x:c r="AB96" s="26" t="n">
        <x:f>IF(OR(B96="s3",B96="s6"),COUNTIFS($B$6:$B$179,B96,$O$6:$O$179,"&gt;"&amp;O96)+(COUNTIFS($B$6:$B$179,B96,$O$6:$O$179,O96)+1)/2,"NA")</x:f>
        <x:v>98.5</x:v>
      </x:c>
      <x:c r="AC96" s="26" t="n">
        <x:f>IF(OR(B96="s3",B96="s6"),COUNTIFS($B$6:$B$179,B96,$Q$6:$Q$179,"&gt;"&amp;Q96)+(COUNTIFS($B$6:$B$179,B96,$Q$6:$Q$179,Q96)+1)/2,"NA")</x:f>
        <x:v>120.5</x:v>
      </x:c>
    </x:row>
    <x:row r="97" ht="23" customHeight="1">
      <x:c r="A97" s="21" t="str">
        <x:v>2025秋:258937</x:v>
      </x:c>
      <x:c r="B97" s="22" t="str">
        <x:v>s3</x:v>
      </x:c>
      <x:c r="C97" s="24" t="n">
        <x:v>1</x:v>
      </x:c>
      <x:c r="D97" s="24" t="n">
        <x:v>1</x:v>
      </x:c>
      <x:c r="E97" s="29" t="n">
        <x:f>'指标计算'!K47</x:f>
        <x:v>0</x:v>
      </x:c>
      <x:c r="F97" s="29" t="n">
        <x:f>'指标计算'!L47</x:f>
        <x:v>0</x:v>
      </x:c>
      <x:c r="G97" s="29" t="n">
        <x:f>'指标计算'!M47</x:f>
        <x:v>0</x:v>
      </x:c>
      <x:c r="H97" s="29" t="n">
        <x:f>'指标计算'!N47</x:f>
        <x:v>1</x:v>
      </x:c>
      <x:c r="I97" s="30" t="n">
        <x:f>IF(COUNT('总览与权重'!$H$6:$K$6)=4,ROUND(100*SUMPRODUCT(E97:H97,'总览与权重'!$H$6:$K$6),12),"NA")</x:f>
        <x:v>30</x:v>
      </x:c>
      <x:c r="J97" s="30" t="n">
        <x:f>IF(ISNUMBER(I97),COUNTIFS($I$6:$I$179,"&gt;"&amp;I97)+(COUNTIFS($I$6:$I$179,I97)+1)/2,"NA")</x:f>
        <x:v>100</x:v>
      </x:c>
      <x:c r="K97" s="30" t="n">
        <x:f>IF(COUNT('总览与权重'!$H$7:$K$7)=4,ROUND(100*SUMPRODUCT(E97:H97,'总览与权重'!$H$7:$K$7),12),"NA")</x:f>
        <x:v>20</x:v>
      </x:c>
      <x:c r="L97" s="30" t="n">
        <x:f>IF(ISNUMBER(K97),COUNTIFS($K$6:$K$179,"&gt;"&amp;K97)+(COUNTIFS($K$6:$K$179,K97)+1)/2,"NA")</x:f>
        <x:v>119</x:v>
      </x:c>
      <x:c r="M97" s="30" t="n">
        <x:f>IF(COUNT('总览与权重'!$H$8:$K$8)=4,ROUND(100*SUMPRODUCT(E97:H97,'总览与权重'!$H$8:$K$8),12),"NA")</x:f>
        <x:v>35</x:v>
      </x:c>
      <x:c r="N97" s="30" t="n">
        <x:f>IF(ISNUMBER(M97),COUNTIFS($M$6:$M$179,"&gt;"&amp;M97)+(COUNTIFS($M$6:$M$179,M97)+1)/2,"NA")</x:f>
        <x:v>94</x:v>
      </x:c>
      <x:c r="O97" s="30" t="n">
        <x:f>IF(COUNT('总览与权重'!$H$9:$K$9)=4,ROUND(100*SUMPRODUCT(E97:H97,'总览与权重'!$H$9:$K$9),12),"NA")</x:f>
        <x:v>30</x:v>
      </x:c>
      <x:c r="P97" s="30" t="n">
        <x:f>IF(ISNUMBER(O97),COUNTIFS($O$6:$O$179,"&gt;"&amp;O97)+(COUNTIFS($O$6:$O$179,O97)+1)/2,"NA")</x:f>
        <x:v>104</x:v>
      </x:c>
      <x:c r="Q97" s="30" t="n">
        <x:f>IF(COUNT('总览与权重'!$H$10:$K$10)=4,ROUND(100*SUMPRODUCT(E97:H97,'总览与权重'!$H$10:$K$10),12),"NA")</x:f>
        <x:v>3.423964915513</x:v>
      </x:c>
      <x:c r="R97" s="30" t="n">
        <x:f>IF(ISNUMBER(Q97),COUNTIFS($Q$6:$Q$179,"&gt;"&amp;Q97)+(COUNTIFS($Q$6:$Q$179,Q97)+1)/2,"NA")</x:f>
        <x:v>128</x:v>
      </x:c>
      <x:c r="S97" s="31" t="n">
        <x:f>IF(OR(B97="s3",B97="s6"),COUNTIFS($B$6:$B$179,B97,$I$6:$I$179,"&gt;"&amp;I97)+(COUNTIFS($B$6:$B$179,B97,$I$6:$I$179,I97)+1)/2,"NA")</x:f>
        <x:v>94.5</x:v>
      </x:c>
      <x:c r="T97" s="26" t="str">
        <x:f>IF(COUNTIFS($I$6:$I$179,"&gt;"&amp;I97)&gt;=35,"非前20%",IF(COUNTIFS($I$6:$I$179,"&gt;="&amp;I97)&gt;=35,"边界同分","严格前20%"))</x:f>
        <x:v>非前20%</x:v>
      </x:c>
      <x:c r="U97" s="26" t="str">
        <x:f>IF(COUNTIFS($I$6:$I$179,"&lt;"&amp;I97)&gt;=35,"非后20%",IF(COUNTIFS($I$6:$I$179,"&lt;="&amp;I97)&gt;=35,"边界同分","严格后20%"))</x:f>
        <x:v>非后20%</x:v>
      </x:c>
      <x:c r="V97" s="26" t="n">
        <x:f>'基线调整'!I61</x:f>
        <x:v>64.056346488689</x:v>
      </x:c>
      <x:c r="W97" s="26" t="n">
        <x:f>'基线调整'!J61</x:f>
        <x:v>56</x:v>
      </x:c>
      <x:c r="X97" s="22" t="str">
        <x:v>["S0196"]</x:v>
      </x:c>
      <x:c r="Y97" s="22" t="str">
        <x:v>evidence/student_evidence.jsonl；student_key=2025秋:258937</x:v>
      </x:c>
      <x:c r="Z97" s="26" t="n">
        <x:f>IF(OR(B97="s3",B97="s6"),COUNTIFS($B$6:$B$179,B97,$K$6:$K$179,"&gt;"&amp;K97)+(COUNTIFS($B$6:$B$179,B97,$K$6:$K$179,K97)+1)/2,"NA")</x:f>
        <x:v>111.5</x:v>
      </x:c>
      <x:c r="AA97" s="26" t="n">
        <x:f>IF(OR(B97="s3",B97="s6"),COUNTIFS($B$6:$B$179,B97,$M$6:$M$179,"&gt;"&amp;M97)+(COUNTIFS($B$6:$B$179,B97,$M$6:$M$179,M97)+1)/2,"NA")</x:f>
        <x:v>89.5</x:v>
      </x:c>
      <x:c r="AB97" s="26" t="n">
        <x:f>IF(OR(B97="s3",B97="s6"),COUNTIFS($B$6:$B$179,B97,$O$6:$O$179,"&gt;"&amp;O97)+(COUNTIFS($B$6:$B$179,B97,$O$6:$O$179,O97)+1)/2,"NA")</x:f>
        <x:v>98.5</x:v>
      </x:c>
      <x:c r="AC97" s="26" t="n">
        <x:f>IF(OR(B97="s3",B97="s6"),COUNTIFS($B$6:$B$179,B97,$Q$6:$Q$179,"&gt;"&amp;Q97)+(COUNTIFS($B$6:$B$179,B97,$Q$6:$Q$179,Q97)+1)/2,"NA")</x:f>
        <x:v>120.5</x:v>
      </x:c>
    </x:row>
    <x:row r="98" ht="23" customHeight="1">
      <x:c r="A98" s="21" t="str">
        <x:v>2025秋:258953</x:v>
      </x:c>
      <x:c r="B98" s="22" t="str">
        <x:v>s3</x:v>
      </x:c>
      <x:c r="C98" s="24" t="n">
        <x:v>1</x:v>
      </x:c>
      <x:c r="D98" s="24" t="n">
        <x:v>1</x:v>
      </x:c>
      <x:c r="E98" s="29" t="n">
        <x:f>'指标计算'!K53</x:f>
        <x:v>0</x:v>
      </x:c>
      <x:c r="F98" s="29" t="n">
        <x:f>'指标计算'!L53</x:f>
        <x:v>0</x:v>
      </x:c>
      <x:c r="G98" s="29" t="n">
        <x:f>'指标计算'!M53</x:f>
        <x:v>0</x:v>
      </x:c>
      <x:c r="H98" s="29" t="n">
        <x:f>'指标计算'!N53</x:f>
        <x:v>1</x:v>
      </x:c>
      <x:c r="I98" s="30" t="n">
        <x:f>IF(COUNT('总览与权重'!$H$6:$K$6)=4,ROUND(100*SUMPRODUCT(E98:H98,'总览与权重'!$H$6:$K$6),12),"NA")</x:f>
        <x:v>30</x:v>
      </x:c>
      <x:c r="J98" s="30" t="n">
        <x:f>IF(ISNUMBER(I98),COUNTIFS($I$6:$I$179,"&gt;"&amp;I98)+(COUNTIFS($I$6:$I$179,I98)+1)/2,"NA")</x:f>
        <x:v>100</x:v>
      </x:c>
      <x:c r="K98" s="30" t="n">
        <x:f>IF(COUNT('总览与权重'!$H$7:$K$7)=4,ROUND(100*SUMPRODUCT(E98:H98,'总览与权重'!$H$7:$K$7),12),"NA")</x:f>
        <x:v>20</x:v>
      </x:c>
      <x:c r="L98" s="30" t="n">
        <x:f>IF(ISNUMBER(K98),COUNTIFS($K$6:$K$179,"&gt;"&amp;K98)+(COUNTIFS($K$6:$K$179,K98)+1)/2,"NA")</x:f>
        <x:v>119</x:v>
      </x:c>
      <x:c r="M98" s="30" t="n">
        <x:f>IF(COUNT('总览与权重'!$H$8:$K$8)=4,ROUND(100*SUMPRODUCT(E98:H98,'总览与权重'!$H$8:$K$8),12),"NA")</x:f>
        <x:v>35</x:v>
      </x:c>
      <x:c r="N98" s="30" t="n">
        <x:f>IF(ISNUMBER(M98),COUNTIFS($M$6:$M$179,"&gt;"&amp;M98)+(COUNTIFS($M$6:$M$179,M98)+1)/2,"NA")</x:f>
        <x:v>94</x:v>
      </x:c>
      <x:c r="O98" s="30" t="n">
        <x:f>IF(COUNT('总览与权重'!$H$9:$K$9)=4,ROUND(100*SUMPRODUCT(E98:H98,'总览与权重'!$H$9:$K$9),12),"NA")</x:f>
        <x:v>30</x:v>
      </x:c>
      <x:c r="P98" s="30" t="n">
        <x:f>IF(ISNUMBER(O98),COUNTIFS($O$6:$O$179,"&gt;"&amp;O98)+(COUNTIFS($O$6:$O$179,O98)+1)/2,"NA")</x:f>
        <x:v>104</x:v>
      </x:c>
      <x:c r="Q98" s="30" t="n">
        <x:f>IF(COUNT('总览与权重'!$H$10:$K$10)=4,ROUND(100*SUMPRODUCT(E98:H98,'总览与权重'!$H$10:$K$10),12),"NA")</x:f>
        <x:v>3.423964915513</x:v>
      </x:c>
      <x:c r="R98" s="30" t="n">
        <x:f>IF(ISNUMBER(Q98),COUNTIFS($Q$6:$Q$179,"&gt;"&amp;Q98)+(COUNTIFS($Q$6:$Q$179,Q98)+1)/2,"NA")</x:f>
        <x:v>128</x:v>
      </x:c>
      <x:c r="S98" s="31" t="n">
        <x:f>IF(OR(B98="s3",B98="s6"),COUNTIFS($B$6:$B$179,B98,$I$6:$I$179,"&gt;"&amp;I98)+(COUNTIFS($B$6:$B$179,B98,$I$6:$I$179,I98)+1)/2,"NA")</x:f>
        <x:v>94.5</x:v>
      </x:c>
      <x:c r="T98" s="26" t="str">
        <x:f>IF(COUNTIFS($I$6:$I$179,"&gt;"&amp;I98)&gt;=35,"非前20%",IF(COUNTIFS($I$6:$I$179,"&gt;="&amp;I98)&gt;=35,"边界同分","严格前20%"))</x:f>
        <x:v>非前20%</x:v>
      </x:c>
      <x:c r="U98" s="26" t="str">
        <x:f>IF(COUNTIFS($I$6:$I$179,"&lt;"&amp;I98)&gt;=35,"非后20%",IF(COUNTIFS($I$6:$I$179,"&lt;="&amp;I98)&gt;=35,"边界同分","严格后20%"))</x:f>
        <x:v>非后20%</x:v>
      </x:c>
      <x:c r="V98" s="26" t="n">
        <x:f>'基线调整'!I67</x:f>
        <x:v>63.077822329591</x:v>
      </x:c>
      <x:c r="W98" s="26" t="n">
        <x:f>'基线调整'!J67</x:f>
        <x:v>61.5</x:v>
      </x:c>
      <x:c r="X98" s="22" t="str">
        <x:v>["S0015"]</x:v>
      </x:c>
      <x:c r="Y98" s="22" t="str">
        <x:v>evidence/student_evidence.jsonl；student_key=2025秋:258953</x:v>
      </x:c>
      <x:c r="Z98" s="26" t="n">
        <x:f>IF(OR(B98="s3",B98="s6"),COUNTIFS($B$6:$B$179,B98,$K$6:$K$179,"&gt;"&amp;K98)+(COUNTIFS($B$6:$B$179,B98,$K$6:$K$179,K98)+1)/2,"NA")</x:f>
        <x:v>111.5</x:v>
      </x:c>
      <x:c r="AA98" s="26" t="n">
        <x:f>IF(OR(B98="s3",B98="s6"),COUNTIFS($B$6:$B$179,B98,$M$6:$M$179,"&gt;"&amp;M98)+(COUNTIFS($B$6:$B$179,B98,$M$6:$M$179,M98)+1)/2,"NA")</x:f>
        <x:v>89.5</x:v>
      </x:c>
      <x:c r="AB98" s="26" t="n">
        <x:f>IF(OR(B98="s3",B98="s6"),COUNTIFS($B$6:$B$179,B98,$O$6:$O$179,"&gt;"&amp;O98)+(COUNTIFS($B$6:$B$179,B98,$O$6:$O$179,O98)+1)/2,"NA")</x:f>
        <x:v>98.5</x:v>
      </x:c>
      <x:c r="AC98" s="26" t="n">
        <x:f>IF(OR(B98="s3",B98="s6"),COUNTIFS($B$6:$B$179,B98,$Q$6:$Q$179,"&gt;"&amp;Q98)+(COUNTIFS($B$6:$B$179,B98,$Q$6:$Q$179,Q98)+1)/2,"NA")</x:f>
        <x:v>120.5</x:v>
      </x:c>
    </x:row>
    <x:row r="99" ht="23" customHeight="1">
      <x:c r="A99" s="21" t="str">
        <x:v>2025秋:258958</x:v>
      </x:c>
      <x:c r="B99" s="22" t="str">
        <x:v>s3</x:v>
      </x:c>
      <x:c r="C99" s="24" t="n">
        <x:v>1</x:v>
      </x:c>
      <x:c r="D99" s="24" t="n">
        <x:v>1</x:v>
      </x:c>
      <x:c r="E99" s="29" t="n">
        <x:f>'指标计算'!K54</x:f>
        <x:v>0</x:v>
      </x:c>
      <x:c r="F99" s="29" t="n">
        <x:f>'指标计算'!L54</x:f>
        <x:v>0</x:v>
      </x:c>
      <x:c r="G99" s="29" t="n">
        <x:f>'指标计算'!M54</x:f>
        <x:v>0</x:v>
      </x:c>
      <x:c r="H99" s="29" t="n">
        <x:f>'指标计算'!N54</x:f>
        <x:v>1</x:v>
      </x:c>
      <x:c r="I99" s="30" t="n">
        <x:f>IF(COUNT('总览与权重'!$H$6:$K$6)=4,ROUND(100*SUMPRODUCT(E99:H99,'总览与权重'!$H$6:$K$6),12),"NA")</x:f>
        <x:v>30</x:v>
      </x:c>
      <x:c r="J99" s="30" t="n">
        <x:f>IF(ISNUMBER(I99),COUNTIFS($I$6:$I$179,"&gt;"&amp;I99)+(COUNTIFS($I$6:$I$179,I99)+1)/2,"NA")</x:f>
        <x:v>100</x:v>
      </x:c>
      <x:c r="K99" s="30" t="n">
        <x:f>IF(COUNT('总览与权重'!$H$7:$K$7)=4,ROUND(100*SUMPRODUCT(E99:H99,'总览与权重'!$H$7:$K$7),12),"NA")</x:f>
        <x:v>20</x:v>
      </x:c>
      <x:c r="L99" s="30" t="n">
        <x:f>IF(ISNUMBER(K99),COUNTIFS($K$6:$K$179,"&gt;"&amp;K99)+(COUNTIFS($K$6:$K$179,K99)+1)/2,"NA")</x:f>
        <x:v>119</x:v>
      </x:c>
      <x:c r="M99" s="30" t="n">
        <x:f>IF(COUNT('总览与权重'!$H$8:$K$8)=4,ROUND(100*SUMPRODUCT(E99:H99,'总览与权重'!$H$8:$K$8),12),"NA")</x:f>
        <x:v>35</x:v>
      </x:c>
      <x:c r="N99" s="30" t="n">
        <x:f>IF(ISNUMBER(M99),COUNTIFS($M$6:$M$179,"&gt;"&amp;M99)+(COUNTIFS($M$6:$M$179,M99)+1)/2,"NA")</x:f>
        <x:v>94</x:v>
      </x:c>
      <x:c r="O99" s="30" t="n">
        <x:f>IF(COUNT('总览与权重'!$H$9:$K$9)=4,ROUND(100*SUMPRODUCT(E99:H99,'总览与权重'!$H$9:$K$9),12),"NA")</x:f>
        <x:v>30</x:v>
      </x:c>
      <x:c r="P99" s="30" t="n">
        <x:f>IF(ISNUMBER(O99),COUNTIFS($O$6:$O$179,"&gt;"&amp;O99)+(COUNTIFS($O$6:$O$179,O99)+1)/2,"NA")</x:f>
        <x:v>104</x:v>
      </x:c>
      <x:c r="Q99" s="30" t="n">
        <x:f>IF(COUNT('总览与权重'!$H$10:$K$10)=4,ROUND(100*SUMPRODUCT(E99:H99,'总览与权重'!$H$10:$K$10),12),"NA")</x:f>
        <x:v>3.423964915513</x:v>
      </x:c>
      <x:c r="R99" s="30" t="n">
        <x:f>IF(ISNUMBER(Q99),COUNTIFS($Q$6:$Q$179,"&gt;"&amp;Q99)+(COUNTIFS($Q$6:$Q$179,Q99)+1)/2,"NA")</x:f>
        <x:v>128</x:v>
      </x:c>
      <x:c r="S99" s="31" t="n">
        <x:f>IF(OR(B99="s3",B99="s6"),COUNTIFS($B$6:$B$179,B99,$I$6:$I$179,"&gt;"&amp;I99)+(COUNTIFS($B$6:$B$179,B99,$I$6:$I$179,I99)+1)/2,"NA")</x:f>
        <x:v>94.5</x:v>
      </x:c>
      <x:c r="T99" s="26" t="str">
        <x:f>IF(COUNTIFS($I$6:$I$179,"&gt;"&amp;I99)&gt;=35,"非前20%",IF(COUNTIFS($I$6:$I$179,"&gt;="&amp;I99)&gt;=35,"边界同分","严格前20%"))</x:f>
        <x:v>非前20%</x:v>
      </x:c>
      <x:c r="U99" s="26" t="str">
        <x:f>IF(COUNTIFS($I$6:$I$179,"&lt;"&amp;I99)&gt;=35,"非后20%",IF(COUNTIFS($I$6:$I$179,"&lt;="&amp;I99)&gt;=35,"边界同分","严格后20%"))</x:f>
        <x:v>非后20%</x:v>
      </x:c>
      <x:c r="V99" s="26" t="n">
        <x:f>'基线调整'!I93</x:f>
        <x:v>62.092313929888</x:v>
      </x:c>
      <x:c r="W99" s="26" t="n">
        <x:f>'基线调整'!J93</x:f>
        <x:v>91</x:v>
      </x:c>
      <x:c r="X99" s="22" t="str">
        <x:v>["S0185"]</x:v>
      </x:c>
      <x:c r="Y99" s="22" t="str">
        <x:v>evidence/student_evidence.jsonl；student_key=2025秋:258958</x:v>
      </x:c>
      <x:c r="Z99" s="26" t="n">
        <x:f>IF(OR(B99="s3",B99="s6"),COUNTIFS($B$6:$B$179,B99,$K$6:$K$179,"&gt;"&amp;K99)+(COUNTIFS($B$6:$B$179,B99,$K$6:$K$179,K99)+1)/2,"NA")</x:f>
        <x:v>111.5</x:v>
      </x:c>
      <x:c r="AA99" s="26" t="n">
        <x:f>IF(OR(B99="s3",B99="s6"),COUNTIFS($B$6:$B$179,B99,$M$6:$M$179,"&gt;"&amp;M99)+(COUNTIFS($B$6:$B$179,B99,$M$6:$M$179,M99)+1)/2,"NA")</x:f>
        <x:v>89.5</x:v>
      </x:c>
      <x:c r="AB99" s="26" t="n">
        <x:f>IF(OR(B99="s3",B99="s6"),COUNTIFS($B$6:$B$179,B99,$O$6:$O$179,"&gt;"&amp;O99)+(COUNTIFS($B$6:$B$179,B99,$O$6:$O$179,O99)+1)/2,"NA")</x:f>
        <x:v>98.5</x:v>
      </x:c>
      <x:c r="AC99" s="26" t="n">
        <x:f>IF(OR(B99="s3",B99="s6"),COUNTIFS($B$6:$B$179,B99,$Q$6:$Q$179,"&gt;"&amp;Q99)+(COUNTIFS($B$6:$B$179,B99,$Q$6:$Q$179,Q99)+1)/2,"NA")</x:f>
        <x:v>120.5</x:v>
      </x:c>
    </x:row>
    <x:row r="100" ht="23" customHeight="1">
      <x:c r="A100" s="21" t="str">
        <x:v>2025秋:258995</x:v>
      </x:c>
      <x:c r="B100" s="22" t="str">
        <x:v>s3</x:v>
      </x:c>
      <x:c r="C100" s="24" t="n">
        <x:v>1</x:v>
      </x:c>
      <x:c r="D100" s="24" t="n">
        <x:v>1</x:v>
      </x:c>
      <x:c r="E100" s="29" t="n">
        <x:f>'指标计算'!K59</x:f>
        <x:v>0</x:v>
      </x:c>
      <x:c r="F100" s="29" t="n">
        <x:f>'指标计算'!L59</x:f>
        <x:v>0</x:v>
      </x:c>
      <x:c r="G100" s="29" t="n">
        <x:f>'指标计算'!M59</x:f>
        <x:v>0</x:v>
      </x:c>
      <x:c r="H100" s="29" t="n">
        <x:f>'指标计算'!N59</x:f>
        <x:v>1</x:v>
      </x:c>
      <x:c r="I100" s="30" t="n">
        <x:f>IF(COUNT('总览与权重'!$H$6:$K$6)=4,ROUND(100*SUMPRODUCT(E100:H100,'总览与权重'!$H$6:$K$6),12),"NA")</x:f>
        <x:v>30</x:v>
      </x:c>
      <x:c r="J100" s="30" t="n">
        <x:f>IF(ISNUMBER(I100),COUNTIFS($I$6:$I$179,"&gt;"&amp;I100)+(COUNTIFS($I$6:$I$179,I100)+1)/2,"NA")</x:f>
        <x:v>100</x:v>
      </x:c>
      <x:c r="K100" s="30" t="n">
        <x:f>IF(COUNT('总览与权重'!$H$7:$K$7)=4,ROUND(100*SUMPRODUCT(E100:H100,'总览与权重'!$H$7:$K$7),12),"NA")</x:f>
        <x:v>20</x:v>
      </x:c>
      <x:c r="L100" s="30" t="n">
        <x:f>IF(ISNUMBER(K100),COUNTIFS($K$6:$K$179,"&gt;"&amp;K100)+(COUNTIFS($K$6:$K$179,K100)+1)/2,"NA")</x:f>
        <x:v>119</x:v>
      </x:c>
      <x:c r="M100" s="30" t="n">
        <x:f>IF(COUNT('总览与权重'!$H$8:$K$8)=4,ROUND(100*SUMPRODUCT(E100:H100,'总览与权重'!$H$8:$K$8),12),"NA")</x:f>
        <x:v>35</x:v>
      </x:c>
      <x:c r="N100" s="30" t="n">
        <x:f>IF(ISNUMBER(M100),COUNTIFS($M$6:$M$179,"&gt;"&amp;M100)+(COUNTIFS($M$6:$M$179,M100)+1)/2,"NA")</x:f>
        <x:v>94</x:v>
      </x:c>
      <x:c r="O100" s="30" t="n">
        <x:f>IF(COUNT('总览与权重'!$H$9:$K$9)=4,ROUND(100*SUMPRODUCT(E100:H100,'总览与权重'!$H$9:$K$9),12),"NA")</x:f>
        <x:v>30</x:v>
      </x:c>
      <x:c r="P100" s="30" t="n">
        <x:f>IF(ISNUMBER(O100),COUNTIFS($O$6:$O$179,"&gt;"&amp;O100)+(COUNTIFS($O$6:$O$179,O100)+1)/2,"NA")</x:f>
        <x:v>104</x:v>
      </x:c>
      <x:c r="Q100" s="30" t="n">
        <x:f>IF(COUNT('总览与权重'!$H$10:$K$10)=4,ROUND(100*SUMPRODUCT(E100:H100,'总览与权重'!$H$10:$K$10),12),"NA")</x:f>
        <x:v>3.423964915513</x:v>
      </x:c>
      <x:c r="R100" s="30" t="n">
        <x:f>IF(ISNUMBER(Q100),COUNTIFS($Q$6:$Q$179,"&gt;"&amp;Q100)+(COUNTIFS($Q$6:$Q$179,Q100)+1)/2,"NA")</x:f>
        <x:v>128</x:v>
      </x:c>
      <x:c r="S100" s="31" t="n">
        <x:f>IF(OR(B100="s3",B100="s6"),COUNTIFS($B$6:$B$179,B100,$I$6:$I$179,"&gt;"&amp;I100)+(COUNTIFS($B$6:$B$179,B100,$I$6:$I$179,I100)+1)/2,"NA")</x:f>
        <x:v>94.5</x:v>
      </x:c>
      <x:c r="T100" s="26" t="str">
        <x:f>IF(COUNTIFS($I$6:$I$179,"&gt;"&amp;I100)&gt;=35,"非前20%",IF(COUNTIFS($I$6:$I$179,"&gt;="&amp;I100)&gt;=35,"边界同分","严格前20%"))</x:f>
        <x:v>非前20%</x:v>
      </x:c>
      <x:c r="U100" s="26" t="str">
        <x:f>IF(COUNTIFS($I$6:$I$179,"&lt;"&amp;I100)&gt;=35,"非后20%",IF(COUNTIFS($I$6:$I$179,"&lt;="&amp;I100)&gt;=35,"边界同分","严格后20%"))</x:f>
        <x:v>非后20%</x:v>
      </x:c>
      <x:c r="V100" s="26" t="n">
        <x:f>'基线调整'!I77</x:f>
        <x:v>62.494944055134</x:v>
      </x:c>
      <x:c r="W100" s="26" t="n">
        <x:f>'基线调整'!J77</x:f>
        <x:v>75</x:v>
      </x:c>
      <x:c r="X100" s="22" t="str">
        <x:v>["S0408"]</x:v>
      </x:c>
      <x:c r="Y100" s="22" t="str">
        <x:v>evidence/student_evidence.jsonl；student_key=2025秋:258995</x:v>
      </x:c>
      <x:c r="Z100" s="26" t="n">
        <x:f>IF(OR(B100="s3",B100="s6"),COUNTIFS($B$6:$B$179,B100,$K$6:$K$179,"&gt;"&amp;K100)+(COUNTIFS($B$6:$B$179,B100,$K$6:$K$179,K100)+1)/2,"NA")</x:f>
        <x:v>111.5</x:v>
      </x:c>
      <x:c r="AA100" s="26" t="n">
        <x:f>IF(OR(B100="s3",B100="s6"),COUNTIFS($B$6:$B$179,B100,$M$6:$M$179,"&gt;"&amp;M100)+(COUNTIFS($B$6:$B$179,B100,$M$6:$M$179,M100)+1)/2,"NA")</x:f>
        <x:v>89.5</x:v>
      </x:c>
      <x:c r="AB100" s="26" t="n">
        <x:f>IF(OR(B100="s3",B100="s6"),COUNTIFS($B$6:$B$179,B100,$O$6:$O$179,"&gt;"&amp;O100)+(COUNTIFS($B$6:$B$179,B100,$O$6:$O$179,O100)+1)/2,"NA")</x:f>
        <x:v>98.5</x:v>
      </x:c>
      <x:c r="AC100" s="26" t="n">
        <x:f>IF(OR(B100="s3",B100="s6"),COUNTIFS($B$6:$B$179,B100,$Q$6:$Q$179,"&gt;"&amp;Q100)+(COUNTIFS($B$6:$B$179,B100,$Q$6:$Q$179,Q100)+1)/2,"NA")</x:f>
        <x:v>120.5</x:v>
      </x:c>
    </x:row>
    <x:row r="101" ht="23" customHeight="1">
      <x:c r="A101" s="21" t="str">
        <x:v>2025秋:259004</x:v>
      </x:c>
      <x:c r="B101" s="22" t="str">
        <x:v>s3</x:v>
      </x:c>
      <x:c r="C101" s="24" t="n">
        <x:v>3</x:v>
      </x:c>
      <x:c r="D101" s="24" t="n">
        <x:v>1</x:v>
      </x:c>
      <x:c r="E101" s="29" t="n">
        <x:f>'指标计算'!K61</x:f>
        <x:v>0</x:v>
      </x:c>
      <x:c r="F101" s="29" t="n">
        <x:f>'指标计算'!L61</x:f>
        <x:v>0</x:v>
      </x:c>
      <x:c r="G101" s="29" t="n">
        <x:f>'指标计算'!M61</x:f>
        <x:v>0</x:v>
      </x:c>
      <x:c r="H101" s="29" t="n">
        <x:f>'指标计算'!N61</x:f>
        <x:v>1</x:v>
      </x:c>
      <x:c r="I101" s="30" t="n">
        <x:f>IF(COUNT('总览与权重'!$H$6:$K$6)=4,ROUND(100*SUMPRODUCT(E101:H101,'总览与权重'!$H$6:$K$6),12),"NA")</x:f>
        <x:v>30</x:v>
      </x:c>
      <x:c r="J101" s="30" t="n">
        <x:f>IF(ISNUMBER(I101),COUNTIFS($I$6:$I$179,"&gt;"&amp;I101)+(COUNTIFS($I$6:$I$179,I101)+1)/2,"NA")</x:f>
        <x:v>100</x:v>
      </x:c>
      <x:c r="K101" s="30" t="n">
        <x:f>IF(COUNT('总览与权重'!$H$7:$K$7)=4,ROUND(100*SUMPRODUCT(E101:H101,'总览与权重'!$H$7:$K$7),12),"NA")</x:f>
        <x:v>20</x:v>
      </x:c>
      <x:c r="L101" s="30" t="n">
        <x:f>IF(ISNUMBER(K101),COUNTIFS($K$6:$K$179,"&gt;"&amp;K101)+(COUNTIFS($K$6:$K$179,K101)+1)/2,"NA")</x:f>
        <x:v>119</x:v>
      </x:c>
      <x:c r="M101" s="30" t="n">
        <x:f>IF(COUNT('总览与权重'!$H$8:$K$8)=4,ROUND(100*SUMPRODUCT(E101:H101,'总览与权重'!$H$8:$K$8),12),"NA")</x:f>
        <x:v>35</x:v>
      </x:c>
      <x:c r="N101" s="30" t="n">
        <x:f>IF(ISNUMBER(M101),COUNTIFS($M$6:$M$179,"&gt;"&amp;M101)+(COUNTIFS($M$6:$M$179,M101)+1)/2,"NA")</x:f>
        <x:v>94</x:v>
      </x:c>
      <x:c r="O101" s="30" t="n">
        <x:f>IF(COUNT('总览与权重'!$H$9:$K$9)=4,ROUND(100*SUMPRODUCT(E101:H101,'总览与权重'!$H$9:$K$9),12),"NA")</x:f>
        <x:v>30</x:v>
      </x:c>
      <x:c r="P101" s="30" t="n">
        <x:f>IF(ISNUMBER(O101),COUNTIFS($O$6:$O$179,"&gt;"&amp;O101)+(COUNTIFS($O$6:$O$179,O101)+1)/2,"NA")</x:f>
        <x:v>104</x:v>
      </x:c>
      <x:c r="Q101" s="30" t="n">
        <x:f>IF(COUNT('总览与权重'!$H$10:$K$10)=4,ROUND(100*SUMPRODUCT(E101:H101,'总览与权重'!$H$10:$K$10),12),"NA")</x:f>
        <x:v>3.423964915513</x:v>
      </x:c>
      <x:c r="R101" s="30" t="n">
        <x:f>IF(ISNUMBER(Q101),COUNTIFS($Q$6:$Q$179,"&gt;"&amp;Q101)+(COUNTIFS($Q$6:$Q$179,Q101)+1)/2,"NA")</x:f>
        <x:v>128</x:v>
      </x:c>
      <x:c r="S101" s="31" t="n">
        <x:f>IF(OR(B101="s3",B101="s6"),COUNTIFS($B$6:$B$179,B101,$I$6:$I$179,"&gt;"&amp;I101)+(COUNTIFS($B$6:$B$179,B101,$I$6:$I$179,I101)+1)/2,"NA")</x:f>
        <x:v>94.5</x:v>
      </x:c>
      <x:c r="T101" s="26" t="str">
        <x:f>IF(COUNTIFS($I$6:$I$179,"&gt;"&amp;I101)&gt;=35,"非前20%",IF(COUNTIFS($I$6:$I$179,"&gt;="&amp;I101)&gt;=35,"边界同分","严格前20%"))</x:f>
        <x:v>非前20%</x:v>
      </x:c>
      <x:c r="U101" s="26" t="str">
        <x:f>IF(COUNTIFS($I$6:$I$179,"&lt;"&amp;I101)&gt;=35,"非后20%",IF(COUNTIFS($I$6:$I$179,"&lt;="&amp;I101)&gt;=35,"边界同分","严格后20%"))</x:f>
        <x:v>非后20%</x:v>
      </x:c>
      <x:c r="V101" s="26" t="n">
        <x:f>'基线调整'!I94</x:f>
        <x:v>62.092313929888</x:v>
      </x:c>
      <x:c r="W101" s="26" t="n">
        <x:f>'基线调整'!J94</x:f>
        <x:v>91</x:v>
      </x:c>
      <x:c r="X101" s="22" t="str">
        <x:v>["S0172","S0224","S0391"]</x:v>
      </x:c>
      <x:c r="Y101" s="22" t="str">
        <x:v>evidence/student_evidence.jsonl；student_key=2025秋:259004</x:v>
      </x:c>
      <x:c r="Z101" s="26" t="n">
        <x:f>IF(OR(B101="s3",B101="s6"),COUNTIFS($B$6:$B$179,B101,$K$6:$K$179,"&gt;"&amp;K101)+(COUNTIFS($B$6:$B$179,B101,$K$6:$K$179,K101)+1)/2,"NA")</x:f>
        <x:v>111.5</x:v>
      </x:c>
      <x:c r="AA101" s="26" t="n">
        <x:f>IF(OR(B101="s3",B101="s6"),COUNTIFS($B$6:$B$179,B101,$M$6:$M$179,"&gt;"&amp;M101)+(COUNTIFS($B$6:$B$179,B101,$M$6:$M$179,M101)+1)/2,"NA")</x:f>
        <x:v>89.5</x:v>
      </x:c>
      <x:c r="AB101" s="26" t="n">
        <x:f>IF(OR(B101="s3",B101="s6"),COUNTIFS($B$6:$B$179,B101,$O$6:$O$179,"&gt;"&amp;O101)+(COUNTIFS($B$6:$B$179,B101,$O$6:$O$179,O101)+1)/2,"NA")</x:f>
        <x:v>98.5</x:v>
      </x:c>
      <x:c r="AC101" s="26" t="n">
        <x:f>IF(OR(B101="s3",B101="s6"),COUNTIFS($B$6:$B$179,B101,$Q$6:$Q$179,"&gt;"&amp;Q101)+(COUNTIFS($B$6:$B$179,B101,$Q$6:$Q$179,Q101)+1)/2,"NA")</x:f>
        <x:v>120.5</x:v>
      </x:c>
    </x:row>
    <x:row r="102" ht="23" customHeight="1">
      <x:c r="A102" s="21" t="str">
        <x:v>2025秋:259015</x:v>
      </x:c>
      <x:c r="B102" s="22" t="str">
        <x:v>s3</x:v>
      </x:c>
      <x:c r="C102" s="24" t="n">
        <x:v>1</x:v>
      </x:c>
      <x:c r="D102" s="24" t="n">
        <x:v>1</x:v>
      </x:c>
      <x:c r="E102" s="29" t="n">
        <x:f>'指标计算'!K62</x:f>
        <x:v>0</x:v>
      </x:c>
      <x:c r="F102" s="29" t="n">
        <x:f>'指标计算'!L62</x:f>
        <x:v>0</x:v>
      </x:c>
      <x:c r="G102" s="29" t="n">
        <x:f>'指标计算'!M62</x:f>
        <x:v>0</x:v>
      </x:c>
      <x:c r="H102" s="29" t="n">
        <x:f>'指标计算'!N62</x:f>
        <x:v>1</x:v>
      </x:c>
      <x:c r="I102" s="30" t="n">
        <x:f>IF(COUNT('总览与权重'!$H$6:$K$6)=4,ROUND(100*SUMPRODUCT(E102:H102,'总览与权重'!$H$6:$K$6),12),"NA")</x:f>
        <x:v>30</x:v>
      </x:c>
      <x:c r="J102" s="30" t="n">
        <x:f>IF(ISNUMBER(I102),COUNTIFS($I$6:$I$179,"&gt;"&amp;I102)+(COUNTIFS($I$6:$I$179,I102)+1)/2,"NA")</x:f>
        <x:v>100</x:v>
      </x:c>
      <x:c r="K102" s="30" t="n">
        <x:f>IF(COUNT('总览与权重'!$H$7:$K$7)=4,ROUND(100*SUMPRODUCT(E102:H102,'总览与权重'!$H$7:$K$7),12),"NA")</x:f>
        <x:v>20</x:v>
      </x:c>
      <x:c r="L102" s="30" t="n">
        <x:f>IF(ISNUMBER(K102),COUNTIFS($K$6:$K$179,"&gt;"&amp;K102)+(COUNTIFS($K$6:$K$179,K102)+1)/2,"NA")</x:f>
        <x:v>119</x:v>
      </x:c>
      <x:c r="M102" s="30" t="n">
        <x:f>IF(COUNT('总览与权重'!$H$8:$K$8)=4,ROUND(100*SUMPRODUCT(E102:H102,'总览与权重'!$H$8:$K$8),12),"NA")</x:f>
        <x:v>35</x:v>
      </x:c>
      <x:c r="N102" s="30" t="n">
        <x:f>IF(ISNUMBER(M102),COUNTIFS($M$6:$M$179,"&gt;"&amp;M102)+(COUNTIFS($M$6:$M$179,M102)+1)/2,"NA")</x:f>
        <x:v>94</x:v>
      </x:c>
      <x:c r="O102" s="30" t="n">
        <x:f>IF(COUNT('总览与权重'!$H$9:$K$9)=4,ROUND(100*SUMPRODUCT(E102:H102,'总览与权重'!$H$9:$K$9),12),"NA")</x:f>
        <x:v>30</x:v>
      </x:c>
      <x:c r="P102" s="30" t="n">
        <x:f>IF(ISNUMBER(O102),COUNTIFS($O$6:$O$179,"&gt;"&amp;O102)+(COUNTIFS($O$6:$O$179,O102)+1)/2,"NA")</x:f>
        <x:v>104</x:v>
      </x:c>
      <x:c r="Q102" s="30" t="n">
        <x:f>IF(COUNT('总览与权重'!$H$10:$K$10)=4,ROUND(100*SUMPRODUCT(E102:H102,'总览与权重'!$H$10:$K$10),12),"NA")</x:f>
        <x:v>3.423964915513</x:v>
      </x:c>
      <x:c r="R102" s="30" t="n">
        <x:f>IF(ISNUMBER(Q102),COUNTIFS($Q$6:$Q$179,"&gt;"&amp;Q102)+(COUNTIFS($Q$6:$Q$179,Q102)+1)/2,"NA")</x:f>
        <x:v>128</x:v>
      </x:c>
      <x:c r="S102" s="31" t="n">
        <x:f>IF(OR(B102="s3",B102="s6"),COUNTIFS($B$6:$B$179,B102,$I$6:$I$179,"&gt;"&amp;I102)+(COUNTIFS($B$6:$B$179,B102,$I$6:$I$179,I102)+1)/2,"NA")</x:f>
        <x:v>94.5</x:v>
      </x:c>
      <x:c r="T102" s="26" t="str">
        <x:f>IF(COUNTIFS($I$6:$I$179,"&gt;"&amp;I102)&gt;=35,"非前20%",IF(COUNTIFS($I$6:$I$179,"&gt;="&amp;I102)&gt;=35,"边界同分","严格前20%"))</x:f>
        <x:v>非前20%</x:v>
      </x:c>
      <x:c r="U102" s="26" t="str">
        <x:f>IF(COUNTIFS($I$6:$I$179,"&lt;"&amp;I102)&gt;=35,"非后20%",IF(COUNTIFS($I$6:$I$179,"&lt;="&amp;I102)&gt;=35,"边界同分","严格后20%"))</x:f>
        <x:v>非后20%</x:v>
      </x:c>
      <x:c r="V102" s="26" t="n">
        <x:f>'基线调整'!I72</x:f>
        <x:v>63.00320181785</x:v>
      </x:c>
      <x:c r="W102" s="26" t="n">
        <x:f>'基线调整'!J72</x:f>
        <x:v>67.5</x:v>
      </x:c>
      <x:c r="X102" s="22" t="str">
        <x:v>["S0371"]</x:v>
      </x:c>
      <x:c r="Y102" s="22" t="str">
        <x:v>evidence/student_evidence.jsonl；student_key=2025秋:259015</x:v>
      </x:c>
      <x:c r="Z102" s="26" t="n">
        <x:f>IF(OR(B102="s3",B102="s6"),COUNTIFS($B$6:$B$179,B102,$K$6:$K$179,"&gt;"&amp;K102)+(COUNTIFS($B$6:$B$179,B102,$K$6:$K$179,K102)+1)/2,"NA")</x:f>
        <x:v>111.5</x:v>
      </x:c>
      <x:c r="AA102" s="26" t="n">
        <x:f>IF(OR(B102="s3",B102="s6"),COUNTIFS($B$6:$B$179,B102,$M$6:$M$179,"&gt;"&amp;M102)+(COUNTIFS($B$6:$B$179,B102,$M$6:$M$179,M102)+1)/2,"NA")</x:f>
        <x:v>89.5</x:v>
      </x:c>
      <x:c r="AB102" s="26" t="n">
        <x:f>IF(OR(B102="s3",B102="s6"),COUNTIFS($B$6:$B$179,B102,$O$6:$O$179,"&gt;"&amp;O102)+(COUNTIFS($B$6:$B$179,B102,$O$6:$O$179,O102)+1)/2,"NA")</x:f>
        <x:v>98.5</x:v>
      </x:c>
      <x:c r="AC102" s="26" t="n">
        <x:f>IF(OR(B102="s3",B102="s6"),COUNTIFS($B$6:$B$179,B102,$Q$6:$Q$179,"&gt;"&amp;Q102)+(COUNTIFS($B$6:$B$179,B102,$Q$6:$Q$179,Q102)+1)/2,"NA")</x:f>
        <x:v>120.5</x:v>
      </x:c>
    </x:row>
    <x:row r="103" ht="23" customHeight="1">
      <x:c r="A103" s="21" t="str">
        <x:v>2025秋:259023</x:v>
      </x:c>
      <x:c r="B103" s="22" t="str">
        <x:v>s3</x:v>
      </x:c>
      <x:c r="C103" s="24" t="n">
        <x:v>1</x:v>
      </x:c>
      <x:c r="D103" s="24" t="n">
        <x:v>1</x:v>
      </x:c>
      <x:c r="E103" s="29" t="n">
        <x:f>'指标计算'!K65</x:f>
        <x:v>0</x:v>
      </x:c>
      <x:c r="F103" s="29" t="n">
        <x:f>'指标计算'!L65</x:f>
        <x:v>0</x:v>
      </x:c>
      <x:c r="G103" s="29" t="n">
        <x:f>'指标计算'!M65</x:f>
        <x:v>0</x:v>
      </x:c>
      <x:c r="H103" s="29" t="n">
        <x:f>'指标计算'!N65</x:f>
        <x:v>1</x:v>
      </x:c>
      <x:c r="I103" s="30" t="n">
        <x:f>IF(COUNT('总览与权重'!$H$6:$K$6)=4,ROUND(100*SUMPRODUCT(E103:H103,'总览与权重'!$H$6:$K$6),12),"NA")</x:f>
        <x:v>30</x:v>
      </x:c>
      <x:c r="J103" s="30" t="n">
        <x:f>IF(ISNUMBER(I103),COUNTIFS($I$6:$I$179,"&gt;"&amp;I103)+(COUNTIFS($I$6:$I$179,I103)+1)/2,"NA")</x:f>
        <x:v>100</x:v>
      </x:c>
      <x:c r="K103" s="30" t="n">
        <x:f>IF(COUNT('总览与权重'!$H$7:$K$7)=4,ROUND(100*SUMPRODUCT(E103:H103,'总览与权重'!$H$7:$K$7),12),"NA")</x:f>
        <x:v>20</x:v>
      </x:c>
      <x:c r="L103" s="30" t="n">
        <x:f>IF(ISNUMBER(K103),COUNTIFS($K$6:$K$179,"&gt;"&amp;K103)+(COUNTIFS($K$6:$K$179,K103)+1)/2,"NA")</x:f>
        <x:v>119</x:v>
      </x:c>
      <x:c r="M103" s="30" t="n">
        <x:f>IF(COUNT('总览与权重'!$H$8:$K$8)=4,ROUND(100*SUMPRODUCT(E103:H103,'总览与权重'!$H$8:$K$8),12),"NA")</x:f>
        <x:v>35</x:v>
      </x:c>
      <x:c r="N103" s="30" t="n">
        <x:f>IF(ISNUMBER(M103),COUNTIFS($M$6:$M$179,"&gt;"&amp;M103)+(COUNTIFS($M$6:$M$179,M103)+1)/2,"NA")</x:f>
        <x:v>94</x:v>
      </x:c>
      <x:c r="O103" s="30" t="n">
        <x:f>IF(COUNT('总览与权重'!$H$9:$K$9)=4,ROUND(100*SUMPRODUCT(E103:H103,'总览与权重'!$H$9:$K$9),12),"NA")</x:f>
        <x:v>30</x:v>
      </x:c>
      <x:c r="P103" s="30" t="n">
        <x:f>IF(ISNUMBER(O103),COUNTIFS($O$6:$O$179,"&gt;"&amp;O103)+(COUNTIFS($O$6:$O$179,O103)+1)/2,"NA")</x:f>
        <x:v>104</x:v>
      </x:c>
      <x:c r="Q103" s="30" t="n">
        <x:f>IF(COUNT('总览与权重'!$H$10:$K$10)=4,ROUND(100*SUMPRODUCT(E103:H103,'总览与权重'!$H$10:$K$10),12),"NA")</x:f>
        <x:v>3.423964915513</x:v>
      </x:c>
      <x:c r="R103" s="30" t="n">
        <x:f>IF(ISNUMBER(Q103),COUNTIFS($Q$6:$Q$179,"&gt;"&amp;Q103)+(COUNTIFS($Q$6:$Q$179,Q103)+1)/2,"NA")</x:f>
        <x:v>128</x:v>
      </x:c>
      <x:c r="S103" s="31" t="n">
        <x:f>IF(OR(B103="s3",B103="s6"),COUNTIFS($B$6:$B$179,B103,$I$6:$I$179,"&gt;"&amp;I103)+(COUNTIFS($B$6:$B$179,B103,$I$6:$I$179,I103)+1)/2,"NA")</x:f>
        <x:v>94.5</x:v>
      </x:c>
      <x:c r="T103" s="26" t="str">
        <x:f>IF(COUNTIFS($I$6:$I$179,"&gt;"&amp;I103)&gt;=35,"非前20%",IF(COUNTIFS($I$6:$I$179,"&gt;="&amp;I103)&gt;=35,"边界同分","严格前20%"))</x:f>
        <x:v>非前20%</x:v>
      </x:c>
      <x:c r="U103" s="26" t="str">
        <x:f>IF(COUNTIFS($I$6:$I$179,"&lt;"&amp;I103)&gt;=35,"非后20%",IF(COUNTIFS($I$6:$I$179,"&lt;="&amp;I103)&gt;=35,"边界同分","严格后20%"))</x:f>
        <x:v>非后20%</x:v>
      </x:c>
      <x:c r="V103" s="26" t="n">
        <x:f>'基线调整'!I78</x:f>
        <x:v>62.494944055134</x:v>
      </x:c>
      <x:c r="W103" s="26" t="n">
        <x:f>'基线调整'!J78</x:f>
        <x:v>75</x:v>
      </x:c>
      <x:c r="X103" s="22" t="str">
        <x:v>["S0463"]</x:v>
      </x:c>
      <x:c r="Y103" s="22" t="str">
        <x:v>evidence/student_evidence.jsonl；student_key=2025秋:259023</x:v>
      </x:c>
      <x:c r="Z103" s="26" t="n">
        <x:f>IF(OR(B103="s3",B103="s6"),COUNTIFS($B$6:$B$179,B103,$K$6:$K$179,"&gt;"&amp;K103)+(COUNTIFS($B$6:$B$179,B103,$K$6:$K$179,K103)+1)/2,"NA")</x:f>
        <x:v>111.5</x:v>
      </x:c>
      <x:c r="AA103" s="26" t="n">
        <x:f>IF(OR(B103="s3",B103="s6"),COUNTIFS($B$6:$B$179,B103,$M$6:$M$179,"&gt;"&amp;M103)+(COUNTIFS($B$6:$B$179,B103,$M$6:$M$179,M103)+1)/2,"NA")</x:f>
        <x:v>89.5</x:v>
      </x:c>
      <x:c r="AB103" s="26" t="n">
        <x:f>IF(OR(B103="s3",B103="s6"),COUNTIFS($B$6:$B$179,B103,$O$6:$O$179,"&gt;"&amp;O103)+(COUNTIFS($B$6:$B$179,B103,$O$6:$O$179,O103)+1)/2,"NA")</x:f>
        <x:v>98.5</x:v>
      </x:c>
      <x:c r="AC103" s="26" t="n">
        <x:f>IF(OR(B103="s3",B103="s6"),COUNTIFS($B$6:$B$179,B103,$Q$6:$Q$179,"&gt;"&amp;Q103)+(COUNTIFS($B$6:$B$179,B103,$Q$6:$Q$179,Q103)+1)/2,"NA")</x:f>
        <x:v>120.5</x:v>
      </x:c>
    </x:row>
    <x:row r="104" ht="23" customHeight="1">
      <x:c r="A104" s="21" t="str">
        <x:v>2025秋:259052</x:v>
      </x:c>
      <x:c r="B104" s="22" t="str">
        <x:v>s3</x:v>
      </x:c>
      <x:c r="C104" s="24" t="n">
        <x:v>1</x:v>
      </x:c>
      <x:c r="D104" s="24" t="n">
        <x:v>1</x:v>
      </x:c>
      <x:c r="E104" s="29" t="n">
        <x:f>'指标计算'!K71</x:f>
        <x:v>0</x:v>
      </x:c>
      <x:c r="F104" s="29" t="n">
        <x:f>'指标计算'!L71</x:f>
        <x:v>0</x:v>
      </x:c>
      <x:c r="G104" s="29" t="n">
        <x:f>'指标计算'!M71</x:f>
        <x:v>0</x:v>
      </x:c>
      <x:c r="H104" s="29" t="n">
        <x:f>'指标计算'!N71</x:f>
        <x:v>1</x:v>
      </x:c>
      <x:c r="I104" s="30" t="n">
        <x:f>IF(COUNT('总览与权重'!$H$6:$K$6)=4,ROUND(100*SUMPRODUCT(E104:H104,'总览与权重'!$H$6:$K$6),12),"NA")</x:f>
        <x:v>30</x:v>
      </x:c>
      <x:c r="J104" s="30" t="n">
        <x:f>IF(ISNUMBER(I104),COUNTIFS($I$6:$I$179,"&gt;"&amp;I104)+(COUNTIFS($I$6:$I$179,I104)+1)/2,"NA")</x:f>
        <x:v>100</x:v>
      </x:c>
      <x:c r="K104" s="30" t="n">
        <x:f>IF(COUNT('总览与权重'!$H$7:$K$7)=4,ROUND(100*SUMPRODUCT(E104:H104,'总览与权重'!$H$7:$K$7),12),"NA")</x:f>
        <x:v>20</x:v>
      </x:c>
      <x:c r="L104" s="30" t="n">
        <x:f>IF(ISNUMBER(K104),COUNTIFS($K$6:$K$179,"&gt;"&amp;K104)+(COUNTIFS($K$6:$K$179,K104)+1)/2,"NA")</x:f>
        <x:v>119</x:v>
      </x:c>
      <x:c r="M104" s="30" t="n">
        <x:f>IF(COUNT('总览与权重'!$H$8:$K$8)=4,ROUND(100*SUMPRODUCT(E104:H104,'总览与权重'!$H$8:$K$8),12),"NA")</x:f>
        <x:v>35</x:v>
      </x:c>
      <x:c r="N104" s="30" t="n">
        <x:f>IF(ISNUMBER(M104),COUNTIFS($M$6:$M$179,"&gt;"&amp;M104)+(COUNTIFS($M$6:$M$179,M104)+1)/2,"NA")</x:f>
        <x:v>94</x:v>
      </x:c>
      <x:c r="O104" s="30" t="n">
        <x:f>IF(COUNT('总览与权重'!$H$9:$K$9)=4,ROUND(100*SUMPRODUCT(E104:H104,'总览与权重'!$H$9:$K$9),12),"NA")</x:f>
        <x:v>30</x:v>
      </x:c>
      <x:c r="P104" s="30" t="n">
        <x:f>IF(ISNUMBER(O104),COUNTIFS($O$6:$O$179,"&gt;"&amp;O104)+(COUNTIFS($O$6:$O$179,O104)+1)/2,"NA")</x:f>
        <x:v>104</x:v>
      </x:c>
      <x:c r="Q104" s="30" t="n">
        <x:f>IF(COUNT('总览与权重'!$H$10:$K$10)=4,ROUND(100*SUMPRODUCT(E104:H104,'总览与权重'!$H$10:$K$10),12),"NA")</x:f>
        <x:v>3.423964915513</x:v>
      </x:c>
      <x:c r="R104" s="30" t="n">
        <x:f>IF(ISNUMBER(Q104),COUNTIFS($Q$6:$Q$179,"&gt;"&amp;Q104)+(COUNTIFS($Q$6:$Q$179,Q104)+1)/2,"NA")</x:f>
        <x:v>128</x:v>
      </x:c>
      <x:c r="S104" s="31" t="n">
        <x:f>IF(OR(B104="s3",B104="s6"),COUNTIFS($B$6:$B$179,B104,$I$6:$I$179,"&gt;"&amp;I104)+(COUNTIFS($B$6:$B$179,B104,$I$6:$I$179,I104)+1)/2,"NA")</x:f>
        <x:v>94.5</x:v>
      </x:c>
      <x:c r="T104" s="26" t="str">
        <x:f>IF(COUNTIFS($I$6:$I$179,"&gt;"&amp;I104)&gt;=35,"非前20%",IF(COUNTIFS($I$6:$I$179,"&gt;="&amp;I104)&gt;=35,"边界同分","严格前20%"))</x:f>
        <x:v>非前20%</x:v>
      </x:c>
      <x:c r="U104" s="26" t="str">
        <x:f>IF(COUNTIFS($I$6:$I$179,"&lt;"&amp;I104)&gt;=35,"非后20%",IF(COUNTIFS($I$6:$I$179,"&lt;="&amp;I104)&gt;=35,"边界同分","严格后20%"))</x:f>
        <x:v>非后20%</x:v>
      </x:c>
      <x:c r="V104" s="26" t="n">
        <x:f>'基线调整'!I73</x:f>
        <x:v>63.00320181785</x:v>
      </x:c>
      <x:c r="W104" s="26" t="n">
        <x:f>'基线调整'!J73</x:f>
        <x:v>67.5</x:v>
      </x:c>
      <x:c r="X104" s="22" t="str">
        <x:v>["S0489"]</x:v>
      </x:c>
      <x:c r="Y104" s="22" t="str">
        <x:v>evidence/student_evidence.jsonl；student_key=2025秋:259052</x:v>
      </x:c>
      <x:c r="Z104" s="26" t="n">
        <x:f>IF(OR(B104="s3",B104="s6"),COUNTIFS($B$6:$B$179,B104,$K$6:$K$179,"&gt;"&amp;K104)+(COUNTIFS($B$6:$B$179,B104,$K$6:$K$179,K104)+1)/2,"NA")</x:f>
        <x:v>111.5</x:v>
      </x:c>
      <x:c r="AA104" s="26" t="n">
        <x:f>IF(OR(B104="s3",B104="s6"),COUNTIFS($B$6:$B$179,B104,$M$6:$M$179,"&gt;"&amp;M104)+(COUNTIFS($B$6:$B$179,B104,$M$6:$M$179,M104)+1)/2,"NA")</x:f>
        <x:v>89.5</x:v>
      </x:c>
      <x:c r="AB104" s="26" t="n">
        <x:f>IF(OR(B104="s3",B104="s6"),COUNTIFS($B$6:$B$179,B104,$O$6:$O$179,"&gt;"&amp;O104)+(COUNTIFS($B$6:$B$179,B104,$O$6:$O$179,O104)+1)/2,"NA")</x:f>
        <x:v>98.5</x:v>
      </x:c>
      <x:c r="AC104" s="26" t="n">
        <x:f>IF(OR(B104="s3",B104="s6"),COUNTIFS($B$6:$B$179,B104,$Q$6:$Q$179,"&gt;"&amp;Q104)+(COUNTIFS($B$6:$B$179,B104,$Q$6:$Q$179,Q104)+1)/2,"NA")</x:f>
        <x:v>120.5</x:v>
      </x:c>
    </x:row>
    <x:row r="105" ht="23" customHeight="1">
      <x:c r="A105" s="21" t="str">
        <x:v>2025秋:259092</x:v>
      </x:c>
      <x:c r="B105" s="22" t="str">
        <x:v>s3</x:v>
      </x:c>
      <x:c r="C105" s="24" t="n">
        <x:v>1</x:v>
      </x:c>
      <x:c r="D105" s="24" t="n">
        <x:v>1</x:v>
      </x:c>
      <x:c r="E105" s="29" t="n">
        <x:f>'指标计算'!K73</x:f>
        <x:v>0</x:v>
      </x:c>
      <x:c r="F105" s="29" t="n">
        <x:f>'指标计算'!L73</x:f>
        <x:v>0</x:v>
      </x:c>
      <x:c r="G105" s="29" t="n">
        <x:f>'指标计算'!M73</x:f>
        <x:v>0</x:v>
      </x:c>
      <x:c r="H105" s="29" t="n">
        <x:f>'指标计算'!N73</x:f>
        <x:v>1</x:v>
      </x:c>
      <x:c r="I105" s="30" t="n">
        <x:f>IF(COUNT('总览与权重'!$H$6:$K$6)=4,ROUND(100*SUMPRODUCT(E105:H105,'总览与权重'!$H$6:$K$6),12),"NA")</x:f>
        <x:v>30</x:v>
      </x:c>
      <x:c r="J105" s="30" t="n">
        <x:f>IF(ISNUMBER(I105),COUNTIFS($I$6:$I$179,"&gt;"&amp;I105)+(COUNTIFS($I$6:$I$179,I105)+1)/2,"NA")</x:f>
        <x:v>100</x:v>
      </x:c>
      <x:c r="K105" s="30" t="n">
        <x:f>IF(COUNT('总览与权重'!$H$7:$K$7)=4,ROUND(100*SUMPRODUCT(E105:H105,'总览与权重'!$H$7:$K$7),12),"NA")</x:f>
        <x:v>20</x:v>
      </x:c>
      <x:c r="L105" s="30" t="n">
        <x:f>IF(ISNUMBER(K105),COUNTIFS($K$6:$K$179,"&gt;"&amp;K105)+(COUNTIFS($K$6:$K$179,K105)+1)/2,"NA")</x:f>
        <x:v>119</x:v>
      </x:c>
      <x:c r="M105" s="30" t="n">
        <x:f>IF(COUNT('总览与权重'!$H$8:$K$8)=4,ROUND(100*SUMPRODUCT(E105:H105,'总览与权重'!$H$8:$K$8),12),"NA")</x:f>
        <x:v>35</x:v>
      </x:c>
      <x:c r="N105" s="30" t="n">
        <x:f>IF(ISNUMBER(M105),COUNTIFS($M$6:$M$179,"&gt;"&amp;M105)+(COUNTIFS($M$6:$M$179,M105)+1)/2,"NA")</x:f>
        <x:v>94</x:v>
      </x:c>
      <x:c r="O105" s="30" t="n">
        <x:f>IF(COUNT('总览与权重'!$H$9:$K$9)=4,ROUND(100*SUMPRODUCT(E105:H105,'总览与权重'!$H$9:$K$9),12),"NA")</x:f>
        <x:v>30</x:v>
      </x:c>
      <x:c r="P105" s="30" t="n">
        <x:f>IF(ISNUMBER(O105),COUNTIFS($O$6:$O$179,"&gt;"&amp;O105)+(COUNTIFS($O$6:$O$179,O105)+1)/2,"NA")</x:f>
        <x:v>104</x:v>
      </x:c>
      <x:c r="Q105" s="30" t="n">
        <x:f>IF(COUNT('总览与权重'!$H$10:$K$10)=4,ROUND(100*SUMPRODUCT(E105:H105,'总览与权重'!$H$10:$K$10),12),"NA")</x:f>
        <x:v>3.423964915513</x:v>
      </x:c>
      <x:c r="R105" s="30" t="n">
        <x:f>IF(ISNUMBER(Q105),COUNTIFS($Q$6:$Q$179,"&gt;"&amp;Q105)+(COUNTIFS($Q$6:$Q$179,Q105)+1)/2,"NA")</x:f>
        <x:v>128</x:v>
      </x:c>
      <x:c r="S105" s="31" t="n">
        <x:f>IF(OR(B105="s3",B105="s6"),COUNTIFS($B$6:$B$179,B105,$I$6:$I$179,"&gt;"&amp;I105)+(COUNTIFS($B$6:$B$179,B105,$I$6:$I$179,I105)+1)/2,"NA")</x:f>
        <x:v>94.5</x:v>
      </x:c>
      <x:c r="T105" s="26" t="str">
        <x:f>IF(COUNTIFS($I$6:$I$179,"&gt;"&amp;I105)&gt;=35,"非前20%",IF(COUNTIFS($I$6:$I$179,"&gt;="&amp;I105)&gt;=35,"边界同分","严格前20%"))</x:f>
        <x:v>非前20%</x:v>
      </x:c>
      <x:c r="U105" s="26" t="str">
        <x:f>IF(COUNTIFS($I$6:$I$179,"&lt;"&amp;I105)&gt;=35,"非后20%",IF(COUNTIFS($I$6:$I$179,"&lt;="&amp;I105)&gt;=35,"边界同分","严格后20%"))</x:f>
        <x:v>非后20%</x:v>
      </x:c>
      <x:c r="V105" s="26" t="n">
        <x:f>'基线调整'!I95</x:f>
        <x:v>62.092313929888</x:v>
      </x:c>
      <x:c r="W105" s="26" t="n">
        <x:f>'基线调整'!J95</x:f>
        <x:v>91</x:v>
      </x:c>
      <x:c r="X105" s="22" t="str">
        <x:v>["S0034"]</x:v>
      </x:c>
      <x:c r="Y105" s="22" t="str">
        <x:v>evidence/student_evidence.jsonl；student_key=2025秋:259092</x:v>
      </x:c>
      <x:c r="Z105" s="26" t="n">
        <x:f>IF(OR(B105="s3",B105="s6"),COUNTIFS($B$6:$B$179,B105,$K$6:$K$179,"&gt;"&amp;K105)+(COUNTIFS($B$6:$B$179,B105,$K$6:$K$179,K105)+1)/2,"NA")</x:f>
        <x:v>111.5</x:v>
      </x:c>
      <x:c r="AA105" s="26" t="n">
        <x:f>IF(OR(B105="s3",B105="s6"),COUNTIFS($B$6:$B$179,B105,$M$6:$M$179,"&gt;"&amp;M105)+(COUNTIFS($B$6:$B$179,B105,$M$6:$M$179,M105)+1)/2,"NA")</x:f>
        <x:v>89.5</x:v>
      </x:c>
      <x:c r="AB105" s="26" t="n">
        <x:f>IF(OR(B105="s3",B105="s6"),COUNTIFS($B$6:$B$179,B105,$O$6:$O$179,"&gt;"&amp;O105)+(COUNTIFS($B$6:$B$179,B105,$O$6:$O$179,O105)+1)/2,"NA")</x:f>
        <x:v>98.5</x:v>
      </x:c>
      <x:c r="AC105" s="26" t="n">
        <x:f>IF(OR(B105="s3",B105="s6"),COUNTIFS($B$6:$B$179,B105,$Q$6:$Q$179,"&gt;"&amp;Q105)+(COUNTIFS($B$6:$B$179,B105,$Q$6:$Q$179,Q105)+1)/2,"NA")</x:f>
        <x:v>120.5</x:v>
      </x:c>
    </x:row>
    <x:row r="106" ht="23" customHeight="1">
      <x:c r="A106" s="21" t="str">
        <x:v>2025秋:259097</x:v>
      </x:c>
      <x:c r="B106" s="22" t="str">
        <x:v>s3</x:v>
      </x:c>
      <x:c r="C106" s="24" t="n">
        <x:v>1</x:v>
      </x:c>
      <x:c r="D106" s="24" t="n">
        <x:v>1</x:v>
      </x:c>
      <x:c r="E106" s="29" t="n">
        <x:f>'指标计算'!K74</x:f>
        <x:v>0</x:v>
      </x:c>
      <x:c r="F106" s="29" t="n">
        <x:f>'指标计算'!L74</x:f>
        <x:v>0</x:v>
      </x:c>
      <x:c r="G106" s="29" t="n">
        <x:f>'指标计算'!M74</x:f>
        <x:v>0</x:v>
      </x:c>
      <x:c r="H106" s="29" t="n">
        <x:f>'指标计算'!N74</x:f>
        <x:v>1</x:v>
      </x:c>
      <x:c r="I106" s="30" t="n">
        <x:f>IF(COUNT('总览与权重'!$H$6:$K$6)=4,ROUND(100*SUMPRODUCT(E106:H106,'总览与权重'!$H$6:$K$6),12),"NA")</x:f>
        <x:v>30</x:v>
      </x:c>
      <x:c r="J106" s="30" t="n">
        <x:f>IF(ISNUMBER(I106),COUNTIFS($I$6:$I$179,"&gt;"&amp;I106)+(COUNTIFS($I$6:$I$179,I106)+1)/2,"NA")</x:f>
        <x:v>100</x:v>
      </x:c>
      <x:c r="K106" s="30" t="n">
        <x:f>IF(COUNT('总览与权重'!$H$7:$K$7)=4,ROUND(100*SUMPRODUCT(E106:H106,'总览与权重'!$H$7:$K$7),12),"NA")</x:f>
        <x:v>20</x:v>
      </x:c>
      <x:c r="L106" s="30" t="n">
        <x:f>IF(ISNUMBER(K106),COUNTIFS($K$6:$K$179,"&gt;"&amp;K106)+(COUNTIFS($K$6:$K$179,K106)+1)/2,"NA")</x:f>
        <x:v>119</x:v>
      </x:c>
      <x:c r="M106" s="30" t="n">
        <x:f>IF(COUNT('总览与权重'!$H$8:$K$8)=4,ROUND(100*SUMPRODUCT(E106:H106,'总览与权重'!$H$8:$K$8),12),"NA")</x:f>
        <x:v>35</x:v>
      </x:c>
      <x:c r="N106" s="30" t="n">
        <x:f>IF(ISNUMBER(M106),COUNTIFS($M$6:$M$179,"&gt;"&amp;M106)+(COUNTIFS($M$6:$M$179,M106)+1)/2,"NA")</x:f>
        <x:v>94</x:v>
      </x:c>
      <x:c r="O106" s="30" t="n">
        <x:f>IF(COUNT('总览与权重'!$H$9:$K$9)=4,ROUND(100*SUMPRODUCT(E106:H106,'总览与权重'!$H$9:$K$9),12),"NA")</x:f>
        <x:v>30</x:v>
      </x:c>
      <x:c r="P106" s="30" t="n">
        <x:f>IF(ISNUMBER(O106),COUNTIFS($O$6:$O$179,"&gt;"&amp;O106)+(COUNTIFS($O$6:$O$179,O106)+1)/2,"NA")</x:f>
        <x:v>104</x:v>
      </x:c>
      <x:c r="Q106" s="30" t="n">
        <x:f>IF(COUNT('总览与权重'!$H$10:$K$10)=4,ROUND(100*SUMPRODUCT(E106:H106,'总览与权重'!$H$10:$K$10),12),"NA")</x:f>
        <x:v>3.423964915513</x:v>
      </x:c>
      <x:c r="R106" s="30" t="n">
        <x:f>IF(ISNUMBER(Q106),COUNTIFS($Q$6:$Q$179,"&gt;"&amp;Q106)+(COUNTIFS($Q$6:$Q$179,Q106)+1)/2,"NA")</x:f>
        <x:v>128</x:v>
      </x:c>
      <x:c r="S106" s="31" t="n">
        <x:f>IF(OR(B106="s3",B106="s6"),COUNTIFS($B$6:$B$179,B106,$I$6:$I$179,"&gt;"&amp;I106)+(COUNTIFS($B$6:$B$179,B106,$I$6:$I$179,I106)+1)/2,"NA")</x:f>
        <x:v>94.5</x:v>
      </x:c>
      <x:c r="T106" s="26" t="str">
        <x:f>IF(COUNTIFS($I$6:$I$179,"&gt;"&amp;I106)&gt;=35,"非前20%",IF(COUNTIFS($I$6:$I$179,"&gt;="&amp;I106)&gt;=35,"边界同分","严格前20%"))</x:f>
        <x:v>非前20%</x:v>
      </x:c>
      <x:c r="U106" s="26" t="str">
        <x:f>IF(COUNTIFS($I$6:$I$179,"&lt;"&amp;I106)&gt;=35,"非后20%",IF(COUNTIFS($I$6:$I$179,"&lt;="&amp;I106)&gt;=35,"边界同分","严格后20%"))</x:f>
        <x:v>非后20%</x:v>
      </x:c>
      <x:c r="V106" s="26" t="n">
        <x:f>'基线调整'!I79</x:f>
        <x:v>62.494944055134</x:v>
      </x:c>
      <x:c r="W106" s="26" t="n">
        <x:f>'基线调整'!J79</x:f>
        <x:v>75</x:v>
      </x:c>
      <x:c r="X106" s="22" t="str">
        <x:v>["S0494"]</x:v>
      </x:c>
      <x:c r="Y106" s="22" t="str">
        <x:v>evidence/student_evidence.jsonl；student_key=2025秋:259097</x:v>
      </x:c>
      <x:c r="Z106" s="26" t="n">
        <x:f>IF(OR(B106="s3",B106="s6"),COUNTIFS($B$6:$B$179,B106,$K$6:$K$179,"&gt;"&amp;K106)+(COUNTIFS($B$6:$B$179,B106,$K$6:$K$179,K106)+1)/2,"NA")</x:f>
        <x:v>111.5</x:v>
      </x:c>
      <x:c r="AA106" s="26" t="n">
        <x:f>IF(OR(B106="s3",B106="s6"),COUNTIFS($B$6:$B$179,B106,$M$6:$M$179,"&gt;"&amp;M106)+(COUNTIFS($B$6:$B$179,B106,$M$6:$M$179,M106)+1)/2,"NA")</x:f>
        <x:v>89.5</x:v>
      </x:c>
      <x:c r="AB106" s="26" t="n">
        <x:f>IF(OR(B106="s3",B106="s6"),COUNTIFS($B$6:$B$179,B106,$O$6:$O$179,"&gt;"&amp;O106)+(COUNTIFS($B$6:$B$179,B106,$O$6:$O$179,O106)+1)/2,"NA")</x:f>
        <x:v>98.5</x:v>
      </x:c>
      <x:c r="AC106" s="26" t="n">
        <x:f>IF(OR(B106="s3",B106="s6"),COUNTIFS($B$6:$B$179,B106,$Q$6:$Q$179,"&gt;"&amp;Q106)+(COUNTIFS($B$6:$B$179,B106,$Q$6:$Q$179,Q106)+1)/2,"NA")</x:f>
        <x:v>120.5</x:v>
      </x:c>
    </x:row>
    <x:row r="107" ht="23" customHeight="1">
      <x:c r="A107" s="21" t="str">
        <x:v>2025秋:259101</x:v>
      </x:c>
      <x:c r="B107" s="22" t="str">
        <x:v>s3</x:v>
      </x:c>
      <x:c r="C107" s="24" t="n">
        <x:v>1</x:v>
      </x:c>
      <x:c r="D107" s="24" t="n">
        <x:v>1</x:v>
      </x:c>
      <x:c r="E107" s="29" t="n">
        <x:f>'指标计算'!K75</x:f>
        <x:v>0</x:v>
      </x:c>
      <x:c r="F107" s="29" t="n">
        <x:f>'指标计算'!L75</x:f>
        <x:v>0</x:v>
      </x:c>
      <x:c r="G107" s="29" t="n">
        <x:f>'指标计算'!M75</x:f>
        <x:v>0</x:v>
      </x:c>
      <x:c r="H107" s="29" t="n">
        <x:f>'指标计算'!N75</x:f>
        <x:v>1</x:v>
      </x:c>
      <x:c r="I107" s="30" t="n">
        <x:f>IF(COUNT('总览与权重'!$H$6:$K$6)=4,ROUND(100*SUMPRODUCT(E107:H107,'总览与权重'!$H$6:$K$6),12),"NA")</x:f>
        <x:v>30</x:v>
      </x:c>
      <x:c r="J107" s="30" t="n">
        <x:f>IF(ISNUMBER(I107),COUNTIFS($I$6:$I$179,"&gt;"&amp;I107)+(COUNTIFS($I$6:$I$179,I107)+1)/2,"NA")</x:f>
        <x:v>100</x:v>
      </x:c>
      <x:c r="K107" s="30" t="n">
        <x:f>IF(COUNT('总览与权重'!$H$7:$K$7)=4,ROUND(100*SUMPRODUCT(E107:H107,'总览与权重'!$H$7:$K$7),12),"NA")</x:f>
        <x:v>20</x:v>
      </x:c>
      <x:c r="L107" s="30" t="n">
        <x:f>IF(ISNUMBER(K107),COUNTIFS($K$6:$K$179,"&gt;"&amp;K107)+(COUNTIFS($K$6:$K$179,K107)+1)/2,"NA")</x:f>
        <x:v>119</x:v>
      </x:c>
      <x:c r="M107" s="30" t="n">
        <x:f>IF(COUNT('总览与权重'!$H$8:$K$8)=4,ROUND(100*SUMPRODUCT(E107:H107,'总览与权重'!$H$8:$K$8),12),"NA")</x:f>
        <x:v>35</x:v>
      </x:c>
      <x:c r="N107" s="30" t="n">
        <x:f>IF(ISNUMBER(M107),COUNTIFS($M$6:$M$179,"&gt;"&amp;M107)+(COUNTIFS($M$6:$M$179,M107)+1)/2,"NA")</x:f>
        <x:v>94</x:v>
      </x:c>
      <x:c r="O107" s="30" t="n">
        <x:f>IF(COUNT('总览与权重'!$H$9:$K$9)=4,ROUND(100*SUMPRODUCT(E107:H107,'总览与权重'!$H$9:$K$9),12),"NA")</x:f>
        <x:v>30</x:v>
      </x:c>
      <x:c r="P107" s="30" t="n">
        <x:f>IF(ISNUMBER(O107),COUNTIFS($O$6:$O$179,"&gt;"&amp;O107)+(COUNTIFS($O$6:$O$179,O107)+1)/2,"NA")</x:f>
        <x:v>104</x:v>
      </x:c>
      <x:c r="Q107" s="30" t="n">
        <x:f>IF(COUNT('总览与权重'!$H$10:$K$10)=4,ROUND(100*SUMPRODUCT(E107:H107,'总览与权重'!$H$10:$K$10),12),"NA")</x:f>
        <x:v>3.423964915513</x:v>
      </x:c>
      <x:c r="R107" s="30" t="n">
        <x:f>IF(ISNUMBER(Q107),COUNTIFS($Q$6:$Q$179,"&gt;"&amp;Q107)+(COUNTIFS($Q$6:$Q$179,Q107)+1)/2,"NA")</x:f>
        <x:v>128</x:v>
      </x:c>
      <x:c r="S107" s="31" t="n">
        <x:f>IF(OR(B107="s3",B107="s6"),COUNTIFS($B$6:$B$179,B107,$I$6:$I$179,"&gt;"&amp;I107)+(COUNTIFS($B$6:$B$179,B107,$I$6:$I$179,I107)+1)/2,"NA")</x:f>
        <x:v>94.5</x:v>
      </x:c>
      <x:c r="T107" s="26" t="str">
        <x:f>IF(COUNTIFS($I$6:$I$179,"&gt;"&amp;I107)&gt;=35,"非前20%",IF(COUNTIFS($I$6:$I$179,"&gt;="&amp;I107)&gt;=35,"边界同分","严格前20%"))</x:f>
        <x:v>非前20%</x:v>
      </x:c>
      <x:c r="U107" s="26" t="str">
        <x:f>IF(COUNTIFS($I$6:$I$179,"&lt;"&amp;I107)&gt;=35,"非后20%",IF(COUNTIFS($I$6:$I$179,"&lt;="&amp;I107)&gt;=35,"边界同分","严格后20%"))</x:f>
        <x:v>非后20%</x:v>
      </x:c>
      <x:c r="V107" s="26" t="n">
        <x:f>'基线调整'!I96</x:f>
        <x:v>62.092313929888</x:v>
      </x:c>
      <x:c r="W107" s="26" t="n">
        <x:f>'基线调整'!J96</x:f>
        <x:v>91</x:v>
      </x:c>
      <x:c r="X107" s="22" t="str">
        <x:v>["S0291"]</x:v>
      </x:c>
      <x:c r="Y107" s="22" t="str">
        <x:v>evidence/student_evidence.jsonl；student_key=2025秋:259101</x:v>
      </x:c>
      <x:c r="Z107" s="26" t="n">
        <x:f>IF(OR(B107="s3",B107="s6"),COUNTIFS($B$6:$B$179,B107,$K$6:$K$179,"&gt;"&amp;K107)+(COUNTIFS($B$6:$B$179,B107,$K$6:$K$179,K107)+1)/2,"NA")</x:f>
        <x:v>111.5</x:v>
      </x:c>
      <x:c r="AA107" s="26" t="n">
        <x:f>IF(OR(B107="s3",B107="s6"),COUNTIFS($B$6:$B$179,B107,$M$6:$M$179,"&gt;"&amp;M107)+(COUNTIFS($B$6:$B$179,B107,$M$6:$M$179,M107)+1)/2,"NA")</x:f>
        <x:v>89.5</x:v>
      </x:c>
      <x:c r="AB107" s="26" t="n">
        <x:f>IF(OR(B107="s3",B107="s6"),COUNTIFS($B$6:$B$179,B107,$O$6:$O$179,"&gt;"&amp;O107)+(COUNTIFS($B$6:$B$179,B107,$O$6:$O$179,O107)+1)/2,"NA")</x:f>
        <x:v>98.5</x:v>
      </x:c>
      <x:c r="AC107" s="26" t="n">
        <x:f>IF(OR(B107="s3",B107="s6"),COUNTIFS($B$6:$B$179,B107,$Q$6:$Q$179,"&gt;"&amp;Q107)+(COUNTIFS($B$6:$B$179,B107,$Q$6:$Q$179,Q107)+1)/2,"NA")</x:f>
        <x:v>120.5</x:v>
      </x:c>
    </x:row>
    <x:row r="108" ht="23" customHeight="1">
      <x:c r="A108" s="21" t="str">
        <x:v>2025秋:259116</x:v>
      </x:c>
      <x:c r="B108" s="22" t="str">
        <x:v>s3</x:v>
      </x:c>
      <x:c r="C108" s="24" t="n">
        <x:v>2</x:v>
      </x:c>
      <x:c r="D108" s="24" t="n">
        <x:v>1</x:v>
      </x:c>
      <x:c r="E108" s="29" t="n">
        <x:f>'指标计算'!K78</x:f>
        <x:v>0</x:v>
      </x:c>
      <x:c r="F108" s="29" t="n">
        <x:f>'指标计算'!L78</x:f>
        <x:v>0</x:v>
      </x:c>
      <x:c r="G108" s="29" t="n">
        <x:f>'指标计算'!M78</x:f>
        <x:v>0</x:v>
      </x:c>
      <x:c r="H108" s="29" t="n">
        <x:f>'指标计算'!N78</x:f>
        <x:v>1</x:v>
      </x:c>
      <x:c r="I108" s="30" t="n">
        <x:f>IF(COUNT('总览与权重'!$H$6:$K$6)=4,ROUND(100*SUMPRODUCT(E108:H108,'总览与权重'!$H$6:$K$6),12),"NA")</x:f>
        <x:v>30</x:v>
      </x:c>
      <x:c r="J108" s="30" t="n">
        <x:f>IF(ISNUMBER(I108),COUNTIFS($I$6:$I$179,"&gt;"&amp;I108)+(COUNTIFS($I$6:$I$179,I108)+1)/2,"NA")</x:f>
        <x:v>100</x:v>
      </x:c>
      <x:c r="K108" s="30" t="n">
        <x:f>IF(COUNT('总览与权重'!$H$7:$K$7)=4,ROUND(100*SUMPRODUCT(E108:H108,'总览与权重'!$H$7:$K$7),12),"NA")</x:f>
        <x:v>20</x:v>
      </x:c>
      <x:c r="L108" s="30" t="n">
        <x:f>IF(ISNUMBER(K108),COUNTIFS($K$6:$K$179,"&gt;"&amp;K108)+(COUNTIFS($K$6:$K$179,K108)+1)/2,"NA")</x:f>
        <x:v>119</x:v>
      </x:c>
      <x:c r="M108" s="30" t="n">
        <x:f>IF(COUNT('总览与权重'!$H$8:$K$8)=4,ROUND(100*SUMPRODUCT(E108:H108,'总览与权重'!$H$8:$K$8),12),"NA")</x:f>
        <x:v>35</x:v>
      </x:c>
      <x:c r="N108" s="30" t="n">
        <x:f>IF(ISNUMBER(M108),COUNTIFS($M$6:$M$179,"&gt;"&amp;M108)+(COUNTIFS($M$6:$M$179,M108)+1)/2,"NA")</x:f>
        <x:v>94</x:v>
      </x:c>
      <x:c r="O108" s="30" t="n">
        <x:f>IF(COUNT('总览与权重'!$H$9:$K$9)=4,ROUND(100*SUMPRODUCT(E108:H108,'总览与权重'!$H$9:$K$9),12),"NA")</x:f>
        <x:v>30</x:v>
      </x:c>
      <x:c r="P108" s="30" t="n">
        <x:f>IF(ISNUMBER(O108),COUNTIFS($O$6:$O$179,"&gt;"&amp;O108)+(COUNTIFS($O$6:$O$179,O108)+1)/2,"NA")</x:f>
        <x:v>104</x:v>
      </x:c>
      <x:c r="Q108" s="30" t="n">
        <x:f>IF(COUNT('总览与权重'!$H$10:$K$10)=4,ROUND(100*SUMPRODUCT(E108:H108,'总览与权重'!$H$10:$K$10),12),"NA")</x:f>
        <x:v>3.423964915513</x:v>
      </x:c>
      <x:c r="R108" s="30" t="n">
        <x:f>IF(ISNUMBER(Q108),COUNTIFS($Q$6:$Q$179,"&gt;"&amp;Q108)+(COUNTIFS($Q$6:$Q$179,Q108)+1)/2,"NA")</x:f>
        <x:v>128</x:v>
      </x:c>
      <x:c r="S108" s="31" t="n">
        <x:f>IF(OR(B108="s3",B108="s6"),COUNTIFS($B$6:$B$179,B108,$I$6:$I$179,"&gt;"&amp;I108)+(COUNTIFS($B$6:$B$179,B108,$I$6:$I$179,I108)+1)/2,"NA")</x:f>
        <x:v>94.5</x:v>
      </x:c>
      <x:c r="T108" s="26" t="str">
        <x:f>IF(COUNTIFS($I$6:$I$179,"&gt;"&amp;I108)&gt;=35,"非前20%",IF(COUNTIFS($I$6:$I$179,"&gt;="&amp;I108)&gt;=35,"边界同分","严格前20%"))</x:f>
        <x:v>非前20%</x:v>
      </x:c>
      <x:c r="U108" s="26" t="str">
        <x:f>IF(COUNTIFS($I$6:$I$179,"&lt;"&amp;I108)&gt;=35,"非后20%",IF(COUNTIFS($I$6:$I$179,"&lt;="&amp;I108)&gt;=35,"边界同分","严格后20%"))</x:f>
        <x:v>非后20%</x:v>
      </x:c>
      <x:c r="V108" s="26" t="n">
        <x:f>'基线调整'!I80</x:f>
        <x:v>62.494944055134</x:v>
      </x:c>
      <x:c r="W108" s="26" t="n">
        <x:f>'基线调整'!J80</x:f>
        <x:v>75</x:v>
      </x:c>
      <x:c r="X108" s="22" t="str">
        <x:v>["S0223","S0266"]</x:v>
      </x:c>
      <x:c r="Y108" s="22" t="str">
        <x:v>evidence/student_evidence.jsonl；student_key=2025秋:259116</x:v>
      </x:c>
      <x:c r="Z108" s="26" t="n">
        <x:f>IF(OR(B108="s3",B108="s6"),COUNTIFS($B$6:$B$179,B108,$K$6:$K$179,"&gt;"&amp;K108)+(COUNTIFS($B$6:$B$179,B108,$K$6:$K$179,K108)+1)/2,"NA")</x:f>
        <x:v>111.5</x:v>
      </x:c>
      <x:c r="AA108" s="26" t="n">
        <x:f>IF(OR(B108="s3",B108="s6"),COUNTIFS($B$6:$B$179,B108,$M$6:$M$179,"&gt;"&amp;M108)+(COUNTIFS($B$6:$B$179,B108,$M$6:$M$179,M108)+1)/2,"NA")</x:f>
        <x:v>89.5</x:v>
      </x:c>
      <x:c r="AB108" s="26" t="n">
        <x:f>IF(OR(B108="s3",B108="s6"),COUNTIFS($B$6:$B$179,B108,$O$6:$O$179,"&gt;"&amp;O108)+(COUNTIFS($B$6:$B$179,B108,$O$6:$O$179,O108)+1)/2,"NA")</x:f>
        <x:v>98.5</x:v>
      </x:c>
      <x:c r="AC108" s="26" t="n">
        <x:f>IF(OR(B108="s3",B108="s6"),COUNTIFS($B$6:$B$179,B108,$Q$6:$Q$179,"&gt;"&amp;Q108)+(COUNTIFS($B$6:$B$179,B108,$Q$6:$Q$179,Q108)+1)/2,"NA")</x:f>
        <x:v>120.5</x:v>
      </x:c>
    </x:row>
    <x:row r="109" ht="23" customHeight="1">
      <x:c r="A109" s="21" t="str">
        <x:v>2025秋:259316</x:v>
      </x:c>
      <x:c r="B109" s="22" t="str">
        <x:v>s3</x:v>
      </x:c>
      <x:c r="C109" s="24" t="n">
        <x:v>2</x:v>
      </x:c>
      <x:c r="D109" s="24" t="n">
        <x:v>2</x:v>
      </x:c>
      <x:c r="E109" s="29" t="n">
        <x:f>'指标计算'!K81</x:f>
        <x:v>0</x:v>
      </x:c>
      <x:c r="F109" s="29" t="n">
        <x:f>'指标计算'!L81</x:f>
        <x:v>0</x:v>
      </x:c>
      <x:c r="G109" s="29" t="n">
        <x:f>'指标计算'!M81</x:f>
        <x:v>0</x:v>
      </x:c>
      <x:c r="H109" s="29" t="n">
        <x:f>'指标计算'!N81</x:f>
        <x:v>1</x:v>
      </x:c>
      <x:c r="I109" s="30" t="n">
        <x:f>IF(COUNT('总览与权重'!$H$6:$K$6)=4,ROUND(100*SUMPRODUCT(E109:H109,'总览与权重'!$H$6:$K$6),12),"NA")</x:f>
        <x:v>30</x:v>
      </x:c>
      <x:c r="J109" s="30" t="n">
        <x:f>IF(ISNUMBER(I109),COUNTIFS($I$6:$I$179,"&gt;"&amp;I109)+(COUNTIFS($I$6:$I$179,I109)+1)/2,"NA")</x:f>
        <x:v>100</x:v>
      </x:c>
      <x:c r="K109" s="30" t="n">
        <x:f>IF(COUNT('总览与权重'!$H$7:$K$7)=4,ROUND(100*SUMPRODUCT(E109:H109,'总览与权重'!$H$7:$K$7),12),"NA")</x:f>
        <x:v>20</x:v>
      </x:c>
      <x:c r="L109" s="30" t="n">
        <x:f>IF(ISNUMBER(K109),COUNTIFS($K$6:$K$179,"&gt;"&amp;K109)+(COUNTIFS($K$6:$K$179,K109)+1)/2,"NA")</x:f>
        <x:v>119</x:v>
      </x:c>
      <x:c r="M109" s="30" t="n">
        <x:f>IF(COUNT('总览与权重'!$H$8:$K$8)=4,ROUND(100*SUMPRODUCT(E109:H109,'总览与权重'!$H$8:$K$8),12),"NA")</x:f>
        <x:v>35</x:v>
      </x:c>
      <x:c r="N109" s="30" t="n">
        <x:f>IF(ISNUMBER(M109),COUNTIFS($M$6:$M$179,"&gt;"&amp;M109)+(COUNTIFS($M$6:$M$179,M109)+1)/2,"NA")</x:f>
        <x:v>94</x:v>
      </x:c>
      <x:c r="O109" s="30" t="n">
        <x:f>IF(COUNT('总览与权重'!$H$9:$K$9)=4,ROUND(100*SUMPRODUCT(E109:H109,'总览与权重'!$H$9:$K$9),12),"NA")</x:f>
        <x:v>30</x:v>
      </x:c>
      <x:c r="P109" s="30" t="n">
        <x:f>IF(ISNUMBER(O109),COUNTIFS($O$6:$O$179,"&gt;"&amp;O109)+(COUNTIFS($O$6:$O$179,O109)+1)/2,"NA")</x:f>
        <x:v>104</x:v>
      </x:c>
      <x:c r="Q109" s="30" t="n">
        <x:f>IF(COUNT('总览与权重'!$H$10:$K$10)=4,ROUND(100*SUMPRODUCT(E109:H109,'总览与权重'!$H$10:$K$10),12),"NA")</x:f>
        <x:v>3.423964915513</x:v>
      </x:c>
      <x:c r="R109" s="30" t="n">
        <x:f>IF(ISNUMBER(Q109),COUNTIFS($Q$6:$Q$179,"&gt;"&amp;Q109)+(COUNTIFS($Q$6:$Q$179,Q109)+1)/2,"NA")</x:f>
        <x:v>128</x:v>
      </x:c>
      <x:c r="S109" s="31" t="n">
        <x:f>IF(OR(B109="s3",B109="s6"),COUNTIFS($B$6:$B$179,B109,$I$6:$I$179,"&gt;"&amp;I109)+(COUNTIFS($B$6:$B$179,B109,$I$6:$I$179,I109)+1)/2,"NA")</x:f>
        <x:v>94.5</x:v>
      </x:c>
      <x:c r="T109" s="26" t="str">
        <x:f>IF(COUNTIFS($I$6:$I$179,"&gt;"&amp;I109)&gt;=35,"非前20%",IF(COUNTIFS($I$6:$I$179,"&gt;="&amp;I109)&gt;=35,"边界同分","严格前20%"))</x:f>
        <x:v>非前20%</x:v>
      </x:c>
      <x:c r="U109" s="26" t="str">
        <x:f>IF(COUNTIFS($I$6:$I$179,"&lt;"&amp;I109)&gt;=35,"非后20%",IF(COUNTIFS($I$6:$I$179,"&lt;="&amp;I109)&gt;=35,"边界同分","严格后20%"))</x:f>
        <x:v>非后20%</x:v>
      </x:c>
      <x:c r="V109" s="26" t="n">
        <x:f>'基线调整'!I65</x:f>
        <x:v>63.357982487563</x:v>
      </x:c>
      <x:c r="W109" s="26" t="n">
        <x:f>'基线调整'!J65</x:f>
        <x:v>60</x:v>
      </x:c>
      <x:c r="X109" s="22" t="str">
        <x:v>["S0062","S0121"]</x:v>
      </x:c>
      <x:c r="Y109" s="22" t="str">
        <x:v>evidence/student_evidence.jsonl；student_key=2025秋:259316</x:v>
      </x:c>
      <x:c r="Z109" s="26" t="n">
        <x:f>IF(OR(B109="s3",B109="s6"),COUNTIFS($B$6:$B$179,B109,$K$6:$K$179,"&gt;"&amp;K109)+(COUNTIFS($B$6:$B$179,B109,$K$6:$K$179,K109)+1)/2,"NA")</x:f>
        <x:v>111.5</x:v>
      </x:c>
      <x:c r="AA109" s="26" t="n">
        <x:f>IF(OR(B109="s3",B109="s6"),COUNTIFS($B$6:$B$179,B109,$M$6:$M$179,"&gt;"&amp;M109)+(COUNTIFS($B$6:$B$179,B109,$M$6:$M$179,M109)+1)/2,"NA")</x:f>
        <x:v>89.5</x:v>
      </x:c>
      <x:c r="AB109" s="26" t="n">
        <x:f>IF(OR(B109="s3",B109="s6"),COUNTIFS($B$6:$B$179,B109,$O$6:$O$179,"&gt;"&amp;O109)+(COUNTIFS($B$6:$B$179,B109,$O$6:$O$179,O109)+1)/2,"NA")</x:f>
        <x:v>98.5</x:v>
      </x:c>
      <x:c r="AC109" s="26" t="n">
        <x:f>IF(OR(B109="s3",B109="s6"),COUNTIFS($B$6:$B$179,B109,$Q$6:$Q$179,"&gt;"&amp;Q109)+(COUNTIFS($B$6:$B$179,B109,$Q$6:$Q$179,Q109)+1)/2,"NA")</x:f>
        <x:v>120.5</x:v>
      </x:c>
    </x:row>
    <x:row r="110" ht="23" customHeight="1">
      <x:c r="A110" s="21" t="str">
        <x:v>2025秋:259324</x:v>
      </x:c>
      <x:c r="B110" s="22" t="str">
        <x:v>s3</x:v>
      </x:c>
      <x:c r="C110" s="24" t="n">
        <x:v>1</x:v>
      </x:c>
      <x:c r="D110" s="24" t="n">
        <x:v>1</x:v>
      </x:c>
      <x:c r="E110" s="29" t="n">
        <x:f>'指标计算'!K84</x:f>
        <x:v>0</x:v>
      </x:c>
      <x:c r="F110" s="29" t="n">
        <x:f>'指标计算'!L84</x:f>
        <x:v>0</x:v>
      </x:c>
      <x:c r="G110" s="29" t="n">
        <x:f>'指标计算'!M84</x:f>
        <x:v>0</x:v>
      </x:c>
      <x:c r="H110" s="29" t="n">
        <x:f>'指标计算'!N84</x:f>
        <x:v>1</x:v>
      </x:c>
      <x:c r="I110" s="30" t="n">
        <x:f>IF(COUNT('总览与权重'!$H$6:$K$6)=4,ROUND(100*SUMPRODUCT(E110:H110,'总览与权重'!$H$6:$K$6),12),"NA")</x:f>
        <x:v>30</x:v>
      </x:c>
      <x:c r="J110" s="30" t="n">
        <x:f>IF(ISNUMBER(I110),COUNTIFS($I$6:$I$179,"&gt;"&amp;I110)+(COUNTIFS($I$6:$I$179,I110)+1)/2,"NA")</x:f>
        <x:v>100</x:v>
      </x:c>
      <x:c r="K110" s="30" t="n">
        <x:f>IF(COUNT('总览与权重'!$H$7:$K$7)=4,ROUND(100*SUMPRODUCT(E110:H110,'总览与权重'!$H$7:$K$7),12),"NA")</x:f>
        <x:v>20</x:v>
      </x:c>
      <x:c r="L110" s="30" t="n">
        <x:f>IF(ISNUMBER(K110),COUNTIFS($K$6:$K$179,"&gt;"&amp;K110)+(COUNTIFS($K$6:$K$179,K110)+1)/2,"NA")</x:f>
        <x:v>119</x:v>
      </x:c>
      <x:c r="M110" s="30" t="n">
        <x:f>IF(COUNT('总览与权重'!$H$8:$K$8)=4,ROUND(100*SUMPRODUCT(E110:H110,'总览与权重'!$H$8:$K$8),12),"NA")</x:f>
        <x:v>35</x:v>
      </x:c>
      <x:c r="N110" s="30" t="n">
        <x:f>IF(ISNUMBER(M110),COUNTIFS($M$6:$M$179,"&gt;"&amp;M110)+(COUNTIFS($M$6:$M$179,M110)+1)/2,"NA")</x:f>
        <x:v>94</x:v>
      </x:c>
      <x:c r="O110" s="30" t="n">
        <x:f>IF(COUNT('总览与权重'!$H$9:$K$9)=4,ROUND(100*SUMPRODUCT(E110:H110,'总览与权重'!$H$9:$K$9),12),"NA")</x:f>
        <x:v>30</x:v>
      </x:c>
      <x:c r="P110" s="30" t="n">
        <x:f>IF(ISNUMBER(O110),COUNTIFS($O$6:$O$179,"&gt;"&amp;O110)+(COUNTIFS($O$6:$O$179,O110)+1)/2,"NA")</x:f>
        <x:v>104</x:v>
      </x:c>
      <x:c r="Q110" s="30" t="n">
        <x:f>IF(COUNT('总览与权重'!$H$10:$K$10)=4,ROUND(100*SUMPRODUCT(E110:H110,'总览与权重'!$H$10:$K$10),12),"NA")</x:f>
        <x:v>3.423964915513</x:v>
      </x:c>
      <x:c r="R110" s="30" t="n">
        <x:f>IF(ISNUMBER(Q110),COUNTIFS($Q$6:$Q$179,"&gt;"&amp;Q110)+(COUNTIFS($Q$6:$Q$179,Q110)+1)/2,"NA")</x:f>
        <x:v>128</x:v>
      </x:c>
      <x:c r="S110" s="31" t="n">
        <x:f>IF(OR(B110="s3",B110="s6"),COUNTIFS($B$6:$B$179,B110,$I$6:$I$179,"&gt;"&amp;I110)+(COUNTIFS($B$6:$B$179,B110,$I$6:$I$179,I110)+1)/2,"NA")</x:f>
        <x:v>94.5</x:v>
      </x:c>
      <x:c r="T110" s="26" t="str">
        <x:f>IF(COUNTIFS($I$6:$I$179,"&gt;"&amp;I110)&gt;=35,"非前20%",IF(COUNTIFS($I$6:$I$179,"&gt;="&amp;I110)&gt;=35,"边界同分","严格前20%"))</x:f>
        <x:v>非前20%</x:v>
      </x:c>
      <x:c r="U110" s="26" t="str">
        <x:f>IF(COUNTIFS($I$6:$I$179,"&lt;"&amp;I110)&gt;=35,"非后20%",IF(COUNTIFS($I$6:$I$179,"&lt;="&amp;I110)&gt;=35,"边界同分","严格后20%"))</x:f>
        <x:v>非后20%</x:v>
      </x:c>
      <x:c r="V110" s="26" t="n">
        <x:f>'基线调整'!I81</x:f>
        <x:v>62.494944055134</x:v>
      </x:c>
      <x:c r="W110" s="26" t="n">
        <x:f>'基线调整'!J81</x:f>
        <x:v>75</x:v>
      </x:c>
      <x:c r="X110" s="22" t="str">
        <x:v>["S0230"]</x:v>
      </x:c>
      <x:c r="Y110" s="22" t="str">
        <x:v>evidence/student_evidence.jsonl；student_key=2025秋:259324</x:v>
      </x:c>
      <x:c r="Z110" s="26" t="n">
        <x:f>IF(OR(B110="s3",B110="s6"),COUNTIFS($B$6:$B$179,B110,$K$6:$K$179,"&gt;"&amp;K110)+(COUNTIFS($B$6:$B$179,B110,$K$6:$K$179,K110)+1)/2,"NA")</x:f>
        <x:v>111.5</x:v>
      </x:c>
      <x:c r="AA110" s="26" t="n">
        <x:f>IF(OR(B110="s3",B110="s6"),COUNTIFS($B$6:$B$179,B110,$M$6:$M$179,"&gt;"&amp;M110)+(COUNTIFS($B$6:$B$179,B110,$M$6:$M$179,M110)+1)/2,"NA")</x:f>
        <x:v>89.5</x:v>
      </x:c>
      <x:c r="AB110" s="26" t="n">
        <x:f>IF(OR(B110="s3",B110="s6"),COUNTIFS($B$6:$B$179,B110,$O$6:$O$179,"&gt;"&amp;O110)+(COUNTIFS($B$6:$B$179,B110,$O$6:$O$179,O110)+1)/2,"NA")</x:f>
        <x:v>98.5</x:v>
      </x:c>
      <x:c r="AC110" s="26" t="n">
        <x:f>IF(OR(B110="s3",B110="s6"),COUNTIFS($B$6:$B$179,B110,$Q$6:$Q$179,"&gt;"&amp;Q110)+(COUNTIFS($B$6:$B$179,B110,$Q$6:$Q$179,Q110)+1)/2,"NA")</x:f>
        <x:v>120.5</x:v>
      </x:c>
    </x:row>
    <x:row r="111" ht="23" customHeight="1">
      <x:c r="A111" s="21" t="str">
        <x:v>2025秋:259342</x:v>
      </x:c>
      <x:c r="B111" s="22" t="str">
        <x:v>s3</x:v>
      </x:c>
      <x:c r="C111" s="24" t="n">
        <x:v>1</x:v>
      </x:c>
      <x:c r="D111" s="24" t="n">
        <x:v>1</x:v>
      </x:c>
      <x:c r="E111" s="29" t="n">
        <x:f>'指标计算'!K93</x:f>
        <x:v>0</x:v>
      </x:c>
      <x:c r="F111" s="29" t="n">
        <x:f>'指标计算'!L93</x:f>
        <x:v>0</x:v>
      </x:c>
      <x:c r="G111" s="29" t="n">
        <x:f>'指标计算'!M93</x:f>
        <x:v>0</x:v>
      </x:c>
      <x:c r="H111" s="29" t="n">
        <x:f>'指标计算'!N93</x:f>
        <x:v>1</x:v>
      </x:c>
      <x:c r="I111" s="30" t="n">
        <x:f>IF(COUNT('总览与权重'!$H$6:$K$6)=4,ROUND(100*SUMPRODUCT(E111:H111,'总览与权重'!$H$6:$K$6),12),"NA")</x:f>
        <x:v>30</x:v>
      </x:c>
      <x:c r="J111" s="30" t="n">
        <x:f>IF(ISNUMBER(I111),COUNTIFS($I$6:$I$179,"&gt;"&amp;I111)+(COUNTIFS($I$6:$I$179,I111)+1)/2,"NA")</x:f>
        <x:v>100</x:v>
      </x:c>
      <x:c r="K111" s="30" t="n">
        <x:f>IF(COUNT('总览与权重'!$H$7:$K$7)=4,ROUND(100*SUMPRODUCT(E111:H111,'总览与权重'!$H$7:$K$7),12),"NA")</x:f>
        <x:v>20</x:v>
      </x:c>
      <x:c r="L111" s="30" t="n">
        <x:f>IF(ISNUMBER(K111),COUNTIFS($K$6:$K$179,"&gt;"&amp;K111)+(COUNTIFS($K$6:$K$179,K111)+1)/2,"NA")</x:f>
        <x:v>119</x:v>
      </x:c>
      <x:c r="M111" s="30" t="n">
        <x:f>IF(COUNT('总览与权重'!$H$8:$K$8)=4,ROUND(100*SUMPRODUCT(E111:H111,'总览与权重'!$H$8:$K$8),12),"NA")</x:f>
        <x:v>35</x:v>
      </x:c>
      <x:c r="N111" s="30" t="n">
        <x:f>IF(ISNUMBER(M111),COUNTIFS($M$6:$M$179,"&gt;"&amp;M111)+(COUNTIFS($M$6:$M$179,M111)+1)/2,"NA")</x:f>
        <x:v>94</x:v>
      </x:c>
      <x:c r="O111" s="30" t="n">
        <x:f>IF(COUNT('总览与权重'!$H$9:$K$9)=4,ROUND(100*SUMPRODUCT(E111:H111,'总览与权重'!$H$9:$K$9),12),"NA")</x:f>
        <x:v>30</x:v>
      </x:c>
      <x:c r="P111" s="30" t="n">
        <x:f>IF(ISNUMBER(O111),COUNTIFS($O$6:$O$179,"&gt;"&amp;O111)+(COUNTIFS($O$6:$O$179,O111)+1)/2,"NA")</x:f>
        <x:v>104</x:v>
      </x:c>
      <x:c r="Q111" s="30" t="n">
        <x:f>IF(COUNT('总览与权重'!$H$10:$K$10)=4,ROUND(100*SUMPRODUCT(E111:H111,'总览与权重'!$H$10:$K$10),12),"NA")</x:f>
        <x:v>3.423964915513</x:v>
      </x:c>
      <x:c r="R111" s="30" t="n">
        <x:f>IF(ISNUMBER(Q111),COUNTIFS($Q$6:$Q$179,"&gt;"&amp;Q111)+(COUNTIFS($Q$6:$Q$179,Q111)+1)/2,"NA")</x:f>
        <x:v>128</x:v>
      </x:c>
      <x:c r="S111" s="31" t="n">
        <x:f>IF(OR(B111="s3",B111="s6"),COUNTIFS($B$6:$B$179,B111,$I$6:$I$179,"&gt;"&amp;I111)+(COUNTIFS($B$6:$B$179,B111,$I$6:$I$179,I111)+1)/2,"NA")</x:f>
        <x:v>94.5</x:v>
      </x:c>
      <x:c r="T111" s="26" t="str">
        <x:f>IF(COUNTIFS($I$6:$I$179,"&gt;"&amp;I111)&gt;=35,"非前20%",IF(COUNTIFS($I$6:$I$179,"&gt;="&amp;I111)&gt;=35,"边界同分","严格前20%"))</x:f>
        <x:v>非前20%</x:v>
      </x:c>
      <x:c r="U111" s="26" t="str">
        <x:f>IF(COUNTIFS($I$6:$I$179,"&lt;"&amp;I111)&gt;=35,"非后20%",IF(COUNTIFS($I$6:$I$179,"&lt;="&amp;I111)&gt;=35,"边界同分","严格后20%"))</x:f>
        <x:v>非后20%</x:v>
      </x:c>
      <x:c r="V111" s="26" t="n">
        <x:f>'基线调整'!I69</x:f>
        <x:v>63.026574811664</x:v>
      </x:c>
      <x:c r="W111" s="26" t="n">
        <x:f>'基线调整'!J69</x:f>
        <x:v>64</x:v>
      </x:c>
      <x:c r="X111" s="22" t="str">
        <x:v>["S0177"]</x:v>
      </x:c>
      <x:c r="Y111" s="22" t="str">
        <x:v>evidence/student_evidence.jsonl；student_key=2025秋:259342</x:v>
      </x:c>
      <x:c r="Z111" s="26" t="n">
        <x:f>IF(OR(B111="s3",B111="s6"),COUNTIFS($B$6:$B$179,B111,$K$6:$K$179,"&gt;"&amp;K111)+(COUNTIFS($B$6:$B$179,B111,$K$6:$K$179,K111)+1)/2,"NA")</x:f>
        <x:v>111.5</x:v>
      </x:c>
      <x:c r="AA111" s="26" t="n">
        <x:f>IF(OR(B111="s3",B111="s6"),COUNTIFS($B$6:$B$179,B111,$M$6:$M$179,"&gt;"&amp;M111)+(COUNTIFS($B$6:$B$179,B111,$M$6:$M$179,M111)+1)/2,"NA")</x:f>
        <x:v>89.5</x:v>
      </x:c>
      <x:c r="AB111" s="26" t="n">
        <x:f>IF(OR(B111="s3",B111="s6"),COUNTIFS($B$6:$B$179,B111,$O$6:$O$179,"&gt;"&amp;O111)+(COUNTIFS($B$6:$B$179,B111,$O$6:$O$179,O111)+1)/2,"NA")</x:f>
        <x:v>98.5</x:v>
      </x:c>
      <x:c r="AC111" s="26" t="n">
        <x:f>IF(OR(B111="s3",B111="s6"),COUNTIFS($B$6:$B$179,B111,$Q$6:$Q$179,"&gt;"&amp;Q111)+(COUNTIFS($B$6:$B$179,B111,$Q$6:$Q$179,Q111)+1)/2,"NA")</x:f>
        <x:v>120.5</x:v>
      </x:c>
    </x:row>
    <x:row r="112" ht="23" customHeight="1">
      <x:c r="A112" s="21" t="str">
        <x:v>2025秋:259404</x:v>
      </x:c>
      <x:c r="B112" s="22" t="str">
        <x:v>s3</x:v>
      </x:c>
      <x:c r="C112" s="24" t="n">
        <x:v>1</x:v>
      </x:c>
      <x:c r="D112" s="24" t="n">
        <x:v>1</x:v>
      </x:c>
      <x:c r="E112" s="29" t="n">
        <x:f>'指标计算'!K98</x:f>
        <x:v>0</x:v>
      </x:c>
      <x:c r="F112" s="29" t="n">
        <x:f>'指标计算'!L98</x:f>
        <x:v>0</x:v>
      </x:c>
      <x:c r="G112" s="29" t="n">
        <x:f>'指标计算'!M98</x:f>
        <x:v>0</x:v>
      </x:c>
      <x:c r="H112" s="29" t="n">
        <x:f>'指标计算'!N98</x:f>
        <x:v>1</x:v>
      </x:c>
      <x:c r="I112" s="30" t="n">
        <x:f>IF(COUNT('总览与权重'!$H$6:$K$6)=4,ROUND(100*SUMPRODUCT(E112:H112,'总览与权重'!$H$6:$K$6),12),"NA")</x:f>
        <x:v>30</x:v>
      </x:c>
      <x:c r="J112" s="30" t="n">
        <x:f>IF(ISNUMBER(I112),COUNTIFS($I$6:$I$179,"&gt;"&amp;I112)+(COUNTIFS($I$6:$I$179,I112)+1)/2,"NA")</x:f>
        <x:v>100</x:v>
      </x:c>
      <x:c r="K112" s="30" t="n">
        <x:f>IF(COUNT('总览与权重'!$H$7:$K$7)=4,ROUND(100*SUMPRODUCT(E112:H112,'总览与权重'!$H$7:$K$7),12),"NA")</x:f>
        <x:v>20</x:v>
      </x:c>
      <x:c r="L112" s="30" t="n">
        <x:f>IF(ISNUMBER(K112),COUNTIFS($K$6:$K$179,"&gt;"&amp;K112)+(COUNTIFS($K$6:$K$179,K112)+1)/2,"NA")</x:f>
        <x:v>119</x:v>
      </x:c>
      <x:c r="M112" s="30" t="n">
        <x:f>IF(COUNT('总览与权重'!$H$8:$K$8)=4,ROUND(100*SUMPRODUCT(E112:H112,'总览与权重'!$H$8:$K$8),12),"NA")</x:f>
        <x:v>35</x:v>
      </x:c>
      <x:c r="N112" s="30" t="n">
        <x:f>IF(ISNUMBER(M112),COUNTIFS($M$6:$M$179,"&gt;"&amp;M112)+(COUNTIFS($M$6:$M$179,M112)+1)/2,"NA")</x:f>
        <x:v>94</x:v>
      </x:c>
      <x:c r="O112" s="30" t="n">
        <x:f>IF(COUNT('总览与权重'!$H$9:$K$9)=4,ROUND(100*SUMPRODUCT(E112:H112,'总览与权重'!$H$9:$K$9),12),"NA")</x:f>
        <x:v>30</x:v>
      </x:c>
      <x:c r="P112" s="30" t="n">
        <x:f>IF(ISNUMBER(O112),COUNTIFS($O$6:$O$179,"&gt;"&amp;O112)+(COUNTIFS($O$6:$O$179,O112)+1)/2,"NA")</x:f>
        <x:v>104</x:v>
      </x:c>
      <x:c r="Q112" s="30" t="n">
        <x:f>IF(COUNT('总览与权重'!$H$10:$K$10)=4,ROUND(100*SUMPRODUCT(E112:H112,'总览与权重'!$H$10:$K$10),12),"NA")</x:f>
        <x:v>3.423964915513</x:v>
      </x:c>
      <x:c r="R112" s="30" t="n">
        <x:f>IF(ISNUMBER(Q112),COUNTIFS($Q$6:$Q$179,"&gt;"&amp;Q112)+(COUNTIFS($Q$6:$Q$179,Q112)+1)/2,"NA")</x:f>
        <x:v>128</x:v>
      </x:c>
      <x:c r="S112" s="31" t="n">
        <x:f>IF(OR(B112="s3",B112="s6"),COUNTIFS($B$6:$B$179,B112,$I$6:$I$179,"&gt;"&amp;I112)+(COUNTIFS($B$6:$B$179,B112,$I$6:$I$179,I112)+1)/2,"NA")</x:f>
        <x:v>94.5</x:v>
      </x:c>
      <x:c r="T112" s="26" t="str">
        <x:f>IF(COUNTIFS($I$6:$I$179,"&gt;"&amp;I112)&gt;=35,"非前20%",IF(COUNTIFS($I$6:$I$179,"&gt;="&amp;I112)&gt;=35,"边界同分","严格前20%"))</x:f>
        <x:v>非前20%</x:v>
      </x:c>
      <x:c r="U112" s="26" t="str">
        <x:f>IF(COUNTIFS($I$6:$I$179,"&lt;"&amp;I112)&gt;=35,"非后20%",IF(COUNTIFS($I$6:$I$179,"&lt;="&amp;I112)&gt;=35,"边界同分","严格后20%"))</x:f>
        <x:v>非后20%</x:v>
      </x:c>
      <x:c r="V112" s="26" t="n">
        <x:f>'基线调整'!I74</x:f>
        <x:v>63.00320181785</x:v>
      </x:c>
      <x:c r="W112" s="26" t="n">
        <x:f>'基线调整'!J74</x:f>
        <x:v>67.5</x:v>
      </x:c>
      <x:c r="X112" s="22" t="str">
        <x:v>["S0293"]</x:v>
      </x:c>
      <x:c r="Y112" s="22" t="str">
        <x:v>evidence/student_evidence.jsonl；student_key=2025秋:259404</x:v>
      </x:c>
      <x:c r="Z112" s="26" t="n">
        <x:f>IF(OR(B112="s3",B112="s6"),COUNTIFS($B$6:$B$179,B112,$K$6:$K$179,"&gt;"&amp;K112)+(COUNTIFS($B$6:$B$179,B112,$K$6:$K$179,K112)+1)/2,"NA")</x:f>
        <x:v>111.5</x:v>
      </x:c>
      <x:c r="AA112" s="26" t="n">
        <x:f>IF(OR(B112="s3",B112="s6"),COUNTIFS($B$6:$B$179,B112,$M$6:$M$179,"&gt;"&amp;M112)+(COUNTIFS($B$6:$B$179,B112,$M$6:$M$179,M112)+1)/2,"NA")</x:f>
        <x:v>89.5</x:v>
      </x:c>
      <x:c r="AB112" s="26" t="n">
        <x:f>IF(OR(B112="s3",B112="s6"),COUNTIFS($B$6:$B$179,B112,$O$6:$O$179,"&gt;"&amp;O112)+(COUNTIFS($B$6:$B$179,B112,$O$6:$O$179,O112)+1)/2,"NA")</x:f>
        <x:v>98.5</x:v>
      </x:c>
      <x:c r="AC112" s="26" t="n">
        <x:f>IF(OR(B112="s3",B112="s6"),COUNTIFS($B$6:$B$179,B112,$Q$6:$Q$179,"&gt;"&amp;Q112)+(COUNTIFS($B$6:$B$179,B112,$Q$6:$Q$179,Q112)+1)/2,"NA")</x:f>
        <x:v>120.5</x:v>
      </x:c>
    </x:row>
    <x:row r="113" ht="23" customHeight="1">
      <x:c r="A113" s="21" t="str">
        <x:v>2025秋:259430</x:v>
      </x:c>
      <x:c r="B113" s="22" t="str">
        <x:v>s3</x:v>
      </x:c>
      <x:c r="C113" s="24" t="n">
        <x:v>1</x:v>
      </x:c>
      <x:c r="D113" s="24" t="n">
        <x:v>1</x:v>
      </x:c>
      <x:c r="E113" s="29" t="n">
        <x:f>'指标计算'!K104</x:f>
        <x:v>0</x:v>
      </x:c>
      <x:c r="F113" s="29" t="n">
        <x:f>'指标计算'!L104</x:f>
        <x:v>0</x:v>
      </x:c>
      <x:c r="G113" s="29" t="n">
        <x:f>'指标计算'!M104</x:f>
        <x:v>0</x:v>
      </x:c>
      <x:c r="H113" s="29" t="n">
        <x:f>'指标计算'!N104</x:f>
        <x:v>1</x:v>
      </x:c>
      <x:c r="I113" s="30" t="n">
        <x:f>IF(COUNT('总览与权重'!$H$6:$K$6)=4,ROUND(100*SUMPRODUCT(E113:H113,'总览与权重'!$H$6:$K$6),12),"NA")</x:f>
        <x:v>30</x:v>
      </x:c>
      <x:c r="J113" s="30" t="n">
        <x:f>IF(ISNUMBER(I113),COUNTIFS($I$6:$I$179,"&gt;"&amp;I113)+(COUNTIFS($I$6:$I$179,I113)+1)/2,"NA")</x:f>
        <x:v>100</x:v>
      </x:c>
      <x:c r="K113" s="30" t="n">
        <x:f>IF(COUNT('总览与权重'!$H$7:$K$7)=4,ROUND(100*SUMPRODUCT(E113:H113,'总览与权重'!$H$7:$K$7),12),"NA")</x:f>
        <x:v>20</x:v>
      </x:c>
      <x:c r="L113" s="30" t="n">
        <x:f>IF(ISNUMBER(K113),COUNTIFS($K$6:$K$179,"&gt;"&amp;K113)+(COUNTIFS($K$6:$K$179,K113)+1)/2,"NA")</x:f>
        <x:v>119</x:v>
      </x:c>
      <x:c r="M113" s="30" t="n">
        <x:f>IF(COUNT('总览与权重'!$H$8:$K$8)=4,ROUND(100*SUMPRODUCT(E113:H113,'总览与权重'!$H$8:$K$8),12),"NA")</x:f>
        <x:v>35</x:v>
      </x:c>
      <x:c r="N113" s="30" t="n">
        <x:f>IF(ISNUMBER(M113),COUNTIFS($M$6:$M$179,"&gt;"&amp;M113)+(COUNTIFS($M$6:$M$179,M113)+1)/2,"NA")</x:f>
        <x:v>94</x:v>
      </x:c>
      <x:c r="O113" s="30" t="n">
        <x:f>IF(COUNT('总览与权重'!$H$9:$K$9)=4,ROUND(100*SUMPRODUCT(E113:H113,'总览与权重'!$H$9:$K$9),12),"NA")</x:f>
        <x:v>30</x:v>
      </x:c>
      <x:c r="P113" s="30" t="n">
        <x:f>IF(ISNUMBER(O113),COUNTIFS($O$6:$O$179,"&gt;"&amp;O113)+(COUNTIFS($O$6:$O$179,O113)+1)/2,"NA")</x:f>
        <x:v>104</x:v>
      </x:c>
      <x:c r="Q113" s="30" t="n">
        <x:f>IF(COUNT('总览与权重'!$H$10:$K$10)=4,ROUND(100*SUMPRODUCT(E113:H113,'总览与权重'!$H$10:$K$10),12),"NA")</x:f>
        <x:v>3.423964915513</x:v>
      </x:c>
      <x:c r="R113" s="30" t="n">
        <x:f>IF(ISNUMBER(Q113),COUNTIFS($Q$6:$Q$179,"&gt;"&amp;Q113)+(COUNTIFS($Q$6:$Q$179,Q113)+1)/2,"NA")</x:f>
        <x:v>128</x:v>
      </x:c>
      <x:c r="S113" s="31" t="n">
        <x:f>IF(OR(B113="s3",B113="s6"),COUNTIFS($B$6:$B$179,B113,$I$6:$I$179,"&gt;"&amp;I113)+(COUNTIFS($B$6:$B$179,B113,$I$6:$I$179,I113)+1)/2,"NA")</x:f>
        <x:v>94.5</x:v>
      </x:c>
      <x:c r="T113" s="26" t="str">
        <x:f>IF(COUNTIFS($I$6:$I$179,"&gt;"&amp;I113)&gt;=35,"非前20%",IF(COUNTIFS($I$6:$I$179,"&gt;="&amp;I113)&gt;=35,"边界同分","严格前20%"))</x:f>
        <x:v>非前20%</x:v>
      </x:c>
      <x:c r="U113" s="26" t="str">
        <x:f>IF(COUNTIFS($I$6:$I$179,"&lt;"&amp;I113)&gt;=35,"非后20%",IF(COUNTIFS($I$6:$I$179,"&lt;="&amp;I113)&gt;=35,"边界同分","严格后20%"))</x:f>
        <x:v>非后20%</x:v>
      </x:c>
      <x:c r="V113" s="26" t="n">
        <x:f>'基线调整'!I97</x:f>
        <x:v>62.092313929888</x:v>
      </x:c>
      <x:c r="W113" s="26" t="n">
        <x:f>'基线调整'!J97</x:f>
        <x:v>91</x:v>
      </x:c>
      <x:c r="X113" s="22" t="str">
        <x:v>["S0181"]</x:v>
      </x:c>
      <x:c r="Y113" s="22" t="str">
        <x:v>evidence/student_evidence.jsonl；student_key=2025秋:259430</x:v>
      </x:c>
      <x:c r="Z113" s="26" t="n">
        <x:f>IF(OR(B113="s3",B113="s6"),COUNTIFS($B$6:$B$179,B113,$K$6:$K$179,"&gt;"&amp;K113)+(COUNTIFS($B$6:$B$179,B113,$K$6:$K$179,K113)+1)/2,"NA")</x:f>
        <x:v>111.5</x:v>
      </x:c>
      <x:c r="AA113" s="26" t="n">
        <x:f>IF(OR(B113="s3",B113="s6"),COUNTIFS($B$6:$B$179,B113,$M$6:$M$179,"&gt;"&amp;M113)+(COUNTIFS($B$6:$B$179,B113,$M$6:$M$179,M113)+1)/2,"NA")</x:f>
        <x:v>89.5</x:v>
      </x:c>
      <x:c r="AB113" s="26" t="n">
        <x:f>IF(OR(B113="s3",B113="s6"),COUNTIFS($B$6:$B$179,B113,$O$6:$O$179,"&gt;"&amp;O113)+(COUNTIFS($B$6:$B$179,B113,$O$6:$O$179,O113)+1)/2,"NA")</x:f>
        <x:v>98.5</x:v>
      </x:c>
      <x:c r="AC113" s="26" t="n">
        <x:f>IF(OR(B113="s3",B113="s6"),COUNTIFS($B$6:$B$179,B113,$Q$6:$Q$179,"&gt;"&amp;Q113)+(COUNTIFS($B$6:$B$179,B113,$Q$6:$Q$179,Q113)+1)/2,"NA")</x:f>
        <x:v>120.5</x:v>
      </x:c>
    </x:row>
    <x:row r="114" ht="23" customHeight="1">
      <x:c r="A114" s="21" t="str">
        <x:v>2025秋:259431</x:v>
      </x:c>
      <x:c r="B114" s="22" t="str">
        <x:v>s3</x:v>
      </x:c>
      <x:c r="C114" s="24" t="n">
        <x:v>1</x:v>
      </x:c>
      <x:c r="D114" s="24" t="n">
        <x:v>1</x:v>
      </x:c>
      <x:c r="E114" s="29" t="n">
        <x:f>'指标计算'!K105</x:f>
        <x:v>0</x:v>
      </x:c>
      <x:c r="F114" s="29" t="n">
        <x:f>'指标计算'!L105</x:f>
        <x:v>0</x:v>
      </x:c>
      <x:c r="G114" s="29" t="n">
        <x:f>'指标计算'!M105</x:f>
        <x:v>0</x:v>
      </x:c>
      <x:c r="H114" s="29" t="n">
        <x:f>'指标计算'!N105</x:f>
        <x:v>1</x:v>
      </x:c>
      <x:c r="I114" s="30" t="n">
        <x:f>IF(COUNT('总览与权重'!$H$6:$K$6)=4,ROUND(100*SUMPRODUCT(E114:H114,'总览与权重'!$H$6:$K$6),12),"NA")</x:f>
        <x:v>30</x:v>
      </x:c>
      <x:c r="J114" s="30" t="n">
        <x:f>IF(ISNUMBER(I114),COUNTIFS($I$6:$I$179,"&gt;"&amp;I114)+(COUNTIFS($I$6:$I$179,I114)+1)/2,"NA")</x:f>
        <x:v>100</x:v>
      </x:c>
      <x:c r="K114" s="30" t="n">
        <x:f>IF(COUNT('总览与权重'!$H$7:$K$7)=4,ROUND(100*SUMPRODUCT(E114:H114,'总览与权重'!$H$7:$K$7),12),"NA")</x:f>
        <x:v>20</x:v>
      </x:c>
      <x:c r="L114" s="30" t="n">
        <x:f>IF(ISNUMBER(K114),COUNTIFS($K$6:$K$179,"&gt;"&amp;K114)+(COUNTIFS($K$6:$K$179,K114)+1)/2,"NA")</x:f>
        <x:v>119</x:v>
      </x:c>
      <x:c r="M114" s="30" t="n">
        <x:f>IF(COUNT('总览与权重'!$H$8:$K$8)=4,ROUND(100*SUMPRODUCT(E114:H114,'总览与权重'!$H$8:$K$8),12),"NA")</x:f>
        <x:v>35</x:v>
      </x:c>
      <x:c r="N114" s="30" t="n">
        <x:f>IF(ISNUMBER(M114),COUNTIFS($M$6:$M$179,"&gt;"&amp;M114)+(COUNTIFS($M$6:$M$179,M114)+1)/2,"NA")</x:f>
        <x:v>94</x:v>
      </x:c>
      <x:c r="O114" s="30" t="n">
        <x:f>IF(COUNT('总览与权重'!$H$9:$K$9)=4,ROUND(100*SUMPRODUCT(E114:H114,'总览与权重'!$H$9:$K$9),12),"NA")</x:f>
        <x:v>30</x:v>
      </x:c>
      <x:c r="P114" s="30" t="n">
        <x:f>IF(ISNUMBER(O114),COUNTIFS($O$6:$O$179,"&gt;"&amp;O114)+(COUNTIFS($O$6:$O$179,O114)+1)/2,"NA")</x:f>
        <x:v>104</x:v>
      </x:c>
      <x:c r="Q114" s="30" t="n">
        <x:f>IF(COUNT('总览与权重'!$H$10:$K$10)=4,ROUND(100*SUMPRODUCT(E114:H114,'总览与权重'!$H$10:$K$10),12),"NA")</x:f>
        <x:v>3.423964915513</x:v>
      </x:c>
      <x:c r="R114" s="30" t="n">
        <x:f>IF(ISNUMBER(Q114),COUNTIFS($Q$6:$Q$179,"&gt;"&amp;Q114)+(COUNTIFS($Q$6:$Q$179,Q114)+1)/2,"NA")</x:f>
        <x:v>128</x:v>
      </x:c>
      <x:c r="S114" s="31" t="n">
        <x:f>IF(OR(B114="s3",B114="s6"),COUNTIFS($B$6:$B$179,B114,$I$6:$I$179,"&gt;"&amp;I114)+(COUNTIFS($B$6:$B$179,B114,$I$6:$I$179,I114)+1)/2,"NA")</x:f>
        <x:v>94.5</x:v>
      </x:c>
      <x:c r="T114" s="26" t="str">
        <x:f>IF(COUNTIFS($I$6:$I$179,"&gt;"&amp;I114)&gt;=35,"非前20%",IF(COUNTIFS($I$6:$I$179,"&gt;="&amp;I114)&gt;=35,"边界同分","严格前20%"))</x:f>
        <x:v>非前20%</x:v>
      </x:c>
      <x:c r="U114" s="26" t="str">
        <x:f>IF(COUNTIFS($I$6:$I$179,"&lt;"&amp;I114)&gt;=35,"非后20%",IF(COUNTIFS($I$6:$I$179,"&lt;="&amp;I114)&gt;=35,"边界同分","严格后20%"))</x:f>
        <x:v>非后20%</x:v>
      </x:c>
      <x:c r="V114" s="26" t="n">
        <x:f>'基线调整'!I98</x:f>
        <x:v>62.092313929888</x:v>
      </x:c>
      <x:c r="W114" s="26" t="n">
        <x:f>'基线调整'!J98</x:f>
        <x:v>91</x:v>
      </x:c>
      <x:c r="X114" s="22" t="str">
        <x:v>["S0500"]</x:v>
      </x:c>
      <x:c r="Y114" s="22" t="str">
        <x:v>evidence/student_evidence.jsonl；student_key=2025秋:259431</x:v>
      </x:c>
      <x:c r="Z114" s="26" t="n">
        <x:f>IF(OR(B114="s3",B114="s6"),COUNTIFS($B$6:$B$179,B114,$K$6:$K$179,"&gt;"&amp;K114)+(COUNTIFS($B$6:$B$179,B114,$K$6:$K$179,K114)+1)/2,"NA")</x:f>
        <x:v>111.5</x:v>
      </x:c>
      <x:c r="AA114" s="26" t="n">
        <x:f>IF(OR(B114="s3",B114="s6"),COUNTIFS($B$6:$B$179,B114,$M$6:$M$179,"&gt;"&amp;M114)+(COUNTIFS($B$6:$B$179,B114,$M$6:$M$179,M114)+1)/2,"NA")</x:f>
        <x:v>89.5</x:v>
      </x:c>
      <x:c r="AB114" s="26" t="n">
        <x:f>IF(OR(B114="s3",B114="s6"),COUNTIFS($B$6:$B$179,B114,$O$6:$O$179,"&gt;"&amp;O114)+(COUNTIFS($B$6:$B$179,B114,$O$6:$O$179,O114)+1)/2,"NA")</x:f>
        <x:v>98.5</x:v>
      </x:c>
      <x:c r="AC114" s="26" t="n">
        <x:f>IF(OR(B114="s3",B114="s6"),COUNTIFS($B$6:$B$179,B114,$Q$6:$Q$179,"&gt;"&amp;Q114)+(COUNTIFS($B$6:$B$179,B114,$Q$6:$Q$179,Q114)+1)/2,"NA")</x:f>
        <x:v>120.5</x:v>
      </x:c>
    </x:row>
    <x:row r="115" ht="23" customHeight="1">
      <x:c r="A115" s="21" t="str">
        <x:v>2025秋:259778</x:v>
      </x:c>
      <x:c r="B115" s="22" t="str">
        <x:v>s3</x:v>
      </x:c>
      <x:c r="C115" s="24" t="n">
        <x:v>2</x:v>
      </x:c>
      <x:c r="D115" s="24" t="n">
        <x:v>1</x:v>
      </x:c>
      <x:c r="E115" s="29" t="n">
        <x:f>'指标计算'!K110</x:f>
        <x:v>0</x:v>
      </x:c>
      <x:c r="F115" s="29" t="n">
        <x:f>'指标计算'!L110</x:f>
        <x:v>0</x:v>
      </x:c>
      <x:c r="G115" s="29" t="n">
        <x:f>'指标计算'!M110</x:f>
        <x:v>0</x:v>
      </x:c>
      <x:c r="H115" s="29" t="n">
        <x:f>'指标计算'!N110</x:f>
        <x:v>1</x:v>
      </x:c>
      <x:c r="I115" s="30" t="n">
        <x:f>IF(COUNT('总览与权重'!$H$6:$K$6)=4,ROUND(100*SUMPRODUCT(E115:H115,'总览与权重'!$H$6:$K$6),12),"NA")</x:f>
        <x:v>30</x:v>
      </x:c>
      <x:c r="J115" s="30" t="n">
        <x:f>IF(ISNUMBER(I115),COUNTIFS($I$6:$I$179,"&gt;"&amp;I115)+(COUNTIFS($I$6:$I$179,I115)+1)/2,"NA")</x:f>
        <x:v>100</x:v>
      </x:c>
      <x:c r="K115" s="30" t="n">
        <x:f>IF(COUNT('总览与权重'!$H$7:$K$7)=4,ROUND(100*SUMPRODUCT(E115:H115,'总览与权重'!$H$7:$K$7),12),"NA")</x:f>
        <x:v>20</x:v>
      </x:c>
      <x:c r="L115" s="30" t="n">
        <x:f>IF(ISNUMBER(K115),COUNTIFS($K$6:$K$179,"&gt;"&amp;K115)+(COUNTIFS($K$6:$K$179,K115)+1)/2,"NA")</x:f>
        <x:v>119</x:v>
      </x:c>
      <x:c r="M115" s="30" t="n">
        <x:f>IF(COUNT('总览与权重'!$H$8:$K$8)=4,ROUND(100*SUMPRODUCT(E115:H115,'总览与权重'!$H$8:$K$8),12),"NA")</x:f>
        <x:v>35</x:v>
      </x:c>
      <x:c r="N115" s="30" t="n">
        <x:f>IF(ISNUMBER(M115),COUNTIFS($M$6:$M$179,"&gt;"&amp;M115)+(COUNTIFS($M$6:$M$179,M115)+1)/2,"NA")</x:f>
        <x:v>94</x:v>
      </x:c>
      <x:c r="O115" s="30" t="n">
        <x:f>IF(COUNT('总览与权重'!$H$9:$K$9)=4,ROUND(100*SUMPRODUCT(E115:H115,'总览与权重'!$H$9:$K$9),12),"NA")</x:f>
        <x:v>30</x:v>
      </x:c>
      <x:c r="P115" s="30" t="n">
        <x:f>IF(ISNUMBER(O115),COUNTIFS($O$6:$O$179,"&gt;"&amp;O115)+(COUNTIFS($O$6:$O$179,O115)+1)/2,"NA")</x:f>
        <x:v>104</x:v>
      </x:c>
      <x:c r="Q115" s="30" t="n">
        <x:f>IF(COUNT('总览与权重'!$H$10:$K$10)=4,ROUND(100*SUMPRODUCT(E115:H115,'总览与权重'!$H$10:$K$10),12),"NA")</x:f>
        <x:v>3.423964915513</x:v>
      </x:c>
      <x:c r="R115" s="30" t="n">
        <x:f>IF(ISNUMBER(Q115),COUNTIFS($Q$6:$Q$179,"&gt;"&amp;Q115)+(COUNTIFS($Q$6:$Q$179,Q115)+1)/2,"NA")</x:f>
        <x:v>128</x:v>
      </x:c>
      <x:c r="S115" s="31" t="n">
        <x:f>IF(OR(B115="s3",B115="s6"),COUNTIFS($B$6:$B$179,B115,$I$6:$I$179,"&gt;"&amp;I115)+(COUNTIFS($B$6:$B$179,B115,$I$6:$I$179,I115)+1)/2,"NA")</x:f>
        <x:v>94.5</x:v>
      </x:c>
      <x:c r="T115" s="26" t="str">
        <x:f>IF(COUNTIFS($I$6:$I$179,"&gt;"&amp;I115)&gt;=35,"非前20%",IF(COUNTIFS($I$6:$I$179,"&gt;="&amp;I115)&gt;=35,"边界同分","严格前20%"))</x:f>
        <x:v>非前20%</x:v>
      </x:c>
      <x:c r="U115" s="26" t="str">
        <x:f>IF(COUNTIFS($I$6:$I$179,"&lt;"&amp;I115)&gt;=35,"非后20%",IF(COUNTIFS($I$6:$I$179,"&lt;="&amp;I115)&gt;=35,"边界同分","严格后20%"))</x:f>
        <x:v>非后20%</x:v>
      </x:c>
      <x:c r="V115" s="26" t="n">
        <x:f>'基线调整'!I99</x:f>
        <x:v>62.092313929888</x:v>
      </x:c>
      <x:c r="W115" s="26" t="n">
        <x:f>'基线调整'!J99</x:f>
        <x:v>91</x:v>
      </x:c>
      <x:c r="X115" s="22" t="str">
        <x:v>["S0102","S0432"]</x:v>
      </x:c>
      <x:c r="Y115" s="22" t="str">
        <x:v>evidence/student_evidence.jsonl；student_key=2025秋:259778</x:v>
      </x:c>
      <x:c r="Z115" s="26" t="n">
        <x:f>IF(OR(B115="s3",B115="s6"),COUNTIFS($B$6:$B$179,B115,$K$6:$K$179,"&gt;"&amp;K115)+(COUNTIFS($B$6:$B$179,B115,$K$6:$K$179,K115)+1)/2,"NA")</x:f>
        <x:v>111.5</x:v>
      </x:c>
      <x:c r="AA115" s="26" t="n">
        <x:f>IF(OR(B115="s3",B115="s6"),COUNTIFS($B$6:$B$179,B115,$M$6:$M$179,"&gt;"&amp;M115)+(COUNTIFS($B$6:$B$179,B115,$M$6:$M$179,M115)+1)/2,"NA")</x:f>
        <x:v>89.5</x:v>
      </x:c>
      <x:c r="AB115" s="26" t="n">
        <x:f>IF(OR(B115="s3",B115="s6"),COUNTIFS($B$6:$B$179,B115,$O$6:$O$179,"&gt;"&amp;O115)+(COUNTIFS($B$6:$B$179,B115,$O$6:$O$179,O115)+1)/2,"NA")</x:f>
        <x:v>98.5</x:v>
      </x:c>
      <x:c r="AC115" s="26" t="n">
        <x:f>IF(OR(B115="s3",B115="s6"),COUNTIFS($B$6:$B$179,B115,$Q$6:$Q$179,"&gt;"&amp;Q115)+(COUNTIFS($B$6:$B$179,B115,$Q$6:$Q$179,Q115)+1)/2,"NA")</x:f>
        <x:v>120.5</x:v>
      </x:c>
    </x:row>
    <x:row r="116" ht="23" customHeight="1">
      <x:c r="A116" s="21" t="str">
        <x:v>2025秋:259843</x:v>
      </x:c>
      <x:c r="B116" s="22" t="str">
        <x:v>s3</x:v>
      </x:c>
      <x:c r="C116" s="24" t="n">
        <x:v>1</x:v>
      </x:c>
      <x:c r="D116" s="24" t="n">
        <x:v>1</x:v>
      </x:c>
      <x:c r="E116" s="29" t="n">
        <x:f>'指标计算'!K113</x:f>
        <x:v>0</x:v>
      </x:c>
      <x:c r="F116" s="29" t="n">
        <x:f>'指标计算'!L113</x:f>
        <x:v>0</x:v>
      </x:c>
      <x:c r="G116" s="29" t="n">
        <x:f>'指标计算'!M113</x:f>
        <x:v>0</x:v>
      </x:c>
      <x:c r="H116" s="29" t="n">
        <x:f>'指标计算'!N113</x:f>
        <x:v>1</x:v>
      </x:c>
      <x:c r="I116" s="30" t="n">
        <x:f>IF(COUNT('总览与权重'!$H$6:$K$6)=4,ROUND(100*SUMPRODUCT(E116:H116,'总览与权重'!$H$6:$K$6),12),"NA")</x:f>
        <x:v>30</x:v>
      </x:c>
      <x:c r="J116" s="30" t="n">
        <x:f>IF(ISNUMBER(I116),COUNTIFS($I$6:$I$179,"&gt;"&amp;I116)+(COUNTIFS($I$6:$I$179,I116)+1)/2,"NA")</x:f>
        <x:v>100</x:v>
      </x:c>
      <x:c r="K116" s="30" t="n">
        <x:f>IF(COUNT('总览与权重'!$H$7:$K$7)=4,ROUND(100*SUMPRODUCT(E116:H116,'总览与权重'!$H$7:$K$7),12),"NA")</x:f>
        <x:v>20</x:v>
      </x:c>
      <x:c r="L116" s="30" t="n">
        <x:f>IF(ISNUMBER(K116),COUNTIFS($K$6:$K$179,"&gt;"&amp;K116)+(COUNTIFS($K$6:$K$179,K116)+1)/2,"NA")</x:f>
        <x:v>119</x:v>
      </x:c>
      <x:c r="M116" s="30" t="n">
        <x:f>IF(COUNT('总览与权重'!$H$8:$K$8)=4,ROUND(100*SUMPRODUCT(E116:H116,'总览与权重'!$H$8:$K$8),12),"NA")</x:f>
        <x:v>35</x:v>
      </x:c>
      <x:c r="N116" s="30" t="n">
        <x:f>IF(ISNUMBER(M116),COUNTIFS($M$6:$M$179,"&gt;"&amp;M116)+(COUNTIFS($M$6:$M$179,M116)+1)/2,"NA")</x:f>
        <x:v>94</x:v>
      </x:c>
      <x:c r="O116" s="30" t="n">
        <x:f>IF(COUNT('总览与权重'!$H$9:$K$9)=4,ROUND(100*SUMPRODUCT(E116:H116,'总览与权重'!$H$9:$K$9),12),"NA")</x:f>
        <x:v>30</x:v>
      </x:c>
      <x:c r="P116" s="30" t="n">
        <x:f>IF(ISNUMBER(O116),COUNTIFS($O$6:$O$179,"&gt;"&amp;O116)+(COUNTIFS($O$6:$O$179,O116)+1)/2,"NA")</x:f>
        <x:v>104</x:v>
      </x:c>
      <x:c r="Q116" s="30" t="n">
        <x:f>IF(COUNT('总览与权重'!$H$10:$K$10)=4,ROUND(100*SUMPRODUCT(E116:H116,'总览与权重'!$H$10:$K$10),12),"NA")</x:f>
        <x:v>3.423964915513</x:v>
      </x:c>
      <x:c r="R116" s="30" t="n">
        <x:f>IF(ISNUMBER(Q116),COUNTIFS($Q$6:$Q$179,"&gt;"&amp;Q116)+(COUNTIFS($Q$6:$Q$179,Q116)+1)/2,"NA")</x:f>
        <x:v>128</x:v>
      </x:c>
      <x:c r="S116" s="31" t="n">
        <x:f>IF(OR(B116="s3",B116="s6"),COUNTIFS($B$6:$B$179,B116,$I$6:$I$179,"&gt;"&amp;I116)+(COUNTIFS($B$6:$B$179,B116,$I$6:$I$179,I116)+1)/2,"NA")</x:f>
        <x:v>94.5</x:v>
      </x:c>
      <x:c r="T116" s="26" t="str">
        <x:f>IF(COUNTIFS($I$6:$I$179,"&gt;"&amp;I116)&gt;=35,"非前20%",IF(COUNTIFS($I$6:$I$179,"&gt;="&amp;I116)&gt;=35,"边界同分","严格前20%"))</x:f>
        <x:v>非前20%</x:v>
      </x:c>
      <x:c r="U116" s="26" t="str">
        <x:f>IF(COUNTIFS($I$6:$I$179,"&lt;"&amp;I116)&gt;=35,"非后20%",IF(COUNTIFS($I$6:$I$179,"&lt;="&amp;I116)&gt;=35,"边界同分","严格后20%"))</x:f>
        <x:v>非后20%</x:v>
      </x:c>
      <x:c r="V116" s="26" t="n">
        <x:f>'基线调整'!I88</x:f>
        <x:v>62.092916556433</x:v>
      </x:c>
      <x:c r="W116" s="26" t="n">
        <x:f>'基线调整'!J88</x:f>
        <x:v>83</x:v>
      </x:c>
      <x:c r="X116" s="22" t="str">
        <x:v>["S0080"]</x:v>
      </x:c>
      <x:c r="Y116" s="22" t="str">
        <x:v>evidence/student_evidence.jsonl；student_key=2025秋:259843</x:v>
      </x:c>
      <x:c r="Z116" s="26" t="n">
        <x:f>IF(OR(B116="s3",B116="s6"),COUNTIFS($B$6:$B$179,B116,$K$6:$K$179,"&gt;"&amp;K116)+(COUNTIFS($B$6:$B$179,B116,$K$6:$K$179,K116)+1)/2,"NA")</x:f>
        <x:v>111.5</x:v>
      </x:c>
      <x:c r="AA116" s="26" t="n">
        <x:f>IF(OR(B116="s3",B116="s6"),COUNTIFS($B$6:$B$179,B116,$M$6:$M$179,"&gt;"&amp;M116)+(COUNTIFS($B$6:$B$179,B116,$M$6:$M$179,M116)+1)/2,"NA")</x:f>
        <x:v>89.5</x:v>
      </x:c>
      <x:c r="AB116" s="26" t="n">
        <x:f>IF(OR(B116="s3",B116="s6"),COUNTIFS($B$6:$B$179,B116,$O$6:$O$179,"&gt;"&amp;O116)+(COUNTIFS($B$6:$B$179,B116,$O$6:$O$179,O116)+1)/2,"NA")</x:f>
        <x:v>98.5</x:v>
      </x:c>
      <x:c r="AC116" s="26" t="n">
        <x:f>IF(OR(B116="s3",B116="s6"),COUNTIFS($B$6:$B$179,B116,$Q$6:$Q$179,"&gt;"&amp;Q116)+(COUNTIFS($B$6:$B$179,B116,$Q$6:$Q$179,Q116)+1)/2,"NA")</x:f>
        <x:v>120.5</x:v>
      </x:c>
    </x:row>
    <x:row r="117" ht="23" customHeight="1">
      <x:c r="A117" s="21" t="str">
        <x:v>2025秋:259873</x:v>
      </x:c>
      <x:c r="B117" s="22" t="str">
        <x:v>s3</x:v>
      </x:c>
      <x:c r="C117" s="24" t="n">
        <x:v>1</x:v>
      </x:c>
      <x:c r="D117" s="24" t="n">
        <x:v>1</x:v>
      </x:c>
      <x:c r="E117" s="29" t="n">
        <x:f>'指标计算'!K119</x:f>
        <x:v>0</x:v>
      </x:c>
      <x:c r="F117" s="29" t="n">
        <x:f>'指标计算'!L119</x:f>
        <x:v>0</x:v>
      </x:c>
      <x:c r="G117" s="29" t="n">
        <x:f>'指标计算'!M119</x:f>
        <x:v>0</x:v>
      </x:c>
      <x:c r="H117" s="29" t="n">
        <x:f>'指标计算'!N119</x:f>
        <x:v>1</x:v>
      </x:c>
      <x:c r="I117" s="30" t="n">
        <x:f>IF(COUNT('总览与权重'!$H$6:$K$6)=4,ROUND(100*SUMPRODUCT(E117:H117,'总览与权重'!$H$6:$K$6),12),"NA")</x:f>
        <x:v>30</x:v>
      </x:c>
      <x:c r="J117" s="30" t="n">
        <x:f>IF(ISNUMBER(I117),COUNTIFS($I$6:$I$179,"&gt;"&amp;I117)+(COUNTIFS($I$6:$I$179,I117)+1)/2,"NA")</x:f>
        <x:v>100</x:v>
      </x:c>
      <x:c r="K117" s="30" t="n">
        <x:f>IF(COUNT('总览与权重'!$H$7:$K$7)=4,ROUND(100*SUMPRODUCT(E117:H117,'总览与权重'!$H$7:$K$7),12),"NA")</x:f>
        <x:v>20</x:v>
      </x:c>
      <x:c r="L117" s="30" t="n">
        <x:f>IF(ISNUMBER(K117),COUNTIFS($K$6:$K$179,"&gt;"&amp;K117)+(COUNTIFS($K$6:$K$179,K117)+1)/2,"NA")</x:f>
        <x:v>119</x:v>
      </x:c>
      <x:c r="M117" s="30" t="n">
        <x:f>IF(COUNT('总览与权重'!$H$8:$K$8)=4,ROUND(100*SUMPRODUCT(E117:H117,'总览与权重'!$H$8:$K$8),12),"NA")</x:f>
        <x:v>35</x:v>
      </x:c>
      <x:c r="N117" s="30" t="n">
        <x:f>IF(ISNUMBER(M117),COUNTIFS($M$6:$M$179,"&gt;"&amp;M117)+(COUNTIFS($M$6:$M$179,M117)+1)/2,"NA")</x:f>
        <x:v>94</x:v>
      </x:c>
      <x:c r="O117" s="30" t="n">
        <x:f>IF(COUNT('总览与权重'!$H$9:$K$9)=4,ROUND(100*SUMPRODUCT(E117:H117,'总览与权重'!$H$9:$K$9),12),"NA")</x:f>
        <x:v>30</x:v>
      </x:c>
      <x:c r="P117" s="30" t="n">
        <x:f>IF(ISNUMBER(O117),COUNTIFS($O$6:$O$179,"&gt;"&amp;O117)+(COUNTIFS($O$6:$O$179,O117)+1)/2,"NA")</x:f>
        <x:v>104</x:v>
      </x:c>
      <x:c r="Q117" s="30" t="n">
        <x:f>IF(COUNT('总览与权重'!$H$10:$K$10)=4,ROUND(100*SUMPRODUCT(E117:H117,'总览与权重'!$H$10:$K$10),12),"NA")</x:f>
        <x:v>3.423964915513</x:v>
      </x:c>
      <x:c r="R117" s="30" t="n">
        <x:f>IF(ISNUMBER(Q117),COUNTIFS($Q$6:$Q$179,"&gt;"&amp;Q117)+(COUNTIFS($Q$6:$Q$179,Q117)+1)/2,"NA")</x:f>
        <x:v>128</x:v>
      </x:c>
      <x:c r="S117" s="31" t="n">
        <x:f>IF(OR(B117="s3",B117="s6"),COUNTIFS($B$6:$B$179,B117,$I$6:$I$179,"&gt;"&amp;I117)+(COUNTIFS($B$6:$B$179,B117,$I$6:$I$179,I117)+1)/2,"NA")</x:f>
        <x:v>94.5</x:v>
      </x:c>
      <x:c r="T117" s="26" t="str">
        <x:f>IF(COUNTIFS($I$6:$I$179,"&gt;"&amp;I117)&gt;=35,"非前20%",IF(COUNTIFS($I$6:$I$179,"&gt;="&amp;I117)&gt;=35,"边界同分","严格前20%"))</x:f>
        <x:v>非前20%</x:v>
      </x:c>
      <x:c r="U117" s="26" t="str">
        <x:f>IF(COUNTIFS($I$6:$I$179,"&lt;"&amp;I117)&gt;=35,"非后20%",IF(COUNTIFS($I$6:$I$179,"&lt;="&amp;I117)&gt;=35,"边界同分","严格后20%"))</x:f>
        <x:v>非后20%</x:v>
      </x:c>
      <x:c r="V117" s="26" t="n">
        <x:f>'基线调整'!I82</x:f>
        <x:v>62.494944055134</x:v>
      </x:c>
      <x:c r="W117" s="26" t="n">
        <x:f>'基线调整'!J82</x:f>
        <x:v>75</x:v>
      </x:c>
      <x:c r="X117" s="22" t="str">
        <x:v>["S0160"]</x:v>
      </x:c>
      <x:c r="Y117" s="22" t="str">
        <x:v>evidence/student_evidence.jsonl；student_key=2025秋:259873</x:v>
      </x:c>
      <x:c r="Z117" s="26" t="n">
        <x:f>IF(OR(B117="s3",B117="s6"),COUNTIFS($B$6:$B$179,B117,$K$6:$K$179,"&gt;"&amp;K117)+(COUNTIFS($B$6:$B$179,B117,$K$6:$K$179,K117)+1)/2,"NA")</x:f>
        <x:v>111.5</x:v>
      </x:c>
      <x:c r="AA117" s="26" t="n">
        <x:f>IF(OR(B117="s3",B117="s6"),COUNTIFS($B$6:$B$179,B117,$M$6:$M$179,"&gt;"&amp;M117)+(COUNTIFS($B$6:$B$179,B117,$M$6:$M$179,M117)+1)/2,"NA")</x:f>
        <x:v>89.5</x:v>
      </x:c>
      <x:c r="AB117" s="26" t="n">
        <x:f>IF(OR(B117="s3",B117="s6"),COUNTIFS($B$6:$B$179,B117,$O$6:$O$179,"&gt;"&amp;O117)+(COUNTIFS($B$6:$B$179,B117,$O$6:$O$179,O117)+1)/2,"NA")</x:f>
        <x:v>98.5</x:v>
      </x:c>
      <x:c r="AC117" s="26" t="n">
        <x:f>IF(OR(B117="s3",B117="s6"),COUNTIFS($B$6:$B$179,B117,$Q$6:$Q$179,"&gt;"&amp;Q117)+(COUNTIFS($B$6:$B$179,B117,$Q$6:$Q$179,Q117)+1)/2,"NA")</x:f>
        <x:v>120.5</x:v>
      </x:c>
    </x:row>
    <x:row r="118" ht="23" customHeight="1">
      <x:c r="A118" s="21" t="str">
        <x:v>2025秋:259885</x:v>
      </x:c>
      <x:c r="B118" s="22" t="str">
        <x:v>s3</x:v>
      </x:c>
      <x:c r="C118" s="24" t="n">
        <x:v>1</x:v>
      </x:c>
      <x:c r="D118" s="24" t="n">
        <x:v>1</x:v>
      </x:c>
      <x:c r="E118" s="29" t="n">
        <x:f>'指标计算'!K121</x:f>
        <x:v>0</x:v>
      </x:c>
      <x:c r="F118" s="29" t="n">
        <x:f>'指标计算'!L121</x:f>
        <x:v>0</x:v>
      </x:c>
      <x:c r="G118" s="29" t="n">
        <x:f>'指标计算'!M121</x:f>
        <x:v>0</x:v>
      </x:c>
      <x:c r="H118" s="29" t="n">
        <x:f>'指标计算'!N121</x:f>
        <x:v>1</x:v>
      </x:c>
      <x:c r="I118" s="30" t="n">
        <x:f>IF(COUNT('总览与权重'!$H$6:$K$6)=4,ROUND(100*SUMPRODUCT(E118:H118,'总览与权重'!$H$6:$K$6),12),"NA")</x:f>
        <x:v>30</x:v>
      </x:c>
      <x:c r="J118" s="30" t="n">
        <x:f>IF(ISNUMBER(I118),COUNTIFS($I$6:$I$179,"&gt;"&amp;I118)+(COUNTIFS($I$6:$I$179,I118)+1)/2,"NA")</x:f>
        <x:v>100</x:v>
      </x:c>
      <x:c r="K118" s="30" t="n">
        <x:f>IF(COUNT('总览与权重'!$H$7:$K$7)=4,ROUND(100*SUMPRODUCT(E118:H118,'总览与权重'!$H$7:$K$7),12),"NA")</x:f>
        <x:v>20</x:v>
      </x:c>
      <x:c r="L118" s="30" t="n">
        <x:f>IF(ISNUMBER(K118),COUNTIFS($K$6:$K$179,"&gt;"&amp;K118)+(COUNTIFS($K$6:$K$179,K118)+1)/2,"NA")</x:f>
        <x:v>119</x:v>
      </x:c>
      <x:c r="M118" s="30" t="n">
        <x:f>IF(COUNT('总览与权重'!$H$8:$K$8)=4,ROUND(100*SUMPRODUCT(E118:H118,'总览与权重'!$H$8:$K$8),12),"NA")</x:f>
        <x:v>35</x:v>
      </x:c>
      <x:c r="N118" s="30" t="n">
        <x:f>IF(ISNUMBER(M118),COUNTIFS($M$6:$M$179,"&gt;"&amp;M118)+(COUNTIFS($M$6:$M$179,M118)+1)/2,"NA")</x:f>
        <x:v>94</x:v>
      </x:c>
      <x:c r="O118" s="30" t="n">
        <x:f>IF(COUNT('总览与权重'!$H$9:$K$9)=4,ROUND(100*SUMPRODUCT(E118:H118,'总览与权重'!$H$9:$K$9),12),"NA")</x:f>
        <x:v>30</x:v>
      </x:c>
      <x:c r="P118" s="30" t="n">
        <x:f>IF(ISNUMBER(O118),COUNTIFS($O$6:$O$179,"&gt;"&amp;O118)+(COUNTIFS($O$6:$O$179,O118)+1)/2,"NA")</x:f>
        <x:v>104</x:v>
      </x:c>
      <x:c r="Q118" s="30" t="n">
        <x:f>IF(COUNT('总览与权重'!$H$10:$K$10)=4,ROUND(100*SUMPRODUCT(E118:H118,'总览与权重'!$H$10:$K$10),12),"NA")</x:f>
        <x:v>3.423964915513</x:v>
      </x:c>
      <x:c r="R118" s="30" t="n">
        <x:f>IF(ISNUMBER(Q118),COUNTIFS($Q$6:$Q$179,"&gt;"&amp;Q118)+(COUNTIFS($Q$6:$Q$179,Q118)+1)/2,"NA")</x:f>
        <x:v>128</x:v>
      </x:c>
      <x:c r="S118" s="31" t="n">
        <x:f>IF(OR(B118="s3",B118="s6"),COUNTIFS($B$6:$B$179,B118,$I$6:$I$179,"&gt;"&amp;I118)+(COUNTIFS($B$6:$B$179,B118,$I$6:$I$179,I118)+1)/2,"NA")</x:f>
        <x:v>94.5</x:v>
      </x:c>
      <x:c r="T118" s="26" t="str">
        <x:f>IF(COUNTIFS($I$6:$I$179,"&gt;"&amp;I118)&gt;=35,"非前20%",IF(COUNTIFS($I$6:$I$179,"&gt;="&amp;I118)&gt;=35,"边界同分","严格前20%"))</x:f>
        <x:v>非前20%</x:v>
      </x:c>
      <x:c r="U118" s="26" t="str">
        <x:f>IF(COUNTIFS($I$6:$I$179,"&lt;"&amp;I118)&gt;=35,"非后20%",IF(COUNTIFS($I$6:$I$179,"&lt;="&amp;I118)&gt;=35,"边界同分","严格后20%"))</x:f>
        <x:v>非后20%</x:v>
      </x:c>
      <x:c r="V118" s="26" t="n">
        <x:f>'基线调整'!I100</x:f>
        <x:v>62.092313929888</x:v>
      </x:c>
      <x:c r="W118" s="26" t="n">
        <x:f>'基线调整'!J100</x:f>
        <x:v>91</x:v>
      </x:c>
      <x:c r="X118" s="22" t="str">
        <x:v>["S0386"]</x:v>
      </x:c>
      <x:c r="Y118" s="22" t="str">
        <x:v>evidence/student_evidence.jsonl；student_key=2025秋:259885</x:v>
      </x:c>
      <x:c r="Z118" s="26" t="n">
        <x:f>IF(OR(B118="s3",B118="s6"),COUNTIFS($B$6:$B$179,B118,$K$6:$K$179,"&gt;"&amp;K118)+(COUNTIFS($B$6:$B$179,B118,$K$6:$K$179,K118)+1)/2,"NA")</x:f>
        <x:v>111.5</x:v>
      </x:c>
      <x:c r="AA118" s="26" t="n">
        <x:f>IF(OR(B118="s3",B118="s6"),COUNTIFS($B$6:$B$179,B118,$M$6:$M$179,"&gt;"&amp;M118)+(COUNTIFS($B$6:$B$179,B118,$M$6:$M$179,M118)+1)/2,"NA")</x:f>
        <x:v>89.5</x:v>
      </x:c>
      <x:c r="AB118" s="26" t="n">
        <x:f>IF(OR(B118="s3",B118="s6"),COUNTIFS($B$6:$B$179,B118,$O$6:$O$179,"&gt;"&amp;O118)+(COUNTIFS($B$6:$B$179,B118,$O$6:$O$179,O118)+1)/2,"NA")</x:f>
        <x:v>98.5</x:v>
      </x:c>
      <x:c r="AC118" s="26" t="n">
        <x:f>IF(OR(B118="s3",B118="s6"),COUNTIFS($B$6:$B$179,B118,$Q$6:$Q$179,"&gt;"&amp;Q118)+(COUNTIFS($B$6:$B$179,B118,$Q$6:$Q$179,Q118)+1)/2,"NA")</x:f>
        <x:v>120.5</x:v>
      </x:c>
    </x:row>
    <x:row r="119" ht="23" customHeight="1">
      <x:c r="A119" s="21" t="str">
        <x:v>2025秋:259899</x:v>
      </x:c>
      <x:c r="B119" s="22" t="str">
        <x:v>s3</x:v>
      </x:c>
      <x:c r="C119" s="24" t="n">
        <x:v>1</x:v>
      </x:c>
      <x:c r="D119" s="24" t="n">
        <x:v>1</x:v>
      </x:c>
      <x:c r="E119" s="29" t="n">
        <x:f>'指标计算'!K124</x:f>
        <x:v>0</x:v>
      </x:c>
      <x:c r="F119" s="29" t="n">
        <x:f>'指标计算'!L124</x:f>
        <x:v>0</x:v>
      </x:c>
      <x:c r="G119" s="29" t="n">
        <x:f>'指标计算'!M124</x:f>
        <x:v>0</x:v>
      </x:c>
      <x:c r="H119" s="29" t="n">
        <x:f>'指标计算'!N124</x:f>
        <x:v>1</x:v>
      </x:c>
      <x:c r="I119" s="30" t="n">
        <x:f>IF(COUNT('总览与权重'!$H$6:$K$6)=4,ROUND(100*SUMPRODUCT(E119:H119,'总览与权重'!$H$6:$K$6),12),"NA")</x:f>
        <x:v>30</x:v>
      </x:c>
      <x:c r="J119" s="30" t="n">
        <x:f>IF(ISNUMBER(I119),COUNTIFS($I$6:$I$179,"&gt;"&amp;I119)+(COUNTIFS($I$6:$I$179,I119)+1)/2,"NA")</x:f>
        <x:v>100</x:v>
      </x:c>
      <x:c r="K119" s="30" t="n">
        <x:f>IF(COUNT('总览与权重'!$H$7:$K$7)=4,ROUND(100*SUMPRODUCT(E119:H119,'总览与权重'!$H$7:$K$7),12),"NA")</x:f>
        <x:v>20</x:v>
      </x:c>
      <x:c r="L119" s="30" t="n">
        <x:f>IF(ISNUMBER(K119),COUNTIFS($K$6:$K$179,"&gt;"&amp;K119)+(COUNTIFS($K$6:$K$179,K119)+1)/2,"NA")</x:f>
        <x:v>119</x:v>
      </x:c>
      <x:c r="M119" s="30" t="n">
        <x:f>IF(COUNT('总览与权重'!$H$8:$K$8)=4,ROUND(100*SUMPRODUCT(E119:H119,'总览与权重'!$H$8:$K$8),12),"NA")</x:f>
        <x:v>35</x:v>
      </x:c>
      <x:c r="N119" s="30" t="n">
        <x:f>IF(ISNUMBER(M119),COUNTIFS($M$6:$M$179,"&gt;"&amp;M119)+(COUNTIFS($M$6:$M$179,M119)+1)/2,"NA")</x:f>
        <x:v>94</x:v>
      </x:c>
      <x:c r="O119" s="30" t="n">
        <x:f>IF(COUNT('总览与权重'!$H$9:$K$9)=4,ROUND(100*SUMPRODUCT(E119:H119,'总览与权重'!$H$9:$K$9),12),"NA")</x:f>
        <x:v>30</x:v>
      </x:c>
      <x:c r="P119" s="30" t="n">
        <x:f>IF(ISNUMBER(O119),COUNTIFS($O$6:$O$179,"&gt;"&amp;O119)+(COUNTIFS($O$6:$O$179,O119)+1)/2,"NA")</x:f>
        <x:v>104</x:v>
      </x:c>
      <x:c r="Q119" s="30" t="n">
        <x:f>IF(COUNT('总览与权重'!$H$10:$K$10)=4,ROUND(100*SUMPRODUCT(E119:H119,'总览与权重'!$H$10:$K$10),12),"NA")</x:f>
        <x:v>3.423964915513</x:v>
      </x:c>
      <x:c r="R119" s="30" t="n">
        <x:f>IF(ISNUMBER(Q119),COUNTIFS($Q$6:$Q$179,"&gt;"&amp;Q119)+(COUNTIFS($Q$6:$Q$179,Q119)+1)/2,"NA")</x:f>
        <x:v>128</x:v>
      </x:c>
      <x:c r="S119" s="31" t="n">
        <x:f>IF(OR(B119="s3",B119="s6"),COUNTIFS($B$6:$B$179,B119,$I$6:$I$179,"&gt;"&amp;I119)+(COUNTIFS($B$6:$B$179,B119,$I$6:$I$179,I119)+1)/2,"NA")</x:f>
        <x:v>94.5</x:v>
      </x:c>
      <x:c r="T119" s="26" t="str">
        <x:f>IF(COUNTIFS($I$6:$I$179,"&gt;"&amp;I119)&gt;=35,"非前20%",IF(COUNTIFS($I$6:$I$179,"&gt;="&amp;I119)&gt;=35,"边界同分","严格前20%"))</x:f>
        <x:v>非前20%</x:v>
      </x:c>
      <x:c r="U119" s="26" t="str">
        <x:f>IF(COUNTIFS($I$6:$I$179,"&lt;"&amp;I119)&gt;=35,"非后20%",IF(COUNTIFS($I$6:$I$179,"&lt;="&amp;I119)&gt;=35,"边界同分","严格后20%"))</x:f>
        <x:v>非后20%</x:v>
      </x:c>
      <x:c r="V119" s="26" t="n">
        <x:f>'基线调整'!I89</x:f>
        <x:v>62.092916556433</x:v>
      </x:c>
      <x:c r="W119" s="26" t="n">
        <x:f>'基线调整'!J89</x:f>
        <x:v>83</x:v>
      </x:c>
      <x:c r="X119" s="22" t="str">
        <x:v>["S0318"]</x:v>
      </x:c>
      <x:c r="Y119" s="22" t="str">
        <x:v>evidence/student_evidence.jsonl；student_key=2025秋:259899</x:v>
      </x:c>
      <x:c r="Z119" s="26" t="n">
        <x:f>IF(OR(B119="s3",B119="s6"),COUNTIFS($B$6:$B$179,B119,$K$6:$K$179,"&gt;"&amp;K119)+(COUNTIFS($B$6:$B$179,B119,$K$6:$K$179,K119)+1)/2,"NA")</x:f>
        <x:v>111.5</x:v>
      </x:c>
      <x:c r="AA119" s="26" t="n">
        <x:f>IF(OR(B119="s3",B119="s6"),COUNTIFS($B$6:$B$179,B119,$M$6:$M$179,"&gt;"&amp;M119)+(COUNTIFS($B$6:$B$179,B119,$M$6:$M$179,M119)+1)/2,"NA")</x:f>
        <x:v>89.5</x:v>
      </x:c>
      <x:c r="AB119" s="26" t="n">
        <x:f>IF(OR(B119="s3",B119="s6"),COUNTIFS($B$6:$B$179,B119,$O$6:$O$179,"&gt;"&amp;O119)+(COUNTIFS($B$6:$B$179,B119,$O$6:$O$179,O119)+1)/2,"NA")</x:f>
        <x:v>98.5</x:v>
      </x:c>
      <x:c r="AC119" s="26" t="n">
        <x:f>IF(OR(B119="s3",B119="s6"),COUNTIFS($B$6:$B$179,B119,$Q$6:$Q$179,"&gt;"&amp;Q119)+(COUNTIFS($B$6:$B$179,B119,$Q$6:$Q$179,Q119)+1)/2,"NA")</x:f>
        <x:v>120.5</x:v>
      </x:c>
    </x:row>
    <x:row r="120" ht="23" customHeight="1">
      <x:c r="A120" s="21" t="str">
        <x:v>2025秋:259919</x:v>
      </x:c>
      <x:c r="B120" s="22" t="str">
        <x:v>s3</x:v>
      </x:c>
      <x:c r="C120" s="24" t="n">
        <x:v>1</x:v>
      </x:c>
      <x:c r="D120" s="24" t="n">
        <x:v>1</x:v>
      </x:c>
      <x:c r="E120" s="29" t="n">
        <x:f>'指标计算'!K126</x:f>
        <x:v>0</x:v>
      </x:c>
      <x:c r="F120" s="29" t="n">
        <x:f>'指标计算'!L126</x:f>
        <x:v>0</x:v>
      </x:c>
      <x:c r="G120" s="29" t="n">
        <x:f>'指标计算'!M126</x:f>
        <x:v>0</x:v>
      </x:c>
      <x:c r="H120" s="29" t="n">
        <x:f>'指标计算'!N126</x:f>
        <x:v>1</x:v>
      </x:c>
      <x:c r="I120" s="30" t="n">
        <x:f>IF(COUNT('总览与权重'!$H$6:$K$6)=4,ROUND(100*SUMPRODUCT(E120:H120,'总览与权重'!$H$6:$K$6),12),"NA")</x:f>
        <x:v>30</x:v>
      </x:c>
      <x:c r="J120" s="30" t="n">
        <x:f>IF(ISNUMBER(I120),COUNTIFS($I$6:$I$179,"&gt;"&amp;I120)+(COUNTIFS($I$6:$I$179,I120)+1)/2,"NA")</x:f>
        <x:v>100</x:v>
      </x:c>
      <x:c r="K120" s="30" t="n">
        <x:f>IF(COUNT('总览与权重'!$H$7:$K$7)=4,ROUND(100*SUMPRODUCT(E120:H120,'总览与权重'!$H$7:$K$7),12),"NA")</x:f>
        <x:v>20</x:v>
      </x:c>
      <x:c r="L120" s="30" t="n">
        <x:f>IF(ISNUMBER(K120),COUNTIFS($K$6:$K$179,"&gt;"&amp;K120)+(COUNTIFS($K$6:$K$179,K120)+1)/2,"NA")</x:f>
        <x:v>119</x:v>
      </x:c>
      <x:c r="M120" s="30" t="n">
        <x:f>IF(COUNT('总览与权重'!$H$8:$K$8)=4,ROUND(100*SUMPRODUCT(E120:H120,'总览与权重'!$H$8:$K$8),12),"NA")</x:f>
        <x:v>35</x:v>
      </x:c>
      <x:c r="N120" s="30" t="n">
        <x:f>IF(ISNUMBER(M120),COUNTIFS($M$6:$M$179,"&gt;"&amp;M120)+(COUNTIFS($M$6:$M$179,M120)+1)/2,"NA")</x:f>
        <x:v>94</x:v>
      </x:c>
      <x:c r="O120" s="30" t="n">
        <x:f>IF(COUNT('总览与权重'!$H$9:$K$9)=4,ROUND(100*SUMPRODUCT(E120:H120,'总览与权重'!$H$9:$K$9),12),"NA")</x:f>
        <x:v>30</x:v>
      </x:c>
      <x:c r="P120" s="30" t="n">
        <x:f>IF(ISNUMBER(O120),COUNTIFS($O$6:$O$179,"&gt;"&amp;O120)+(COUNTIFS($O$6:$O$179,O120)+1)/2,"NA")</x:f>
        <x:v>104</x:v>
      </x:c>
      <x:c r="Q120" s="30" t="n">
        <x:f>IF(COUNT('总览与权重'!$H$10:$K$10)=4,ROUND(100*SUMPRODUCT(E120:H120,'总览与权重'!$H$10:$K$10),12),"NA")</x:f>
        <x:v>3.423964915513</x:v>
      </x:c>
      <x:c r="R120" s="30" t="n">
        <x:f>IF(ISNUMBER(Q120),COUNTIFS($Q$6:$Q$179,"&gt;"&amp;Q120)+(COUNTIFS($Q$6:$Q$179,Q120)+1)/2,"NA")</x:f>
        <x:v>128</x:v>
      </x:c>
      <x:c r="S120" s="31" t="n">
        <x:f>IF(OR(B120="s3",B120="s6"),COUNTIFS($B$6:$B$179,B120,$I$6:$I$179,"&gt;"&amp;I120)+(COUNTIFS($B$6:$B$179,B120,$I$6:$I$179,I120)+1)/2,"NA")</x:f>
        <x:v>94.5</x:v>
      </x:c>
      <x:c r="T120" s="26" t="str">
        <x:f>IF(COUNTIFS($I$6:$I$179,"&gt;"&amp;I120)&gt;=35,"非前20%",IF(COUNTIFS($I$6:$I$179,"&gt;="&amp;I120)&gt;=35,"边界同分","严格前20%"))</x:f>
        <x:v>非前20%</x:v>
      </x:c>
      <x:c r="U120" s="26" t="str">
        <x:f>IF(COUNTIFS($I$6:$I$179,"&lt;"&amp;I120)&gt;=35,"非后20%",IF(COUNTIFS($I$6:$I$179,"&lt;="&amp;I120)&gt;=35,"边界同分","严格后20%"))</x:f>
        <x:v>非后20%</x:v>
      </x:c>
      <x:c r="V120" s="26" t="n">
        <x:f>'基线调整'!I101</x:f>
        <x:v>62.092313929888</x:v>
      </x:c>
      <x:c r="W120" s="26" t="n">
        <x:f>'基线调整'!J101</x:f>
        <x:v>91</x:v>
      </x:c>
      <x:c r="X120" s="22" t="str">
        <x:v>["S0279"]</x:v>
      </x:c>
      <x:c r="Y120" s="22" t="str">
        <x:v>evidence/student_evidence.jsonl；student_key=2025秋:259919</x:v>
      </x:c>
      <x:c r="Z120" s="26" t="n">
        <x:f>IF(OR(B120="s3",B120="s6"),COUNTIFS($B$6:$B$179,B120,$K$6:$K$179,"&gt;"&amp;K120)+(COUNTIFS($B$6:$B$179,B120,$K$6:$K$179,K120)+1)/2,"NA")</x:f>
        <x:v>111.5</x:v>
      </x:c>
      <x:c r="AA120" s="26" t="n">
        <x:f>IF(OR(B120="s3",B120="s6"),COUNTIFS($B$6:$B$179,B120,$M$6:$M$179,"&gt;"&amp;M120)+(COUNTIFS($B$6:$B$179,B120,$M$6:$M$179,M120)+1)/2,"NA")</x:f>
        <x:v>89.5</x:v>
      </x:c>
      <x:c r="AB120" s="26" t="n">
        <x:f>IF(OR(B120="s3",B120="s6"),COUNTIFS($B$6:$B$179,B120,$O$6:$O$179,"&gt;"&amp;O120)+(COUNTIFS($B$6:$B$179,B120,$O$6:$O$179,O120)+1)/2,"NA")</x:f>
        <x:v>98.5</x:v>
      </x:c>
      <x:c r="AC120" s="26" t="n">
        <x:f>IF(OR(B120="s3",B120="s6"),COUNTIFS($B$6:$B$179,B120,$Q$6:$Q$179,"&gt;"&amp;Q120)+(COUNTIFS($B$6:$B$179,B120,$Q$6:$Q$179,Q120)+1)/2,"NA")</x:f>
        <x:v>120.5</x:v>
      </x:c>
    </x:row>
    <x:row r="121" ht="23" customHeight="1">
      <x:c r="A121" s="21" t="str">
        <x:v>2025秋:259921</x:v>
      </x:c>
      <x:c r="B121" s="22" t="str">
        <x:v>s3</x:v>
      </x:c>
      <x:c r="C121" s="24" t="n">
        <x:v>1</x:v>
      </x:c>
      <x:c r="D121" s="24" t="n">
        <x:v>1</x:v>
      </x:c>
      <x:c r="E121" s="29" t="n">
        <x:f>'指标计算'!K127</x:f>
        <x:v>0</x:v>
      </x:c>
      <x:c r="F121" s="29" t="n">
        <x:f>'指标计算'!L127</x:f>
        <x:v>0</x:v>
      </x:c>
      <x:c r="G121" s="29" t="n">
        <x:f>'指标计算'!M127</x:f>
        <x:v>0</x:v>
      </x:c>
      <x:c r="H121" s="29" t="n">
        <x:f>'指标计算'!N127</x:f>
        <x:v>1</x:v>
      </x:c>
      <x:c r="I121" s="30" t="n">
        <x:f>IF(COUNT('总览与权重'!$H$6:$K$6)=4,ROUND(100*SUMPRODUCT(E121:H121,'总览与权重'!$H$6:$K$6),12),"NA")</x:f>
        <x:v>30</x:v>
      </x:c>
      <x:c r="J121" s="30" t="n">
        <x:f>IF(ISNUMBER(I121),COUNTIFS($I$6:$I$179,"&gt;"&amp;I121)+(COUNTIFS($I$6:$I$179,I121)+1)/2,"NA")</x:f>
        <x:v>100</x:v>
      </x:c>
      <x:c r="K121" s="30" t="n">
        <x:f>IF(COUNT('总览与权重'!$H$7:$K$7)=4,ROUND(100*SUMPRODUCT(E121:H121,'总览与权重'!$H$7:$K$7),12),"NA")</x:f>
        <x:v>20</x:v>
      </x:c>
      <x:c r="L121" s="30" t="n">
        <x:f>IF(ISNUMBER(K121),COUNTIFS($K$6:$K$179,"&gt;"&amp;K121)+(COUNTIFS($K$6:$K$179,K121)+1)/2,"NA")</x:f>
        <x:v>119</x:v>
      </x:c>
      <x:c r="M121" s="30" t="n">
        <x:f>IF(COUNT('总览与权重'!$H$8:$K$8)=4,ROUND(100*SUMPRODUCT(E121:H121,'总览与权重'!$H$8:$K$8),12),"NA")</x:f>
        <x:v>35</x:v>
      </x:c>
      <x:c r="N121" s="30" t="n">
        <x:f>IF(ISNUMBER(M121),COUNTIFS($M$6:$M$179,"&gt;"&amp;M121)+(COUNTIFS($M$6:$M$179,M121)+1)/2,"NA")</x:f>
        <x:v>94</x:v>
      </x:c>
      <x:c r="O121" s="30" t="n">
        <x:f>IF(COUNT('总览与权重'!$H$9:$K$9)=4,ROUND(100*SUMPRODUCT(E121:H121,'总览与权重'!$H$9:$K$9),12),"NA")</x:f>
        <x:v>30</x:v>
      </x:c>
      <x:c r="P121" s="30" t="n">
        <x:f>IF(ISNUMBER(O121),COUNTIFS($O$6:$O$179,"&gt;"&amp;O121)+(COUNTIFS($O$6:$O$179,O121)+1)/2,"NA")</x:f>
        <x:v>104</x:v>
      </x:c>
      <x:c r="Q121" s="30" t="n">
        <x:f>IF(COUNT('总览与权重'!$H$10:$K$10)=4,ROUND(100*SUMPRODUCT(E121:H121,'总览与权重'!$H$10:$K$10),12),"NA")</x:f>
        <x:v>3.423964915513</x:v>
      </x:c>
      <x:c r="R121" s="30" t="n">
        <x:f>IF(ISNUMBER(Q121),COUNTIFS($Q$6:$Q$179,"&gt;"&amp;Q121)+(COUNTIFS($Q$6:$Q$179,Q121)+1)/2,"NA")</x:f>
        <x:v>128</x:v>
      </x:c>
      <x:c r="S121" s="31" t="n">
        <x:f>IF(OR(B121="s3",B121="s6"),COUNTIFS($B$6:$B$179,B121,$I$6:$I$179,"&gt;"&amp;I121)+(COUNTIFS($B$6:$B$179,B121,$I$6:$I$179,I121)+1)/2,"NA")</x:f>
        <x:v>94.5</x:v>
      </x:c>
      <x:c r="T121" s="26" t="str">
        <x:f>IF(COUNTIFS($I$6:$I$179,"&gt;"&amp;I121)&gt;=35,"非前20%",IF(COUNTIFS($I$6:$I$179,"&gt;="&amp;I121)&gt;=35,"边界同分","严格前20%"))</x:f>
        <x:v>非前20%</x:v>
      </x:c>
      <x:c r="U121" s="26" t="str">
        <x:f>IF(COUNTIFS($I$6:$I$179,"&lt;"&amp;I121)&gt;=35,"非后20%",IF(COUNTIFS($I$6:$I$179,"&lt;="&amp;I121)&gt;=35,"边界同分","严格后20%"))</x:f>
        <x:v>非后20%</x:v>
      </x:c>
      <x:c r="V121" s="26" t="n">
        <x:f>'基线调整'!I83</x:f>
        <x:v>62.494944055134</x:v>
      </x:c>
      <x:c r="W121" s="26" t="n">
        <x:f>'基线调整'!J83</x:f>
        <x:v>75</x:v>
      </x:c>
      <x:c r="X121" s="22" t="str">
        <x:v>["S0276"]</x:v>
      </x:c>
      <x:c r="Y121" s="22" t="str">
        <x:v>evidence/student_evidence.jsonl；student_key=2025秋:259921</x:v>
      </x:c>
      <x:c r="Z121" s="26" t="n">
        <x:f>IF(OR(B121="s3",B121="s6"),COUNTIFS($B$6:$B$179,B121,$K$6:$K$179,"&gt;"&amp;K121)+(COUNTIFS($B$6:$B$179,B121,$K$6:$K$179,K121)+1)/2,"NA")</x:f>
        <x:v>111.5</x:v>
      </x:c>
      <x:c r="AA121" s="26" t="n">
        <x:f>IF(OR(B121="s3",B121="s6"),COUNTIFS($B$6:$B$179,B121,$M$6:$M$179,"&gt;"&amp;M121)+(COUNTIFS($B$6:$B$179,B121,$M$6:$M$179,M121)+1)/2,"NA")</x:f>
        <x:v>89.5</x:v>
      </x:c>
      <x:c r="AB121" s="26" t="n">
        <x:f>IF(OR(B121="s3",B121="s6"),COUNTIFS($B$6:$B$179,B121,$O$6:$O$179,"&gt;"&amp;O121)+(COUNTIFS($B$6:$B$179,B121,$O$6:$O$179,O121)+1)/2,"NA")</x:f>
        <x:v>98.5</x:v>
      </x:c>
      <x:c r="AC121" s="26" t="n">
        <x:f>IF(OR(B121="s3",B121="s6"),COUNTIFS($B$6:$B$179,B121,$Q$6:$Q$179,"&gt;"&amp;Q121)+(COUNTIFS($B$6:$B$179,B121,$Q$6:$Q$179,Q121)+1)/2,"NA")</x:f>
        <x:v>120.5</x:v>
      </x:c>
    </x:row>
    <x:row r="122" ht="23" customHeight="1">
      <x:c r="A122" s="21" t="str">
        <x:v>2025秋:25A086</x:v>
      </x:c>
      <x:c r="B122" s="22" t="str">
        <x:v>s3</x:v>
      </x:c>
      <x:c r="C122" s="24" t="n">
        <x:v>1</x:v>
      </x:c>
      <x:c r="D122" s="24" t="n">
        <x:v>1</x:v>
      </x:c>
      <x:c r="E122" s="29" t="n">
        <x:f>'指标计算'!K135</x:f>
        <x:v>0</x:v>
      </x:c>
      <x:c r="F122" s="29" t="n">
        <x:f>'指标计算'!L135</x:f>
        <x:v>0</x:v>
      </x:c>
      <x:c r="G122" s="29" t="n">
        <x:f>'指标计算'!M135</x:f>
        <x:v>0</x:v>
      </x:c>
      <x:c r="H122" s="29" t="n">
        <x:f>'指标计算'!N135</x:f>
        <x:v>1</x:v>
      </x:c>
      <x:c r="I122" s="30" t="n">
        <x:f>IF(COUNT('总览与权重'!$H$6:$K$6)=4,ROUND(100*SUMPRODUCT(E122:H122,'总览与权重'!$H$6:$K$6),12),"NA")</x:f>
        <x:v>30</x:v>
      </x:c>
      <x:c r="J122" s="30" t="n">
        <x:f>IF(ISNUMBER(I122),COUNTIFS($I$6:$I$179,"&gt;"&amp;I122)+(COUNTIFS($I$6:$I$179,I122)+1)/2,"NA")</x:f>
        <x:v>100</x:v>
      </x:c>
      <x:c r="K122" s="30" t="n">
        <x:f>IF(COUNT('总览与权重'!$H$7:$K$7)=4,ROUND(100*SUMPRODUCT(E122:H122,'总览与权重'!$H$7:$K$7),12),"NA")</x:f>
        <x:v>20</x:v>
      </x:c>
      <x:c r="L122" s="30" t="n">
        <x:f>IF(ISNUMBER(K122),COUNTIFS($K$6:$K$179,"&gt;"&amp;K122)+(COUNTIFS($K$6:$K$179,K122)+1)/2,"NA")</x:f>
        <x:v>119</x:v>
      </x:c>
      <x:c r="M122" s="30" t="n">
        <x:f>IF(COUNT('总览与权重'!$H$8:$K$8)=4,ROUND(100*SUMPRODUCT(E122:H122,'总览与权重'!$H$8:$K$8),12),"NA")</x:f>
        <x:v>35</x:v>
      </x:c>
      <x:c r="N122" s="30" t="n">
        <x:f>IF(ISNUMBER(M122),COUNTIFS($M$6:$M$179,"&gt;"&amp;M122)+(COUNTIFS($M$6:$M$179,M122)+1)/2,"NA")</x:f>
        <x:v>94</x:v>
      </x:c>
      <x:c r="O122" s="30" t="n">
        <x:f>IF(COUNT('总览与权重'!$H$9:$K$9)=4,ROUND(100*SUMPRODUCT(E122:H122,'总览与权重'!$H$9:$K$9),12),"NA")</x:f>
        <x:v>30</x:v>
      </x:c>
      <x:c r="P122" s="30" t="n">
        <x:f>IF(ISNUMBER(O122),COUNTIFS($O$6:$O$179,"&gt;"&amp;O122)+(COUNTIFS($O$6:$O$179,O122)+1)/2,"NA")</x:f>
        <x:v>104</x:v>
      </x:c>
      <x:c r="Q122" s="30" t="n">
        <x:f>IF(COUNT('总览与权重'!$H$10:$K$10)=4,ROUND(100*SUMPRODUCT(E122:H122,'总览与权重'!$H$10:$K$10),12),"NA")</x:f>
        <x:v>3.423964915513</x:v>
      </x:c>
      <x:c r="R122" s="30" t="n">
        <x:f>IF(ISNUMBER(Q122),COUNTIFS($Q$6:$Q$179,"&gt;"&amp;Q122)+(COUNTIFS($Q$6:$Q$179,Q122)+1)/2,"NA")</x:f>
        <x:v>128</x:v>
      </x:c>
      <x:c r="S122" s="31" t="n">
        <x:f>IF(OR(B122="s3",B122="s6"),COUNTIFS($B$6:$B$179,B122,$I$6:$I$179,"&gt;"&amp;I122)+(COUNTIFS($B$6:$B$179,B122,$I$6:$I$179,I122)+1)/2,"NA")</x:f>
        <x:v>94.5</x:v>
      </x:c>
      <x:c r="T122" s="26" t="str">
        <x:f>IF(COUNTIFS($I$6:$I$179,"&gt;"&amp;I122)&gt;=35,"非前20%",IF(COUNTIFS($I$6:$I$179,"&gt;="&amp;I122)&gt;=35,"边界同分","严格前20%"))</x:f>
        <x:v>非前20%</x:v>
      </x:c>
      <x:c r="U122" s="26" t="str">
        <x:f>IF(COUNTIFS($I$6:$I$179,"&lt;"&amp;I122)&gt;=35,"非后20%",IF(COUNTIFS($I$6:$I$179,"&lt;="&amp;I122)&gt;=35,"边界同分","严格后20%"))</x:f>
        <x:v>非后20%</x:v>
      </x:c>
      <x:c r="V122" s="26" t="n">
        <x:f>'基线调整'!I90</x:f>
        <x:v>62.092916556433</x:v>
      </x:c>
      <x:c r="W122" s="26" t="n">
        <x:f>'基线调整'!J90</x:f>
        <x:v>83</x:v>
      </x:c>
      <x:c r="X122" s="22" t="str">
        <x:v>["S0246"]</x:v>
      </x:c>
      <x:c r="Y122" s="22" t="str">
        <x:v>evidence/student_evidence.jsonl；student_key=2025秋:25A086</x:v>
      </x:c>
      <x:c r="Z122" s="26" t="n">
        <x:f>IF(OR(B122="s3",B122="s6"),COUNTIFS($B$6:$B$179,B122,$K$6:$K$179,"&gt;"&amp;K122)+(COUNTIFS($B$6:$B$179,B122,$K$6:$K$179,K122)+1)/2,"NA")</x:f>
        <x:v>111.5</x:v>
      </x:c>
      <x:c r="AA122" s="26" t="n">
        <x:f>IF(OR(B122="s3",B122="s6"),COUNTIFS($B$6:$B$179,B122,$M$6:$M$179,"&gt;"&amp;M122)+(COUNTIFS($B$6:$B$179,B122,$M$6:$M$179,M122)+1)/2,"NA")</x:f>
        <x:v>89.5</x:v>
      </x:c>
      <x:c r="AB122" s="26" t="n">
        <x:f>IF(OR(B122="s3",B122="s6"),COUNTIFS($B$6:$B$179,B122,$O$6:$O$179,"&gt;"&amp;O122)+(COUNTIFS($B$6:$B$179,B122,$O$6:$O$179,O122)+1)/2,"NA")</x:f>
        <x:v>98.5</x:v>
      </x:c>
      <x:c r="AC122" s="26" t="n">
        <x:f>IF(OR(B122="s3",B122="s6"),COUNTIFS($B$6:$B$179,B122,$Q$6:$Q$179,"&gt;"&amp;Q122)+(COUNTIFS($B$6:$B$179,B122,$Q$6:$Q$179,Q122)+1)/2,"NA")</x:f>
        <x:v>120.5</x:v>
      </x:c>
    </x:row>
    <x:row r="123" ht="23" customHeight="1">
      <x:c r="A123" s="21" t="str">
        <x:v>2025秋:260001</x:v>
      </x:c>
      <x:c r="B123" s="22" t="str">
        <x:v>s3</x:v>
      </x:c>
      <x:c r="C123" s="24" t="n">
        <x:v>1</x:v>
      </x:c>
      <x:c r="D123" s="24" t="n">
        <x:v>1</x:v>
      </x:c>
      <x:c r="E123" s="29" t="n">
        <x:f>'指标计算'!K142</x:f>
        <x:v>0</x:v>
      </x:c>
      <x:c r="F123" s="29" t="n">
        <x:f>'指标计算'!L142</x:f>
        <x:v>0</x:v>
      </x:c>
      <x:c r="G123" s="29" t="n">
        <x:f>'指标计算'!M142</x:f>
        <x:v>0</x:v>
      </x:c>
      <x:c r="H123" s="29" t="n">
        <x:f>'指标计算'!N142</x:f>
        <x:v>1</x:v>
      </x:c>
      <x:c r="I123" s="30" t="n">
        <x:f>IF(COUNT('总览与权重'!$H$6:$K$6)=4,ROUND(100*SUMPRODUCT(E123:H123,'总览与权重'!$H$6:$K$6),12),"NA")</x:f>
        <x:v>30</x:v>
      </x:c>
      <x:c r="J123" s="30" t="n">
        <x:f>IF(ISNUMBER(I123),COUNTIFS($I$6:$I$179,"&gt;"&amp;I123)+(COUNTIFS($I$6:$I$179,I123)+1)/2,"NA")</x:f>
        <x:v>100</x:v>
      </x:c>
      <x:c r="K123" s="30" t="n">
        <x:f>IF(COUNT('总览与权重'!$H$7:$K$7)=4,ROUND(100*SUMPRODUCT(E123:H123,'总览与权重'!$H$7:$K$7),12),"NA")</x:f>
        <x:v>20</x:v>
      </x:c>
      <x:c r="L123" s="30" t="n">
        <x:f>IF(ISNUMBER(K123),COUNTIFS($K$6:$K$179,"&gt;"&amp;K123)+(COUNTIFS($K$6:$K$179,K123)+1)/2,"NA")</x:f>
        <x:v>119</x:v>
      </x:c>
      <x:c r="M123" s="30" t="n">
        <x:f>IF(COUNT('总览与权重'!$H$8:$K$8)=4,ROUND(100*SUMPRODUCT(E123:H123,'总览与权重'!$H$8:$K$8),12),"NA")</x:f>
        <x:v>35</x:v>
      </x:c>
      <x:c r="N123" s="30" t="n">
        <x:f>IF(ISNUMBER(M123),COUNTIFS($M$6:$M$179,"&gt;"&amp;M123)+(COUNTIFS($M$6:$M$179,M123)+1)/2,"NA")</x:f>
        <x:v>94</x:v>
      </x:c>
      <x:c r="O123" s="30" t="n">
        <x:f>IF(COUNT('总览与权重'!$H$9:$K$9)=4,ROUND(100*SUMPRODUCT(E123:H123,'总览与权重'!$H$9:$K$9),12),"NA")</x:f>
        <x:v>30</x:v>
      </x:c>
      <x:c r="P123" s="30" t="n">
        <x:f>IF(ISNUMBER(O123),COUNTIFS($O$6:$O$179,"&gt;"&amp;O123)+(COUNTIFS($O$6:$O$179,O123)+1)/2,"NA")</x:f>
        <x:v>104</x:v>
      </x:c>
      <x:c r="Q123" s="30" t="n">
        <x:f>IF(COUNT('总览与权重'!$H$10:$K$10)=4,ROUND(100*SUMPRODUCT(E123:H123,'总览与权重'!$H$10:$K$10),12),"NA")</x:f>
        <x:v>3.423964915513</x:v>
      </x:c>
      <x:c r="R123" s="30" t="n">
        <x:f>IF(ISNUMBER(Q123),COUNTIFS($Q$6:$Q$179,"&gt;"&amp;Q123)+(COUNTIFS($Q$6:$Q$179,Q123)+1)/2,"NA")</x:f>
        <x:v>128</x:v>
      </x:c>
      <x:c r="S123" s="31" t="n">
        <x:f>IF(OR(B123="s3",B123="s6"),COUNTIFS($B$6:$B$179,B123,$I$6:$I$179,"&gt;"&amp;I123)+(COUNTIFS($B$6:$B$179,B123,$I$6:$I$179,I123)+1)/2,"NA")</x:f>
        <x:v>94.5</x:v>
      </x:c>
      <x:c r="T123" s="26" t="str">
        <x:f>IF(COUNTIFS($I$6:$I$179,"&gt;"&amp;I123)&gt;=35,"非前20%",IF(COUNTIFS($I$6:$I$179,"&gt;="&amp;I123)&gt;=35,"边界同分","严格前20%"))</x:f>
        <x:v>非前20%</x:v>
      </x:c>
      <x:c r="U123" s="26" t="str">
        <x:f>IF(COUNTIFS($I$6:$I$179,"&lt;"&amp;I123)&gt;=35,"非后20%",IF(COUNTIFS($I$6:$I$179,"&lt;="&amp;I123)&gt;=35,"边界同分","严格后20%"))</x:f>
        <x:v>非后20%</x:v>
      </x:c>
      <x:c r="V123" s="26" t="n">
        <x:f>'基线调整'!I70</x:f>
        <x:v>63.026574811664</x:v>
      </x:c>
      <x:c r="W123" s="26" t="n">
        <x:f>'基线调整'!J70</x:f>
        <x:v>64</x:v>
      </x:c>
      <x:c r="X123" s="22" t="str">
        <x:v>["S0466"]</x:v>
      </x:c>
      <x:c r="Y123" s="22" t="str">
        <x:v>evidence/student_evidence.jsonl；student_key=2025秋:260001</x:v>
      </x:c>
      <x:c r="Z123" s="26" t="n">
        <x:f>IF(OR(B123="s3",B123="s6"),COUNTIFS($B$6:$B$179,B123,$K$6:$K$179,"&gt;"&amp;K123)+(COUNTIFS($B$6:$B$179,B123,$K$6:$K$179,K123)+1)/2,"NA")</x:f>
        <x:v>111.5</x:v>
      </x:c>
      <x:c r="AA123" s="26" t="n">
        <x:f>IF(OR(B123="s3",B123="s6"),COUNTIFS($B$6:$B$179,B123,$M$6:$M$179,"&gt;"&amp;M123)+(COUNTIFS($B$6:$B$179,B123,$M$6:$M$179,M123)+1)/2,"NA")</x:f>
        <x:v>89.5</x:v>
      </x:c>
      <x:c r="AB123" s="26" t="n">
        <x:f>IF(OR(B123="s3",B123="s6"),COUNTIFS($B$6:$B$179,B123,$O$6:$O$179,"&gt;"&amp;O123)+(COUNTIFS($B$6:$B$179,B123,$O$6:$O$179,O123)+1)/2,"NA")</x:f>
        <x:v>98.5</x:v>
      </x:c>
      <x:c r="AC123" s="26" t="n">
        <x:f>IF(OR(B123="s3",B123="s6"),COUNTIFS($B$6:$B$179,B123,$Q$6:$Q$179,"&gt;"&amp;Q123)+(COUNTIFS($B$6:$B$179,B123,$Q$6:$Q$179,Q123)+1)/2,"NA")</x:f>
        <x:v>120.5</x:v>
      </x:c>
    </x:row>
    <x:row r="124" ht="23" customHeight="1">
      <x:c r="A124" s="21" t="str">
        <x:v>2026春:268219</x:v>
      </x:c>
      <x:c r="B124" s="22" t="str">
        <x:v>s3</x:v>
      </x:c>
      <x:c r="C124" s="24" t="n">
        <x:v>1</x:v>
      </x:c>
      <x:c r="D124" s="24" t="n">
        <x:v>1</x:v>
      </x:c>
      <x:c r="E124" s="29" t="n">
        <x:f>'指标计算'!K170</x:f>
        <x:v>0</x:v>
      </x:c>
      <x:c r="F124" s="29" t="n">
        <x:f>'指标计算'!L170</x:f>
        <x:v>0</x:v>
      </x:c>
      <x:c r="G124" s="29" t="n">
        <x:f>'指标计算'!M170</x:f>
        <x:v>0</x:v>
      </x:c>
      <x:c r="H124" s="29" t="n">
        <x:f>'指标计算'!N170</x:f>
        <x:v>1</x:v>
      </x:c>
      <x:c r="I124" s="30" t="n">
        <x:f>IF(COUNT('总览与权重'!$H$6:$K$6)=4,ROUND(100*SUMPRODUCT(E124:H124,'总览与权重'!$H$6:$K$6),12),"NA")</x:f>
        <x:v>30</x:v>
      </x:c>
      <x:c r="J124" s="30" t="n">
        <x:f>IF(ISNUMBER(I124),COUNTIFS($I$6:$I$179,"&gt;"&amp;I124)+(COUNTIFS($I$6:$I$179,I124)+1)/2,"NA")</x:f>
        <x:v>100</x:v>
      </x:c>
      <x:c r="K124" s="30" t="n">
        <x:f>IF(COUNT('总览与权重'!$H$7:$K$7)=4,ROUND(100*SUMPRODUCT(E124:H124,'总览与权重'!$H$7:$K$7),12),"NA")</x:f>
        <x:v>20</x:v>
      </x:c>
      <x:c r="L124" s="30" t="n">
        <x:f>IF(ISNUMBER(K124),COUNTIFS($K$6:$K$179,"&gt;"&amp;K124)+(COUNTIFS($K$6:$K$179,K124)+1)/2,"NA")</x:f>
        <x:v>119</x:v>
      </x:c>
      <x:c r="M124" s="30" t="n">
        <x:f>IF(COUNT('总览与权重'!$H$8:$K$8)=4,ROUND(100*SUMPRODUCT(E124:H124,'总览与权重'!$H$8:$K$8),12),"NA")</x:f>
        <x:v>35</x:v>
      </x:c>
      <x:c r="N124" s="30" t="n">
        <x:f>IF(ISNUMBER(M124),COUNTIFS($M$6:$M$179,"&gt;"&amp;M124)+(COUNTIFS($M$6:$M$179,M124)+1)/2,"NA")</x:f>
        <x:v>94</x:v>
      </x:c>
      <x:c r="O124" s="30" t="n">
        <x:f>IF(COUNT('总览与权重'!$H$9:$K$9)=4,ROUND(100*SUMPRODUCT(E124:H124,'总览与权重'!$H$9:$K$9),12),"NA")</x:f>
        <x:v>30</x:v>
      </x:c>
      <x:c r="P124" s="30" t="n">
        <x:f>IF(ISNUMBER(O124),COUNTIFS($O$6:$O$179,"&gt;"&amp;O124)+(COUNTIFS($O$6:$O$179,O124)+1)/2,"NA")</x:f>
        <x:v>104</x:v>
      </x:c>
      <x:c r="Q124" s="30" t="n">
        <x:f>IF(COUNT('总览与权重'!$H$10:$K$10)=4,ROUND(100*SUMPRODUCT(E124:H124,'总览与权重'!$H$10:$K$10),12),"NA")</x:f>
        <x:v>3.423964915513</x:v>
      </x:c>
      <x:c r="R124" s="30" t="n">
        <x:f>IF(ISNUMBER(Q124),COUNTIFS($Q$6:$Q$179,"&gt;"&amp;Q124)+(COUNTIFS($Q$6:$Q$179,Q124)+1)/2,"NA")</x:f>
        <x:v>128</x:v>
      </x:c>
      <x:c r="S124" s="31" t="n">
        <x:f>IF(OR(B124="s3",B124="s6"),COUNTIFS($B$6:$B$179,B124,$I$6:$I$179,"&gt;"&amp;I124)+(COUNTIFS($B$6:$B$179,B124,$I$6:$I$179,I124)+1)/2,"NA")</x:f>
        <x:v>94.5</x:v>
      </x:c>
      <x:c r="T124" s="26" t="str">
        <x:f>IF(COUNTIFS($I$6:$I$179,"&gt;"&amp;I124)&gt;=35,"非前20%",IF(COUNTIFS($I$6:$I$179,"&gt;="&amp;I124)&gt;=35,"边界同分","严格前20%"))</x:f>
        <x:v>非前20%</x:v>
      </x:c>
      <x:c r="U124" s="26" t="str">
        <x:f>IF(COUNTIFS($I$6:$I$179,"&lt;"&amp;I124)&gt;=35,"非后20%",IF(COUNTIFS($I$6:$I$179,"&lt;="&amp;I124)&gt;=35,"边界同分","严格后20%"))</x:f>
        <x:v>非后20%</x:v>
      </x:c>
      <x:c r="V124" s="26" t="n">
        <x:f>'基线调整'!I64</x:f>
        <x:v>63.643689427756</x:v>
      </x:c>
      <x:c r="W124" s="26" t="n">
        <x:f>'基线调整'!J64</x:f>
        <x:v>58.5</x:v>
      </x:c>
      <x:c r="X124" s="22" t="str">
        <x:v>["S1094"]</x:v>
      </x:c>
      <x:c r="Y124" s="22" t="str">
        <x:v>evidence/student_evidence.jsonl；student_key=2026春:268219</x:v>
      </x:c>
      <x:c r="Z124" s="26" t="n">
        <x:f>IF(OR(B124="s3",B124="s6"),COUNTIFS($B$6:$B$179,B124,$K$6:$K$179,"&gt;"&amp;K124)+(COUNTIFS($B$6:$B$179,B124,$K$6:$K$179,K124)+1)/2,"NA")</x:f>
        <x:v>111.5</x:v>
      </x:c>
      <x:c r="AA124" s="26" t="n">
        <x:f>IF(OR(B124="s3",B124="s6"),COUNTIFS($B$6:$B$179,B124,$M$6:$M$179,"&gt;"&amp;M124)+(COUNTIFS($B$6:$B$179,B124,$M$6:$M$179,M124)+1)/2,"NA")</x:f>
        <x:v>89.5</x:v>
      </x:c>
      <x:c r="AB124" s="26" t="n">
        <x:f>IF(OR(B124="s3",B124="s6"),COUNTIFS($B$6:$B$179,B124,$O$6:$O$179,"&gt;"&amp;O124)+(COUNTIFS($B$6:$B$179,B124,$O$6:$O$179,O124)+1)/2,"NA")</x:f>
        <x:v>98.5</x:v>
      </x:c>
      <x:c r="AC124" s="26" t="n">
        <x:f>IF(OR(B124="s3",B124="s6"),COUNTIFS($B$6:$B$179,B124,$Q$6:$Q$179,"&gt;"&amp;Q124)+(COUNTIFS($B$6:$B$179,B124,$Q$6:$Q$179,Q124)+1)/2,"NA")</x:f>
        <x:v>120.5</x:v>
      </x:c>
    </x:row>
    <x:row r="125" ht="23" customHeight="1">
      <x:c r="A125" s="21" t="str">
        <x:v>2025秋:258976</x:v>
      </x:c>
      <x:c r="B125" s="22" t="str">
        <x:v>s3</x:v>
      </x:c>
      <x:c r="C125" s="24" t="n">
        <x:v>1</x:v>
      </x:c>
      <x:c r="D125" s="24" t="n">
        <x:v>1</x:v>
      </x:c>
      <x:c r="E125" s="29" t="n">
        <x:f>'指标计算'!K56</x:f>
        <x:v>0.02912047892382208</x:v>
      </x:c>
      <x:c r="F125" s="29" t="n">
        <x:f>'指标计算'!L56</x:f>
        <x:v>0.34944574708586496</x:v>
      </x:c>
      <x:c r="G125" s="29" t="n">
        <x:f>'指标计算'!M56</x:f>
        <x:v>0.34944574708586496</x:v>
      </x:c>
      <x:c r="H125" s="29" t="n">
        <x:f>'指标计算'!N56</x:f>
        <x:v>0.5</x:v>
      </x:c>
      <x:c r="I125" s="30" t="n">
        <x:f>IF(COUNT('总览与权重'!$H$6:$K$6)=4,ROUND(100*SUMPRODUCT(E125:H125,'总览与权重'!$H$6:$K$6),12),"NA")</x:f>
        <x:v>29.851444251149</x:v>
      </x:c>
      <x:c r="J125" s="30" t="n">
        <x:f>IF(ISNUMBER(I125),COUNTIFS($I$6:$I$179,"&gt;"&amp;I125)+(COUNTIFS($I$6:$I$179,I125)+1)/2,"NA")</x:f>
        <x:v>120</x:v>
      </x:c>
      <x:c r="K125" s="30" t="n">
        <x:f>IF(COUNT('总览与权重'!$H$7:$K$7)=4,ROUND(100*SUMPRODUCT(E125:H125,'总览与权重'!$H$7:$K$7),12),"NA")</x:f>
        <x:v>31.549154403628</x:v>
      </x:c>
      <x:c r="L125" s="30" t="n">
        <x:f>IF(ISNUMBER(K125),COUNTIFS($K$6:$K$179,"&gt;"&amp;K125)+(COUNTIFS($K$6:$K$179,K125)+1)/2,"NA")</x:f>
        <x:v>68</x:v>
      </x:c>
      <x:c r="M125" s="30" t="n">
        <x:f>IF(COUNT('总览与权重'!$H$8:$K$8)=4,ROUND(100*SUMPRODUCT(E125:H125,'总览与权重'!$H$8:$K$8),12),"NA")</x:f>
        <x:v>32.20584185653</x:v>
      </x:c>
      <x:c r="N125" s="30" t="n">
        <x:f>IF(ISNUMBER(M125),COUNTIFS($M$6:$M$179,"&gt;"&amp;M125)+(COUNTIFS($M$6:$M$179,M125)+1)/2,"NA")</x:f>
        <x:v>120</x:v>
      </x:c>
      <x:c r="O125" s="30" t="n">
        <x:f>IF(COUNT('总览与权重'!$H$9:$K$9)=4,ROUND(100*SUMPRODUCT(E125:H125,'总览与权重'!$H$9:$K$9),12),"NA")</x:f>
        <x:v>31.97440664667</x:v>
      </x:c>
      <x:c r="P125" s="30" t="n">
        <x:f>IF(ISNUMBER(O125),COUNTIFS($O$6:$O$179,"&gt;"&amp;O125)+(COUNTIFS($O$6:$O$179,O125)+1)/2,"NA")</x:f>
        <x:v>82</x:v>
      </x:c>
      <x:c r="Q125" s="30" t="n">
        <x:f>IF(COUNT('总览与权重'!$H$10:$K$10)=4,ROUND(100*SUMPRODUCT(E125:H125,'总览与权重'!$H$10:$K$10),12),"NA")</x:f>
        <x:v>25.130852341288</x:v>
      </x:c>
      <x:c r="R125" s="30" t="n">
        <x:f>IF(ISNUMBER(Q125),COUNTIFS($Q$6:$Q$179,"&gt;"&amp;Q125)+(COUNTIFS($Q$6:$Q$179,Q125)+1)/2,"NA")</x:f>
        <x:v>68</x:v>
      </x:c>
      <x:c r="S125" s="31" t="n">
        <x:f>IF(OR(B125="s3",B125="s6"),COUNTIFS($B$6:$B$179,B125,$I$6:$I$179,"&gt;"&amp;I125)+(COUNTIFS($B$6:$B$179,B125,$I$6:$I$179,I125)+1)/2,"NA")</x:f>
        <x:v>114</x:v>
      </x:c>
      <x:c r="T125" s="26" t="str">
        <x:f>IF(COUNTIFS($I$6:$I$179,"&gt;"&amp;I125)&gt;=35,"非前20%",IF(COUNTIFS($I$6:$I$179,"&gt;="&amp;I125)&gt;=35,"边界同分","严格前20%"))</x:f>
        <x:v>非前20%</x:v>
      </x:c>
      <x:c r="U125" s="26" t="str">
        <x:f>IF(COUNTIFS($I$6:$I$179,"&lt;"&amp;I125)&gt;=35,"非后20%",IF(COUNTIFS($I$6:$I$179,"&lt;="&amp;I125)&gt;=35,"边界同分","严格后20%"))</x:f>
        <x:v>非后20%</x:v>
      </x:c>
      <x:c r="V125" s="26" t="n">
        <x:f>'基线调整'!I115</x:f>
        <x:v>54.920666180708</x:v>
      </x:c>
      <x:c r="W125" s="26" t="n">
        <x:f>'基线调整'!J115</x:f>
        <x:v>110</x:v>
      </x:c>
      <x:c r="X125" s="22" t="str">
        <x:v>["S0486"]</x:v>
      </x:c>
      <x:c r="Y125" s="22" t="str">
        <x:v>evidence/student_evidence.jsonl；student_key=2025秋:258976</x:v>
      </x:c>
      <x:c r="Z125" s="26" t="n">
        <x:f>IF(OR(B125="s3",B125="s6"),COUNTIFS($B$6:$B$179,B125,$K$6:$K$179,"&gt;"&amp;K125)+(COUNTIFS($B$6:$B$179,B125,$K$6:$K$179,K125)+1)/2,"NA")</x:f>
        <x:v>63</x:v>
      </x:c>
      <x:c r="AA125" s="26" t="n">
        <x:f>IF(OR(B125="s3",B125="s6"),COUNTIFS($B$6:$B$179,B125,$M$6:$M$179,"&gt;"&amp;M125)+(COUNTIFS($B$6:$B$179,B125,$M$6:$M$179,M125)+1)/2,"NA")</x:f>
        <x:v>114</x:v>
      </x:c>
      <x:c r="AB125" s="26" t="n">
        <x:f>IF(OR(B125="s3",B125="s6"),COUNTIFS($B$6:$B$179,B125,$O$6:$O$179,"&gt;"&amp;O125)+(COUNTIFS($B$6:$B$179,B125,$O$6:$O$179,O125)+1)/2,"NA")</x:f>
        <x:v>77</x:v>
      </x:c>
      <x:c r="AC125" s="26" t="n">
        <x:f>IF(OR(B125="s3",B125="s6"),COUNTIFS($B$6:$B$179,B125,$Q$6:$Q$179,"&gt;"&amp;Q125)+(COUNTIFS($B$6:$B$179,B125,$Q$6:$Q$179,Q125)+1)/2,"NA")</x:f>
        <x:v>64</x:v>
      </x:c>
    </x:row>
    <x:row r="126" ht="23" customHeight="1">
      <x:c r="A126" s="21" t="str">
        <x:v>2025秋:258932</x:v>
      </x:c>
      <x:c r="B126" s="22" t="str">
        <x:v>s3</x:v>
      </x:c>
      <x:c r="C126" s="24" t="n">
        <x:v>2</x:v>
      </x:c>
      <x:c r="D126" s="24" t="n">
        <x:v>2</x:v>
      </x:c>
      <x:c r="E126" s="29" t="n">
        <x:f>'指标计算'!K46</x:f>
        <x:v>0.026735138499844383</x:v>
      </x:c>
      <x:c r="F126" s="29" t="n">
        <x:f>'指标计算'!L46</x:f>
        <x:v>0.1604108309990663</x:v>
      </x:c>
      <x:c r="G126" s="29" t="n">
        <x:f>'指标计算'!M46</x:f>
        <x:v>0.3208216619981326</x:v>
      </x:c>
      <x:c r="H126" s="29" t="n">
        <x:f>'指标计算'!N46</x:f>
        <x:v>0.6666666666666666</x:v>
      </x:c>
      <x:c r="I126" s="30" t="n">
        <x:f>IF(COUNT('总览与权重'!$H$6:$K$6)=4,ROUND(100*SUMPRODUCT(E126:H126,'总览与权重'!$H$6:$K$6),12),"NA")</x:f>
        <x:v>29.624649859944</x:v>
      </x:c>
      <x:c r="J126" s="30" t="n">
        <x:f>IF(ISNUMBER(I126),COUNTIFS($I$6:$I$179,"&gt;"&amp;I126)+(COUNTIFS($I$6:$I$179,I126)+1)/2,"NA")</x:f>
        <x:v>121</x:v>
      </x:c>
      <x:c r="K126" s="30" t="n">
        <x:f>IF(COUNT('总览与权重'!$H$7:$K$7)=4,ROUND(100*SUMPRODUCT(E126:H126,'总览与权重'!$H$7:$K$7),12),"NA")</x:f>
        <x:v>29.909119203237</x:v>
      </x:c>
      <x:c r="L126" s="30" t="n">
        <x:f>IF(ISNUMBER(K126),COUNTIFS($K$6:$K$179,"&gt;"&amp;K126)+(COUNTIFS($K$6:$K$179,K126)+1)/2,"NA")</x:f>
        <x:v>76</x:v>
      </x:c>
      <x:c r="M126" s="30" t="n">
        <x:f>IF(COUNT('总览与权重'!$H$8:$K$8)=4,ROUND(100*SUMPRODUCT(E126:H126,'总览与权重'!$H$8:$K$8),12),"NA")</x:f>
        <x:v>32.022253345783</x:v>
      </x:c>
      <x:c r="N126" s="30" t="n">
        <x:f>IF(ISNUMBER(M126),COUNTIFS($M$6:$M$179,"&gt;"&amp;M126)+(COUNTIFS($M$6:$M$179,M126)+1)/2,"NA")</x:f>
        <x:v>121</x:v>
      </x:c>
      <x:c r="O126" s="30" t="n">
        <x:f>IF(COUNT('总览与权重'!$H$9:$K$9)=4,ROUND(100*SUMPRODUCT(E126:H126,'总览与权重'!$H$9:$K$9),12),"NA")</x:f>
        <x:v>31.813648620735</x:v>
      </x:c>
      <x:c r="P126" s="30" t="n">
        <x:f>IF(ISNUMBER(O126),COUNTIFS($O$6:$O$179,"&gt;"&amp;O126)+(COUNTIFS($O$6:$O$179,O126)+1)/2,"NA")</x:f>
        <x:v>83</x:v>
      </x:c>
      <x:c r="Q126" s="30" t="n">
        <x:f>IF(COUNT('总览与权重'!$H$10:$K$10)=4,ROUND(100*SUMPRODUCT(E126:H126,'总览与权重'!$H$10:$K$10),12),"NA")</x:f>
        <x:v>18.581433900893</x:v>
      </x:c>
      <x:c r="R126" s="30" t="n">
        <x:f>IF(ISNUMBER(Q126),COUNTIFS($Q$6:$Q$179,"&gt;"&amp;Q126)+(COUNTIFS($Q$6:$Q$179,Q126)+1)/2,"NA")</x:f>
        <x:v>82</x:v>
      </x:c>
      <x:c r="S126" s="31" t="n">
        <x:f>IF(OR(B126="s3",B126="s6"),COUNTIFS($B$6:$B$179,B126,$I$6:$I$179,"&gt;"&amp;I126)+(COUNTIFS($B$6:$B$179,B126,$I$6:$I$179,I126)+1)/2,"NA")</x:f>
        <x:v>115</x:v>
      </x:c>
      <x:c r="T126" s="26" t="str">
        <x:f>IF(COUNTIFS($I$6:$I$179,"&gt;"&amp;I126)&gt;=35,"非前20%",IF(COUNTIFS($I$6:$I$179,"&gt;="&amp;I126)&gt;=35,"边界同分","严格前20%"))</x:f>
        <x:v>非前20%</x:v>
      </x:c>
      <x:c r="U126" s="26" t="str">
        <x:f>IF(COUNTIFS($I$6:$I$179,"&lt;"&amp;I126)&gt;=35,"非后20%",IF(COUNTIFS($I$6:$I$179,"&lt;="&amp;I126)&gt;=35,"边界同分","严格后20%"))</x:f>
        <x:v>非后20%</x:v>
      </x:c>
      <x:c r="V126" s="26" t="n">
        <x:f>'基线调整'!I111</x:f>
        <x:v>57.051813193082</x:v>
      </x:c>
      <x:c r="W126" s="26" t="n">
        <x:f>'基线调整'!J111</x:f>
        <x:v>106</x:v>
      </x:c>
      <x:c r="X126" s="22" t="str">
        <x:v>["S0059","S0409"]</x:v>
      </x:c>
      <x:c r="Y126" s="22" t="str">
        <x:v>evidence/student_evidence.jsonl；student_key=2025秋:258932</x:v>
      </x:c>
      <x:c r="Z126" s="26" t="n">
        <x:f>IF(OR(B126="s3",B126="s6"),COUNTIFS($B$6:$B$179,B126,$K$6:$K$179,"&gt;"&amp;K126)+(COUNTIFS($B$6:$B$179,B126,$K$6:$K$179,K126)+1)/2,"NA")</x:f>
        <x:v>71</x:v>
      </x:c>
      <x:c r="AA126" s="26" t="n">
        <x:f>IF(OR(B126="s3",B126="s6"),COUNTIFS($B$6:$B$179,B126,$M$6:$M$179,"&gt;"&amp;M126)+(COUNTIFS($B$6:$B$179,B126,$M$6:$M$179,M126)+1)/2,"NA")</x:f>
        <x:v>115</x:v>
      </x:c>
      <x:c r="AB126" s="26" t="n">
        <x:f>IF(OR(B126="s3",B126="s6"),COUNTIFS($B$6:$B$179,B126,$O$6:$O$179,"&gt;"&amp;O126)+(COUNTIFS($B$6:$B$179,B126,$O$6:$O$179,O126)+1)/2,"NA")</x:f>
        <x:v>78</x:v>
      </x:c>
      <x:c r="AC126" s="26" t="n">
        <x:f>IF(OR(B126="s3",B126="s6"),COUNTIFS($B$6:$B$179,B126,$Q$6:$Q$179,"&gt;"&amp;Q126)+(COUNTIFS($B$6:$B$179,B126,$Q$6:$Q$179,Q126)+1)/2,"NA")</x:f>
        <x:v>78</x:v>
      </x:c>
    </x:row>
    <x:row r="127" ht="23" customHeight="1">
      <x:c r="A127" s="21" t="str">
        <x:v>2025秋:258892</x:v>
      </x:c>
      <x:c r="B127" s="22" t="str">
        <x:v>s3</x:v>
      </x:c>
      <x:c r="C127" s="24" t="n">
        <x:v>2</x:v>
      </x:c>
      <x:c r="D127" s="24" t="n">
        <x:v>2</x:v>
      </x:c>
      <x:c r="E127" s="29" t="n">
        <x:f>'指标计算'!K32</x:f>
        <x:v>0.04058544532349457</x:v>
      </x:c>
      <x:c r="F127" s="29" t="n">
        <x:f>'指标计算'!L32</x:f>
        <x:v>0.24351267194096743</x:v>
      </x:c>
      <x:c r="G127" s="29" t="n">
        <x:f>'指标计算'!M32</x:f>
        <x:v>0.48702534388193486</x:v>
      </x:c>
      <x:c r="H127" s="29" t="n">
        <x:f>'指标计算'!N32</x:f>
        <x:v>0.5</x:v>
      </x:c>
      <x:c r="I127" s="30" t="n">
        <x:f>IF(COUNT('总览与权重'!$H$6:$K$6)=4,ROUND(100*SUMPRODUCT(E127:H127,'总览与权重'!$H$6:$K$6),12),"NA")</x:f>
        <x:v>29.610760316458</x:v>
      </x:c>
      <x:c r="J127" s="30" t="n">
        <x:f>IF(ISNUMBER(I127),COUNTIFS($I$6:$I$179,"&gt;"&amp;I127)+(COUNTIFS($I$6:$I$179,I127)+1)/2,"NA")</x:f>
        <x:v>122</x:v>
      </x:c>
      <x:c r="K127" s="30" t="n">
        <x:f>IF(COUNT('总览与权重'!$H$7:$K$7)=4,ROUND(100*SUMPRODUCT(E127:H127,'总览与权重'!$H$7:$K$7),12),"NA")</x:f>
        <x:v>35.162976100567</x:v>
      </x:c>
      <x:c r="L127" s="30" t="n">
        <x:f>IF(ISNUMBER(K127),COUNTIFS($K$6:$K$179,"&gt;"&amp;K127)+(COUNTIFS($K$6:$K$179,K127)+1)/2,"NA")</x:f>
        <x:v>59</x:v>
      </x:c>
      <x:c r="M127" s="30" t="n">
        <x:f>IF(COUNT('总览与权重'!$H$8:$K$8)=4,ROUND(100*SUMPRODUCT(E127:H127,'总览与权重'!$H$8:$K$8),12),"NA")</x:f>
        <x:v>30.690269730136</x:v>
      </x:c>
      <x:c r="N127" s="30" t="n">
        <x:f>IF(ISNUMBER(M127),COUNTIFS($M$6:$M$179,"&gt;"&amp;M127)+(COUNTIFS($M$6:$M$179,M127)+1)/2,"NA")</x:f>
        <x:v>122</x:v>
      </x:c>
      <x:c r="O127" s="30" t="n">
        <x:f>IF(COUNT('总览与权重'!$H$9:$K$9)=4,ROUND(100*SUMPRODUCT(E127:H127,'总览与权重'!$H$9:$K$9),12),"NA")</x:f>
        <x:v>32.933783667161</x:v>
      </x:c>
      <x:c r="P127" s="30" t="n">
        <x:f>IF(ISNUMBER(O127),COUNTIFS($O$6:$O$179,"&gt;"&amp;O127)+(COUNTIFS($O$6:$O$179,O127)+1)/2,"NA")</x:f>
        <x:v>80</x:v>
      </x:c>
      <x:c r="Q127" s="30" t="n">
        <x:f>IF(COUNT('总览与权重'!$H$10:$K$10)=4,ROUND(100*SUMPRODUCT(E127:H127,'总览与权重'!$H$10:$K$10),12),"NA")</x:f>
        <x:v>26.454464181147</x:v>
      </x:c>
      <x:c r="R127" s="30" t="n">
        <x:f>IF(ISNUMBER(Q127),COUNTIFS($Q$6:$Q$179,"&gt;"&amp;Q127)+(COUNTIFS($Q$6:$Q$179,Q127)+1)/2,"NA")</x:f>
        <x:v>56</x:v>
      </x:c>
      <x:c r="S127" s="31" t="n">
        <x:f>IF(OR(B127="s3",B127="s6"),COUNTIFS($B$6:$B$179,B127,$I$6:$I$179,"&gt;"&amp;I127)+(COUNTIFS($B$6:$B$179,B127,$I$6:$I$179,I127)+1)/2,"NA")</x:f>
        <x:v>116</x:v>
      </x:c>
      <x:c r="T127" s="26" t="str">
        <x:f>IF(COUNTIFS($I$6:$I$179,"&gt;"&amp;I127)&gt;=35,"非前20%",IF(COUNTIFS($I$6:$I$179,"&gt;="&amp;I127)&gt;=35,"边界同分","严格前20%"))</x:f>
        <x:v>非前20%</x:v>
      </x:c>
      <x:c r="U127" s="26" t="str">
        <x:f>IF(COUNTIFS($I$6:$I$179,"&lt;"&amp;I127)&gt;=35,"非后20%",IF(COUNTIFS($I$6:$I$179,"&lt;="&amp;I127)&gt;=35,"边界同分","严格后20%"))</x:f>
        <x:v>非后20%</x:v>
      </x:c>
      <x:c r="V127" s="26" t="n">
        <x:f>'基线调整'!I134</x:f>
        <x:v>48.00320181785</x:v>
      </x:c>
      <x:c r="W127" s="26" t="n">
        <x:f>'基线调整'!J134</x:f>
        <x:v>129</x:v>
      </x:c>
      <x:c r="X127" s="22" t="str">
        <x:v>["S0095","S0473"]</x:v>
      </x:c>
      <x:c r="Y127" s="22" t="str">
        <x:v>evidence/student_evidence.jsonl；student_key=2025秋:258892</x:v>
      </x:c>
      <x:c r="Z127" s="26" t="n">
        <x:f>IF(OR(B127="s3",B127="s6"),COUNTIFS($B$6:$B$179,B127,$K$6:$K$179,"&gt;"&amp;K127)+(COUNTIFS($B$6:$B$179,B127,$K$6:$K$179,K127)+1)/2,"NA")</x:f>
        <x:v>56</x:v>
      </x:c>
      <x:c r="AA127" s="26" t="n">
        <x:f>IF(OR(B127="s3",B127="s6"),COUNTIFS($B$6:$B$179,B127,$M$6:$M$179,"&gt;"&amp;M127)+(COUNTIFS($B$6:$B$179,B127,$M$6:$M$179,M127)+1)/2,"NA")</x:f>
        <x:v>116</x:v>
      </x:c>
      <x:c r="AB127" s="26" t="n">
        <x:f>IF(OR(B127="s3",B127="s6"),COUNTIFS($B$6:$B$179,B127,$O$6:$O$179,"&gt;"&amp;O127)+(COUNTIFS($B$6:$B$179,B127,$O$6:$O$179,O127)+1)/2,"NA")</x:f>
        <x:v>75</x:v>
      </x:c>
      <x:c r="AC127" s="26" t="n">
        <x:f>IF(OR(B127="s3",B127="s6"),COUNTIFS($B$6:$B$179,B127,$Q$6:$Q$179,"&gt;"&amp;Q127)+(COUNTIFS($B$6:$B$179,B127,$Q$6:$Q$179,Q127)+1)/2,"NA")</x:f>
        <x:v>52</x:v>
      </x:c>
    </x:row>
    <x:row r="128" ht="23" customHeight="1">
      <x:c r="A128" s="21" t="str">
        <x:v>2026春:268115</x:v>
      </x:c>
      <x:c r="B128" s="22" t="str">
        <x:v>s3</x:v>
      </x:c>
      <x:c r="C128" s="24" t="n">
        <x:v>1</x:v>
      </x:c>
      <x:c r="D128" s="24" t="n">
        <x:v>1</x:v>
      </x:c>
      <x:c r="E128" s="29" t="n">
        <x:f>'指标计算'!K150</x:f>
        <x:v>0.0317500345509234</x:v>
      </x:c>
      <x:c r="F128" s="29" t="n">
        <x:f>'指标计算'!L150</x:f>
        <x:v>0.3810004146110808</x:v>
      </x:c>
      <x:c r="G128" s="29" t="n">
        <x:f>'指标计算'!M150</x:f>
        <x:v>0.3810004146110808</x:v>
      </x:c>
      <x:c r="H128" s="29" t="n">
        <x:f>'指标计算'!N150</x:f>
        <x:v>0.4</x:v>
      </x:c>
      <x:c r="I128" s="30" t="n">
        <x:f>IF(COUNT('总览与权重'!$H$6:$K$6)=4,ROUND(100*SUMPRODUCT(E128:H128,'总览与权重'!$H$6:$K$6),12),"NA")</x:f>
        <x:v>28.192517620971</x:v>
      </x:c>
      <x:c r="J128" s="30" t="n">
        <x:f>IF(ISNUMBER(I128),COUNTIFS($I$6:$I$179,"&gt;"&amp;I128)+(COUNTIFS($I$6:$I$179,I128)+1)/2,"NA")</x:f>
        <x:v>123</x:v>
      </x:c>
      <x:c r="K128" s="30" t="n">
        <x:f>IF(COUNT('总览与权重'!$H$7:$K$7)=4,ROUND(100*SUMPRODUCT(E128:H128,'总览与权重'!$H$7:$K$7),12),"NA")</x:f>
        <x:v>31.495025567683</x:v>
      </x:c>
      <x:c r="L128" s="30" t="n">
        <x:f>IF(ISNUMBER(K128),COUNTIFS($K$6:$K$179,"&gt;"&amp;K128)+(COUNTIFS($K$6:$K$179,K128)+1)/2,"NA")</x:f>
        <x:v>69</x:v>
      </x:c>
      <x:c r="M128" s="30" t="n">
        <x:f>IF(COUNT('总览与权重'!$H$8:$K$8)=4,ROUND(100*SUMPRODUCT(E128:H128,'总览与权重'!$H$8:$K$8),12),"NA")</x:f>
        <x:v>30.033767448216</x:v>
      </x:c>
      <x:c r="N128" s="30" t="n">
        <x:f>IF(ISNUMBER(M128),COUNTIFS($M$6:$M$179,"&gt;"&amp;M128)+(COUNTIFS($M$6:$M$179,M128)+1)/2,"NA")</x:f>
        <x:v>123</x:v>
      </x:c>
      <x:c r="O128" s="30" t="n">
        <x:f>IF(COUNT('总览与权重'!$H$9:$K$9)=4,ROUND(100*SUMPRODUCT(E128:H128,'总览与权重'!$H$9:$K$9),12),"NA")</x:f>
        <x:v>30.507181798866</x:v>
      </x:c>
      <x:c r="P128" s="30" t="n">
        <x:f>IF(ISNUMBER(O128),COUNTIFS($O$6:$O$179,"&gt;"&amp;O128)+(COUNTIFS($O$6:$O$179,O128)+1)/2,"NA")</x:f>
        <x:v>84</x:v>
      </x:c>
      <x:c r="Q128" s="30" t="n">
        <x:f>IF(COUNT('总览与权重'!$H$10:$K$10)=4,ROUND(100*SUMPRODUCT(E128:H128,'总览与权重'!$H$10:$K$10),12),"NA")</x:f>
        <x:v>26.903160805094</x:v>
      </x:c>
      <x:c r="R128" s="30" t="n">
        <x:f>IF(ISNUMBER(Q128),COUNTIFS($Q$6:$Q$179,"&gt;"&amp;Q128)+(COUNTIFS($Q$6:$Q$179,Q128)+1)/2,"NA")</x:f>
        <x:v>48</x:v>
      </x:c>
      <x:c r="S128" s="31" t="n">
        <x:f>IF(OR(B128="s3",B128="s6"),COUNTIFS($B$6:$B$179,B128,$I$6:$I$179,"&gt;"&amp;I128)+(COUNTIFS($B$6:$B$179,B128,$I$6:$I$179,I128)+1)/2,"NA")</x:f>
        <x:v>117</x:v>
      </x:c>
      <x:c r="T128" s="26" t="str">
        <x:f>IF(COUNTIFS($I$6:$I$179,"&gt;"&amp;I128)&gt;=35,"非前20%",IF(COUNTIFS($I$6:$I$179,"&gt;="&amp;I128)&gt;=35,"边界同分","严格前20%"))</x:f>
        <x:v>非前20%</x:v>
      </x:c>
      <x:c r="U128" s="26" t="str">
        <x:f>IF(COUNTIFS($I$6:$I$179,"&lt;"&amp;I128)&gt;=35,"非后20%",IF(COUNTIFS($I$6:$I$179,"&lt;="&amp;I128)&gt;=35,"边界同分","严格后20%"))</x:f>
        <x:v>非后20%</x:v>
      </x:c>
      <x:c r="V128" s="26" t="n">
        <x:f>'基线调整'!I119</x:f>
        <x:v>52.188572740373</x:v>
      </x:c>
      <x:c r="W128" s="26" t="n">
        <x:f>'基线调整'!J119</x:f>
        <x:v>114</x:v>
      </x:c>
      <x:c r="X128" s="22" t="str">
        <x:v>["S0897"]</x:v>
      </x:c>
      <x:c r="Y128" s="22" t="str">
        <x:v>evidence/student_evidence.jsonl；student_key=2026春:268115</x:v>
      </x:c>
      <x:c r="Z128" s="26" t="n">
        <x:f>IF(OR(B128="s3",B128="s6"),COUNTIFS($B$6:$B$179,B128,$K$6:$K$179,"&gt;"&amp;K128)+(COUNTIFS($B$6:$B$179,B128,$K$6:$K$179,K128)+1)/2,"NA")</x:f>
        <x:v>64</x:v>
      </x:c>
      <x:c r="AA128" s="26" t="n">
        <x:f>IF(OR(B128="s3",B128="s6"),COUNTIFS($B$6:$B$179,B128,$M$6:$M$179,"&gt;"&amp;M128)+(COUNTIFS($B$6:$B$179,B128,$M$6:$M$179,M128)+1)/2,"NA")</x:f>
        <x:v>117</x:v>
      </x:c>
      <x:c r="AB128" s="26" t="n">
        <x:f>IF(OR(B128="s3",B128="s6"),COUNTIFS($B$6:$B$179,B128,$O$6:$O$179,"&gt;"&amp;O128)+(COUNTIFS($B$6:$B$179,B128,$O$6:$O$179,O128)+1)/2,"NA")</x:f>
        <x:v>79</x:v>
      </x:c>
      <x:c r="AC128" s="26" t="n">
        <x:f>IF(OR(B128="s3",B128="s6"),COUNTIFS($B$6:$B$179,B128,$Q$6:$Q$179,"&gt;"&amp;Q128)+(COUNTIFS($B$6:$B$179,B128,$Q$6:$Q$179,Q128)+1)/2,"NA")</x:f>
        <x:v>44</x:v>
      </x:c>
    </x:row>
    <x:row r="129" ht="23" customHeight="1">
      <x:c r="A129" s="21" t="str">
        <x:v>2025秋:25A146</x:v>
      </x:c>
      <x:c r="B129" s="22" t="str">
        <x:v>s3</x:v>
      </x:c>
      <x:c r="C129" s="24" t="n">
        <x:v>1</x:v>
      </x:c>
      <x:c r="D129" s="24" t="n">
        <x:v>1</x:v>
      </x:c>
      <x:c r="E129" s="29" t="n">
        <x:f>'指标计算'!K137</x:f>
        <x:v>0.024388956049300373</x:v>
      </x:c>
      <x:c r="F129" s="29" t="n">
        <x:f>'指标计算'!L137</x:f>
        <x:v>0.29266747259160447</x:v>
      </x:c>
      <x:c r="G129" s="29" t="n">
        <x:f>'指标计算'!M137</x:f>
        <x:v>0.29266747259160447</x:v>
      </x:c>
      <x:c r="H129" s="29" t="n">
        <x:f>'指标计算'!N137</x:f>
        <x:v>0.5</x:v>
      </x:c>
      <x:c r="I129" s="30" t="n">
        <x:f>IF(COUNT('总览与权重'!$H$6:$K$6)=4,ROUND(100*SUMPRODUCT(E129:H129,'总览与权重'!$H$6:$K$6),12),"NA")</x:f>
        <x:v>27.438367585143</x:v>
      </x:c>
      <x:c r="J129" s="30" t="n">
        <x:f>IF(ISNUMBER(I129),COUNTIFS($I$6:$I$179,"&gt;"&amp;I129)+(COUNTIFS($I$6:$I$179,I129)+1)/2,"NA")</x:f>
        <x:v>124</x:v>
      </x:c>
      <x:c r="K129" s="30" t="n">
        <x:f>IF(COUNT('总览与权重'!$H$7:$K$7)=4,ROUND(100*SUMPRODUCT(E129:H129,'总览与权重'!$H$7:$K$7),12),"NA")</x:f>
        <x:v>28.047827476482</x:v>
      </x:c>
      <x:c r="L129" s="30" t="n">
        <x:f>IF(ISNUMBER(K129),COUNTIFS($K$6:$K$179,"&gt;"&amp;K129)+(COUNTIFS($K$6:$K$179,K129)+1)/2,"NA")</x:f>
        <x:v>85</x:v>
      </x:c>
      <x:c r="M129" s="30" t="n">
        <x:f>IF(COUNT('总览与权重'!$H$8:$K$8)=4,ROUND(100*SUMPRODUCT(E129:H129,'总览与权重'!$H$8:$K$8),12),"NA")</x:f>
        <x:v>29.816422804897</x:v>
      </x:c>
      <x:c r="N129" s="30" t="n">
        <x:f>IF(ISNUMBER(M129),COUNTIFS($M$6:$M$179,"&gt;"&amp;M129)+(COUNTIFS($M$6:$M$179,M129)+1)/2,"NA")</x:f>
        <x:v>124</x:v>
      </x:c>
      <x:c r="O129" s="30" t="n">
        <x:f>IF(COUNT('总览与权重'!$H$9:$K$9)=4,ROUND(100*SUMPRODUCT(E129:H129,'总览与权重'!$H$9:$K$9),12),"NA")</x:f>
        <x:v>29.216389048806</x:v>
      </x:c>
      <x:c r="P129" s="30" t="n">
        <x:f>IF(ISNUMBER(O129),COUNTIFS($O$6:$O$179,"&gt;"&amp;O129)+(COUNTIFS($O$6:$O$179,O129)+1)/2,"NA")</x:f>
        <x:v>125</x:v>
      </x:c>
      <x:c r="Q129" s="30" t="n">
        <x:f>IF(COUNT('总览与权重'!$H$10:$K$10)=4,ROUND(100*SUMPRODUCT(E129:H129,'总览与权重'!$H$10:$K$10),12),"NA")</x:f>
        <x:v>21.32573227993</x:v>
      </x:c>
      <x:c r="R129" s="30" t="n">
        <x:f>IF(ISNUMBER(Q129),COUNTIFS($Q$6:$Q$179,"&gt;"&amp;Q129)+(COUNTIFS($Q$6:$Q$179,Q129)+1)/2,"NA")</x:f>
        <x:v>78</x:v>
      </x:c>
      <x:c r="S129" s="31" t="n">
        <x:f>IF(OR(B129="s3",B129="s6"),COUNTIFS($B$6:$B$179,B129,$I$6:$I$179,"&gt;"&amp;I129)+(COUNTIFS($B$6:$B$179,B129,$I$6:$I$179,I129)+1)/2,"NA")</x:f>
        <x:v>118</x:v>
      </x:c>
      <x:c r="T129" s="26" t="str">
        <x:f>IF(COUNTIFS($I$6:$I$179,"&gt;"&amp;I129)&gt;=35,"非前20%",IF(COUNTIFS($I$6:$I$179,"&gt;="&amp;I129)&gt;=35,"边界同分","严格前20%"))</x:f>
        <x:v>非前20%</x:v>
      </x:c>
      <x:c r="U129" s="26" t="str">
        <x:f>IF(COUNTIFS($I$6:$I$179,"&lt;"&amp;I129)&gt;=35,"非后20%",IF(COUNTIFS($I$6:$I$179,"&lt;="&amp;I129)&gt;=35,"边界同分","严格后20%"))</x:f>
        <x:v>非后20%</x:v>
      </x:c>
      <x:c r="V129" s="26" t="n">
        <x:f>'基线调整'!I118</x:f>
        <x:v>54.149218742274</x:v>
      </x:c>
      <x:c r="W129" s="26" t="n">
        <x:f>'基线调整'!J118</x:f>
        <x:v>113</x:v>
      </x:c>
      <x:c r="X129" s="22" t="str">
        <x:v>["S0256"]</x:v>
      </x:c>
      <x:c r="Y129" s="22" t="str">
        <x:v>evidence/student_evidence.jsonl；student_key=2025秋:25A146</x:v>
      </x:c>
      <x:c r="Z129" s="26" t="n">
        <x:f>IF(OR(B129="s3",B129="s6"),COUNTIFS($B$6:$B$179,B129,$K$6:$K$179,"&gt;"&amp;K129)+(COUNTIFS($B$6:$B$179,B129,$K$6:$K$179,K129)+1)/2,"NA")</x:f>
        <x:v>80</x:v>
      </x:c>
      <x:c r="AA129" s="26" t="n">
        <x:f>IF(OR(B129="s3",B129="s6"),COUNTIFS($B$6:$B$179,B129,$M$6:$M$179,"&gt;"&amp;M129)+(COUNTIFS($B$6:$B$179,B129,$M$6:$M$179,M129)+1)/2,"NA")</x:f>
        <x:v>118</x:v>
      </x:c>
      <x:c r="AB129" s="26" t="n">
        <x:f>IF(OR(B129="s3",B129="s6"),COUNTIFS($B$6:$B$179,B129,$O$6:$O$179,"&gt;"&amp;O129)+(COUNTIFS($B$6:$B$179,B129,$O$6:$O$179,O129)+1)/2,"NA")</x:f>
        <x:v>119</x:v>
      </x:c>
      <x:c r="AC129" s="26" t="n">
        <x:f>IF(OR(B129="s3",B129="s6"),COUNTIFS($B$6:$B$179,B129,$Q$6:$Q$179,"&gt;"&amp;Q129)+(COUNTIFS($B$6:$B$179,B129,$Q$6:$Q$179,Q129)+1)/2,"NA")</x:f>
        <x:v>74</x:v>
      </x:c>
    </x:row>
    <x:row r="130" ht="23" customHeight="1">
      <x:c r="A130" s="21" t="str">
        <x:v>2026春:268154</x:v>
      </x:c>
      <x:c r="B130" s="22" t="str">
        <x:v>s3</x:v>
      </x:c>
      <x:c r="C130" s="24" t="n">
        <x:v>1</x:v>
      </x:c>
      <x:c r="D130" s="24" t="n">
        <x:v>1</x:v>
      </x:c>
      <x:c r="E130" s="29" t="n">
        <x:f>'指标计算'!K161</x:f>
        <x:v>0.030227970632644485</x:v>
      </x:c>
      <x:c r="F130" s="29" t="n">
        <x:f>'指标计算'!L161</x:f>
        <x:v>0.3627356475917338</x:v>
      </x:c>
      <x:c r="G130" s="29" t="n">
        <x:f>'指标计算'!M161</x:f>
        <x:v>0.3627356475917338</x:v>
      </x:c>
      <x:c r="H130" s="29" t="n">
        <x:f>'指标计算'!N161</x:f>
        <x:v>0.4</x:v>
      </x:c>
      <x:c r="I130" s="30" t="n">
        <x:f>IF(COUNT('总览与权重'!$H$6:$K$6)=4,ROUND(100*SUMPRODUCT(E130:H130,'总览与权重'!$H$6:$K$6),12),"NA")</x:f>
        <x:v>27.416265022649</x:v>
      </x:c>
      <x:c r="J130" s="30" t="n">
        <x:f>IF(ISNUMBER(I130),COUNTIFS($I$6:$I$179,"&gt;"&amp;I130)+(COUNTIFS($I$6:$I$179,I130)+1)/2,"NA")</x:f>
        <x:v>125</x:v>
      </x:c>
      <x:c r="K130" s="30" t="n">
        <x:f>IF(COUNT('总览与权重'!$H$7:$K$7)=4,ROUND(100*SUMPRODUCT(E130:H130,'总览与权重'!$H$7:$K$7),12),"NA")</x:f>
        <x:v>30.368698268157</x:v>
      </x:c>
      <x:c r="L130" s="30" t="n">
        <x:f>IF(ISNUMBER(K130),COUNTIFS($K$6:$K$179,"&gt;"&amp;K130)+(COUNTIFS($K$6:$K$179,K130)+1)/2,"NA")</x:f>
        <x:v>71</x:v>
      </x:c>
      <x:c r="M130" s="30" t="n">
        <x:f>IF(COUNT('总览与权重'!$H$8:$K$8)=4,ROUND(100*SUMPRODUCT(E130:H130,'总览与权重'!$H$8:$K$8),12),"NA")</x:f>
        <x:v>29.265125169485</x:v>
      </x:c>
      <x:c r="N130" s="30" t="n">
        <x:f>IF(ISNUMBER(M130),COUNTIFS($M$6:$M$179,"&gt;"&amp;M130)+(COUNTIFS($M$6:$M$179,M130)+1)/2,"NA")</x:f>
        <x:v>125</x:v>
      </x:c>
      <x:c r="O130" s="30" t="n">
        <x:f>IF(COUNT('总览与权重'!$H$9:$K$9)=4,ROUND(100*SUMPRODUCT(E130:H130,'总览与权重'!$H$9:$K$9),12),"NA")</x:f>
        <x:v>29.619966586551</x:v>
      </x:c>
      <x:c r="P130" s="30" t="n">
        <x:f>IF(ISNUMBER(O130),COUNTIFS($O$6:$O$179,"&gt;"&amp;O130)+(COUNTIFS($O$6:$O$179,O130)+1)/2,"NA")</x:f>
        <x:v>124</x:v>
      </x:c>
      <x:c r="Q130" s="30" t="n">
        <x:f>IF(COUNT('总览与权重'!$H$10:$K$10)=4,ROUND(100*SUMPRODUCT(E130:H130,'总览与权重'!$H$10:$K$10),12),"NA")</x:f>
        <x:v>25.679107555495</x:v>
      </x:c>
      <x:c r="R130" s="30" t="n">
        <x:f>IF(ISNUMBER(Q130),COUNTIFS($Q$6:$Q$179,"&gt;"&amp;Q130)+(COUNTIFS($Q$6:$Q$179,Q130)+1)/2,"NA")</x:f>
        <x:v>60</x:v>
      </x:c>
      <x:c r="S130" s="31" t="n">
        <x:f>IF(OR(B130="s3",B130="s6"),COUNTIFS($B$6:$B$179,B130,$I$6:$I$179,"&gt;"&amp;I130)+(COUNTIFS($B$6:$B$179,B130,$I$6:$I$179,I130)+1)/2,"NA")</x:f>
        <x:v>119</x:v>
      </x:c>
      <x:c r="T130" s="26" t="str">
        <x:f>IF(COUNTIFS($I$6:$I$179,"&gt;"&amp;I130)&gt;=35,"非前20%",IF(COUNTIFS($I$6:$I$179,"&gt;="&amp;I130)&gt;=35,"边界同分","严格前20%"))</x:f>
        <x:v>非前20%</x:v>
      </x:c>
      <x:c r="U130" s="26" t="str">
        <x:f>IF(COUNTIFS($I$6:$I$179,"&lt;"&amp;I130)&gt;=35,"非后20%",IF(COUNTIFS($I$6:$I$179,"&lt;="&amp;I130)&gt;=35,"边界同分","严格后20%"))</x:f>
        <x:v>非后20%</x:v>
      </x:c>
      <x:c r="V130" s="26" t="n">
        <x:f>'基线调整'!I121</x:f>
        <x:v>51.800446441212</x:v>
      </x:c>
      <x:c r="W130" s="26" t="n">
        <x:f>'基线调整'!J121</x:f>
        <x:v>116</x:v>
      </x:c>
      <x:c r="X130" s="22" t="str">
        <x:v>["S1009"]</x:v>
      </x:c>
      <x:c r="Y130" s="22" t="str">
        <x:v>evidence/student_evidence.jsonl；student_key=2026春:268154</x:v>
      </x:c>
      <x:c r="Z130" s="26" t="n">
        <x:f>IF(OR(B130="s3",B130="s6"),COUNTIFS($B$6:$B$179,B130,$K$6:$K$179,"&gt;"&amp;K130)+(COUNTIFS($B$6:$B$179,B130,$K$6:$K$179,K130)+1)/2,"NA")</x:f>
        <x:v>66</x:v>
      </x:c>
      <x:c r="AA130" s="26" t="n">
        <x:f>IF(OR(B130="s3",B130="s6"),COUNTIFS($B$6:$B$179,B130,$M$6:$M$179,"&gt;"&amp;M130)+(COUNTIFS($B$6:$B$179,B130,$M$6:$M$179,M130)+1)/2,"NA")</x:f>
        <x:v>119</x:v>
      </x:c>
      <x:c r="AB130" s="26" t="n">
        <x:f>IF(OR(B130="s3",B130="s6"),COUNTIFS($B$6:$B$179,B130,$O$6:$O$179,"&gt;"&amp;O130)+(COUNTIFS($B$6:$B$179,B130,$O$6:$O$179,O130)+1)/2,"NA")</x:f>
        <x:v>118</x:v>
      </x:c>
      <x:c r="AC130" s="26" t="n">
        <x:f>IF(OR(B130="s3",B130="s6"),COUNTIFS($B$6:$B$179,B130,$Q$6:$Q$179,"&gt;"&amp;Q130)+(COUNTIFS($B$6:$B$179,B130,$Q$6:$Q$179,Q130)+1)/2,"NA")</x:f>
        <x:v>56</x:v>
      </x:c>
    </x:row>
    <x:row r="131" ht="23" customHeight="1">
      <x:c r="A131" s="21" t="str">
        <x:v>2025秋:259336</x:v>
      </x:c>
      <x:c r="B131" s="22" t="str">
        <x:v>s3</x:v>
      </x:c>
      <x:c r="C131" s="24" t="n">
        <x:v>1</x:v>
      </x:c>
      <x:c r="D131" s="24" t="n">
        <x:v>1</x:v>
      </x:c>
      <x:c r="E131" s="29" t="n">
        <x:f>'指标计算'!K91</x:f>
        <x:v>0.03182369801389313</x:v>
      </x:c>
      <x:c r="F131" s="29" t="n">
        <x:f>'指标计算'!L91</x:f>
        <x:v>0.3818843761667175</x:v>
      </x:c>
      <x:c r="G131" s="29" t="n">
        <x:f>'指标计算'!M91</x:f>
        <x:v>0.3818843761667175</x:v>
      </x:c>
      <x:c r="H131" s="29" t="n">
        <x:f>'指标计算'!N91</x:f>
        <x:v>0.3333333333333333</x:v>
      </x:c>
      <x:c r="I131" s="30" t="n">
        <x:f>IF(COUNT('总览与权重'!$H$6:$K$6)=4,ROUND(100*SUMPRODUCT(E131:H131,'总览与权重'!$H$6:$K$6),12),"NA")</x:f>
        <x:v>26.230085987085</x:v>
      </x:c>
      <x:c r="J131" s="30" t="n">
        <x:f>IF(ISNUMBER(I131),COUNTIFS($I$6:$I$179,"&gt;"&amp;I131)+(COUNTIFS($I$6:$I$179,I131)+1)/2,"NA")</x:f>
        <x:v>126</x:v>
      </x:c>
      <x:c r="K131" s="30" t="n">
        <x:f>IF(COUNT('总览与权重'!$H$7:$K$7)=4,ROUND(100*SUMPRODUCT(E131:H131,'总览与权重'!$H$7:$K$7),12),"NA")</x:f>
        <x:v>30.216203196948</x:v>
      </x:c>
      <x:c r="L131" s="30" t="n">
        <x:f>IF(ISNUMBER(K131),COUNTIFS($K$6:$K$179,"&gt;"&amp;K131)+(COUNTIFS($K$6:$K$179,K131)+1)/2,"NA")</x:f>
        <x:v>72</x:v>
      </x:c>
      <x:c r="M131" s="30" t="n">
        <x:f>IF(COUNT('总览与权重'!$H$8:$K$8)=4,ROUND(100*SUMPRODUCT(E131:H131,'总览与权重'!$H$8:$K$8),12),"NA")</x:f>
        <x:v>27.737634163683</x:v>
      </x:c>
      <x:c r="N131" s="30" t="n">
        <x:f>IF(ISNUMBER(M131),COUNTIFS($M$6:$M$179,"&gt;"&amp;M131)+(COUNTIFS($M$6:$M$179,M131)+1)/2,"NA")</x:f>
        <x:v>126</x:v>
      </x:c>
      <x:c r="O131" s="30" t="n">
        <x:f>IF(COUNT('总览与权重'!$H$9:$K$9)=4,ROUND(100*SUMPRODUCT(E131:H131,'总览与权重'!$H$9:$K$9),12),"NA")</x:f>
        <x:v>28.550120432489</x:v>
      </x:c>
      <x:c r="P131" s="30" t="n">
        <x:f>IF(ISNUMBER(O131),COUNTIFS($O$6:$O$179,"&gt;"&amp;O131)+(COUNTIFS($O$6:$O$179,O131)+1)/2,"NA")</x:f>
        <x:v>126</x:v>
      </x:c>
      <x:c r="Q131" s="30" t="n">
        <x:f>IF(COUNT('总览与权重'!$H$10:$K$10)=4,ROUND(100*SUMPRODUCT(E131:H131,'总览与权重'!$H$10:$K$10),12),"NA")</x:f>
        <x:v>26.734137091498</x:v>
      </x:c>
      <x:c r="R131" s="30" t="n">
        <x:f>IF(ISNUMBER(Q131),COUNTIFS($Q$6:$Q$179,"&gt;"&amp;Q131)+(COUNTIFS($Q$6:$Q$179,Q131)+1)/2,"NA")</x:f>
        <x:v>52</x:v>
      </x:c>
      <x:c r="S131" s="31" t="n">
        <x:f>IF(OR(B131="s3",B131="s6"),COUNTIFS($B$6:$B$179,B131,$I$6:$I$179,"&gt;"&amp;I131)+(COUNTIFS($B$6:$B$179,B131,$I$6:$I$179,I131)+1)/2,"NA")</x:f>
        <x:v>120</x:v>
      </x:c>
      <x:c r="T131" s="26" t="str">
        <x:f>IF(COUNTIFS($I$6:$I$179,"&gt;"&amp;I131)&gt;=35,"非前20%",IF(COUNTIFS($I$6:$I$179,"&gt;="&amp;I131)&gt;=35,"边界同分","严格前20%"))</x:f>
        <x:v>非前20%</x:v>
      </x:c>
      <x:c r="U131" s="26" t="str">
        <x:f>IF(COUNTIFS($I$6:$I$179,"&lt;"&amp;I131)&gt;=35,"非后20%",IF(COUNTIFS($I$6:$I$179,"&lt;="&amp;I131)&gt;=35,"边界同分","严格后20%"))</x:f>
        <x:v>非后20%</x:v>
      </x:c>
      <x:c r="V131" s="26" t="n">
        <x:f>'基线调整'!I125</x:f>
        <x:v>50.20735692343</x:v>
      </x:c>
      <x:c r="W131" s="26" t="n">
        <x:f>'基线调整'!J125</x:f>
        <x:v>120</x:v>
      </x:c>
      <x:c r="X131" s="22" t="str">
        <x:v>["S0286"]</x:v>
      </x:c>
      <x:c r="Y131" s="22" t="str">
        <x:v>evidence/student_evidence.jsonl；student_key=2025秋:259336</x:v>
      </x:c>
      <x:c r="Z131" s="26" t="n">
        <x:f>IF(OR(B131="s3",B131="s6"),COUNTIFS($B$6:$B$179,B131,$K$6:$K$179,"&gt;"&amp;K131)+(COUNTIFS($B$6:$B$179,B131,$K$6:$K$179,K131)+1)/2,"NA")</x:f>
        <x:v>67</x:v>
      </x:c>
      <x:c r="AA131" s="26" t="n">
        <x:f>IF(OR(B131="s3",B131="s6"),COUNTIFS($B$6:$B$179,B131,$M$6:$M$179,"&gt;"&amp;M131)+(COUNTIFS($B$6:$B$179,B131,$M$6:$M$179,M131)+1)/2,"NA")</x:f>
        <x:v>120</x:v>
      </x:c>
      <x:c r="AB131" s="26" t="n">
        <x:f>IF(OR(B131="s3",B131="s6"),COUNTIFS($B$6:$B$179,B131,$O$6:$O$179,"&gt;"&amp;O131)+(COUNTIFS($B$6:$B$179,B131,$O$6:$O$179,O131)+1)/2,"NA")</x:f>
        <x:v>120</x:v>
      </x:c>
      <x:c r="AC131" s="26" t="n">
        <x:f>IF(OR(B131="s3",B131="s6"),COUNTIFS($B$6:$B$179,B131,$Q$6:$Q$179,"&gt;"&amp;Q131)+(COUNTIFS($B$6:$B$179,B131,$Q$6:$Q$179,Q131)+1)/2,"NA")</x:f>
        <x:v>48</x:v>
      </x:c>
    </x:row>
    <x:row r="132" ht="23" customHeight="1">
      <x:c r="A132" s="21" t="str">
        <x:v>2026春:268194</x:v>
      </x:c>
      <x:c r="B132" s="22" t="str">
        <x:v>s3</x:v>
      </x:c>
      <x:c r="C132" s="24" t="n">
        <x:v>1</x:v>
      </x:c>
      <x:c r="D132" s="24" t="n">
        <x:v>1</x:v>
      </x:c>
      <x:c r="E132" s="29" t="n">
        <x:f>'指标计算'!K167</x:f>
        <x:v>0.0317500345509234</x:v>
      </x:c>
      <x:c r="F132" s="29" t="n">
        <x:f>'指标计算'!L167</x:f>
        <x:v>0.3810004146110808</x:v>
      </x:c>
      <x:c r="G132" s="29" t="n">
        <x:f>'指标计算'!M167</x:f>
        <x:v>0.3810004146110808</x:v>
      </x:c>
      <x:c r="H132" s="29" t="n">
        <x:f>'指标计算'!N167</x:f>
        <x:v>0.3333333333333333</x:v>
      </x:c>
      <x:c r="I132" s="30" t="n">
        <x:f>IF(COUNT('总览与权重'!$H$6:$K$6)=4,ROUND(100*SUMPRODUCT(E132:H132,'总览与权重'!$H$6:$K$6),12),"NA")</x:f>
        <x:v>26.192517620971</x:v>
      </x:c>
      <x:c r="J132" s="30" t="n">
        <x:f>IF(ISNUMBER(I132),COUNTIFS($I$6:$I$179,"&gt;"&amp;I132)+(COUNTIFS($I$6:$I$179,I132)+1)/2,"NA")</x:f>
        <x:v>127</x:v>
      </x:c>
      <x:c r="K132" s="30" t="n">
        <x:f>IF(COUNT('总览与权重'!$H$7:$K$7)=4,ROUND(100*SUMPRODUCT(E132:H132,'总览与权重'!$H$7:$K$7),12),"NA")</x:f>
        <x:v>30.00000000000</x:v>
      </x:c>
      <x:c r="L132" s="30" t="n">
        <x:f>IF(ISNUMBER(K132),COUNTIFS($K$6:$K$179,"&gt;"&amp;K132)+(COUNTIFS($K$6:$K$179,K132)+1)/2,"NA")</x:f>
        <x:v>73</x:v>
      </x:c>
      <x:c r="M132" s="30" t="n">
        <x:f>IF(COUNT('总览与权重'!$H$8:$K$8)=4,ROUND(100*SUMPRODUCT(E132:H132,'总览与权重'!$H$8:$K$8),12),"NA")</x:f>
        <x:v>27.700434114883</x:v>
      </x:c>
      <x:c r="N132" s="30" t="n">
        <x:f>IF(ISNUMBER(M132),COUNTIFS($M$6:$M$179,"&gt;"&amp;M132)+(COUNTIFS($M$6:$M$179,M132)+1)/2,"NA")</x:f>
        <x:v>127</x:v>
      </x:c>
      <x:c r="O132" s="30" t="n">
        <x:f>IF(COUNT('总览与权重'!$H$9:$K$9)=4,ROUND(100*SUMPRODUCT(E132:H132,'总览与权重'!$H$9:$K$9),12),"NA")</x:f>
        <x:v>28.507181798866</x:v>
      </x:c>
      <x:c r="P132" s="30" t="n">
        <x:f>IF(ISNUMBER(O132),COUNTIFS($O$6:$O$179,"&gt;"&amp;O132)+(COUNTIFS($O$6:$O$179,O132)+1)/2,"NA")</x:f>
        <x:v>127</x:v>
      </x:c>
      <x:c r="Q132" s="30" t="n">
        <x:f>IF(COUNT('总览与权重'!$H$10:$K$10)=4,ROUND(100*SUMPRODUCT(E132:H132,'总览与权重'!$H$10:$K$10),12),"NA")</x:f>
        <x:v>26.674896477393</x:v>
      </x:c>
      <x:c r="R132" s="30" t="n">
        <x:f>IF(ISNUMBER(Q132),COUNTIFS($Q$6:$Q$179,"&gt;"&amp;Q132)+(COUNTIFS($Q$6:$Q$179,Q132)+1)/2,"NA")</x:f>
        <x:v>54</x:v>
      </x:c>
      <x:c r="S132" s="31" t="n">
        <x:f>IF(OR(B132="s3",B132="s6"),COUNTIFS($B$6:$B$179,B132,$I$6:$I$179,"&gt;"&amp;I132)+(COUNTIFS($B$6:$B$179,B132,$I$6:$I$179,I132)+1)/2,"NA")</x:f>
        <x:v>121</x:v>
      </x:c>
      <x:c r="T132" s="26" t="str">
        <x:f>IF(COUNTIFS($I$6:$I$179,"&gt;"&amp;I132)&gt;=35,"非前20%",IF(COUNTIFS($I$6:$I$179,"&gt;="&amp;I132)&gt;=35,"边界同分","严格前20%"))</x:f>
        <x:v>非前20%</x:v>
      </x:c>
      <x:c r="U132" s="26" t="str">
        <x:f>IF(COUNTIFS($I$6:$I$179,"&lt;"&amp;I132)&gt;=35,"非后20%",IF(COUNTIFS($I$6:$I$179,"&lt;="&amp;I132)&gt;=35,"边界同分","严格后20%"))</x:f>
        <x:v>非后20%</x:v>
      </x:c>
      <x:c r="V132" s="26" t="n">
        <x:f>'基线调整'!I126</x:f>
        <x:v>50.188572740373</x:v>
      </x:c>
      <x:c r="W132" s="26" t="n">
        <x:f>'基线调整'!J126</x:f>
        <x:v>121</x:v>
      </x:c>
      <x:c r="X132" s="22" t="str">
        <x:v>["S1067"]</x:v>
      </x:c>
      <x:c r="Y132" s="22" t="str">
        <x:v>evidence/student_evidence.jsonl；student_key=2026春:268194</x:v>
      </x:c>
      <x:c r="Z132" s="26" t="n">
        <x:f>IF(OR(B132="s3",B132="s6"),COUNTIFS($B$6:$B$179,B132,$K$6:$K$179,"&gt;"&amp;K132)+(COUNTIFS($B$6:$B$179,B132,$K$6:$K$179,K132)+1)/2,"NA")</x:f>
        <x:v>68</x:v>
      </x:c>
      <x:c r="AA132" s="26" t="n">
        <x:f>IF(OR(B132="s3",B132="s6"),COUNTIFS($B$6:$B$179,B132,$M$6:$M$179,"&gt;"&amp;M132)+(COUNTIFS($B$6:$B$179,B132,$M$6:$M$179,M132)+1)/2,"NA")</x:f>
        <x:v>121</x:v>
      </x:c>
      <x:c r="AB132" s="26" t="n">
        <x:f>IF(OR(B132="s3",B132="s6"),COUNTIFS($B$6:$B$179,B132,$O$6:$O$179,"&gt;"&amp;O132)+(COUNTIFS($B$6:$B$179,B132,$O$6:$O$179,O132)+1)/2,"NA")</x:f>
        <x:v>121</x:v>
      </x:c>
      <x:c r="AC132" s="26" t="n">
        <x:f>IF(OR(B132="s3",B132="s6"),COUNTIFS($B$6:$B$179,B132,$Q$6:$Q$179,"&gt;"&amp;Q132)+(COUNTIFS($B$6:$B$179,B132,$Q$6:$Q$179,Q132)+1)/2,"NA")</x:f>
        <x:v>50</x:v>
      </x:c>
    </x:row>
    <x:row r="133" ht="23" customHeight="1">
      <x:c r="A133" s="21" t="str">
        <x:v>2026春:268162</x:v>
      </x:c>
      <x:c r="B133" s="22" t="str">
        <x:v>s3</x:v>
      </x:c>
      <x:c r="C133" s="24" t="n">
        <x:v>1</x:v>
      </x:c>
      <x:c r="D133" s="24" t="n">
        <x:v>1</x:v>
      </x:c>
      <x:c r="E133" s="29" t="n">
        <x:f>'指标计算'!K162</x:f>
        <x:v>0.030227970632644485</x:v>
      </x:c>
      <x:c r="F133" s="29" t="n">
        <x:f>'指标计算'!L162</x:f>
        <x:v>0.3627356475917338</x:v>
      </x:c>
      <x:c r="G133" s="29" t="n">
        <x:f>'指标计算'!M162</x:f>
        <x:v>0.3627356475917338</x:v>
      </x:c>
      <x:c r="H133" s="29" t="n">
        <x:f>'指标计算'!N162</x:f>
        <x:v>0.3333333333333333</x:v>
      </x:c>
      <x:c r="I133" s="30" t="n">
        <x:f>IF(COUNT('总览与权重'!$H$6:$K$6)=4,ROUND(100*SUMPRODUCT(E133:H133,'总览与权重'!$H$6:$K$6),12),"NA")</x:f>
        <x:v>25.416265022649</x:v>
      </x:c>
      <x:c r="J133" s="30" t="n">
        <x:f>IF(ISNUMBER(I133),COUNTIFS($I$6:$I$179,"&gt;"&amp;I133)+(COUNTIFS($I$6:$I$179,I133)+1)/2,"NA")</x:f>
        <x:v>128</x:v>
      </x:c>
      <x:c r="K133" s="30" t="n">
        <x:f>IF(COUNT('总览与权重'!$H$7:$K$7)=4,ROUND(100*SUMPRODUCT(E133:H133,'总览与权重'!$H$7:$K$7),12),"NA")</x:f>
        <x:v>29.035364934824</x:v>
      </x:c>
      <x:c r="L133" s="30" t="n">
        <x:f>IF(ISNUMBER(K133),COUNTIFS($K$6:$K$179,"&gt;"&amp;K133)+(COUNTIFS($K$6:$K$179,K133)+1)/2,"NA")</x:f>
        <x:v>78</x:v>
      </x:c>
      <x:c r="M133" s="30" t="n">
        <x:f>IF(COUNT('总览与权重'!$H$8:$K$8)=4,ROUND(100*SUMPRODUCT(E133:H133,'总览与权重'!$H$8:$K$8),12),"NA")</x:f>
        <x:v>26.931791836152</x:v>
      </x:c>
      <x:c r="N133" s="30" t="n">
        <x:f>IF(ISNUMBER(M133),COUNTIFS($M$6:$M$179,"&gt;"&amp;M133)+(COUNTIFS($M$6:$M$179,M133)+1)/2,"NA")</x:f>
        <x:v>130</x:v>
      </x:c>
      <x:c r="O133" s="30" t="n">
        <x:f>IF(COUNT('总览与权重'!$H$9:$K$9)=4,ROUND(100*SUMPRODUCT(E133:H133,'总览与权重'!$H$9:$K$9),12),"NA")</x:f>
        <x:v>27.619966586551</x:v>
      </x:c>
      <x:c r="P133" s="30" t="n">
        <x:f>IF(ISNUMBER(O133),COUNTIFS($O$6:$O$179,"&gt;"&amp;O133)+(COUNTIFS($O$6:$O$179,O133)+1)/2,"NA")</x:f>
        <x:v>128</x:v>
      </x:c>
      <x:c r="Q133" s="30" t="n">
        <x:f>IF(COUNT('总览与权重'!$H$10:$K$10)=4,ROUND(100*SUMPRODUCT(E133:H133,'总览与权重'!$H$10:$K$10),12),"NA")</x:f>
        <x:v>25.450843227794</x:v>
      </x:c>
      <x:c r="R133" s="30" t="n">
        <x:f>IF(ISNUMBER(Q133),COUNTIFS($Q$6:$Q$179,"&gt;"&amp;Q133)+(COUNTIFS($Q$6:$Q$179,Q133)+1)/2,"NA")</x:f>
        <x:v>63</x:v>
      </x:c>
      <x:c r="S133" s="31" t="n">
        <x:f>IF(OR(B133="s3",B133="s6"),COUNTIFS($B$6:$B$179,B133,$I$6:$I$179,"&gt;"&amp;I133)+(COUNTIFS($B$6:$B$179,B133,$I$6:$I$179,I133)+1)/2,"NA")</x:f>
        <x:v>122</x:v>
      </x:c>
      <x:c r="T133" s="26" t="str">
        <x:f>IF(COUNTIFS($I$6:$I$179,"&gt;"&amp;I133)&gt;=35,"非前20%",IF(COUNTIFS($I$6:$I$179,"&gt;="&amp;I133)&gt;=35,"边界同分","严格前20%"))</x:f>
        <x:v>非前20%</x:v>
      </x:c>
      <x:c r="U133" s="26" t="str">
        <x:f>IF(COUNTIFS($I$6:$I$179,"&lt;"&amp;I133)&gt;=35,"非后20%",IF(COUNTIFS($I$6:$I$179,"&lt;="&amp;I133)&gt;=35,"边界同分","严格后20%"))</x:f>
        <x:v>非后20%</x:v>
      </x:c>
      <x:c r="V133" s="26" t="n">
        <x:f>'基线调整'!I129</x:f>
        <x:v>49.800446441212</x:v>
      </x:c>
      <x:c r="W133" s="26" t="n">
        <x:f>'基线调整'!J129</x:f>
        <x:v>124</x:v>
      </x:c>
      <x:c r="X133" s="22" t="str">
        <x:v>["S1027"]</x:v>
      </x:c>
      <x:c r="Y133" s="22" t="str">
        <x:v>evidence/student_evidence.jsonl；student_key=2026春:268162</x:v>
      </x:c>
      <x:c r="Z133" s="26" t="n">
        <x:f>IF(OR(B133="s3",B133="s6"),COUNTIFS($B$6:$B$179,B133,$K$6:$K$179,"&gt;"&amp;K133)+(COUNTIFS($B$6:$B$179,B133,$K$6:$K$179,K133)+1)/2,"NA")</x:f>
        <x:v>73</x:v>
      </x:c>
      <x:c r="AA133" s="26" t="n">
        <x:f>IF(OR(B133="s3",B133="s6"),COUNTIFS($B$6:$B$179,B133,$M$6:$M$179,"&gt;"&amp;M133)+(COUNTIFS($B$6:$B$179,B133,$M$6:$M$179,M133)+1)/2,"NA")</x:f>
        <x:v>123</x:v>
      </x:c>
      <x:c r="AB133" s="26" t="n">
        <x:f>IF(OR(B133="s3",B133="s6"),COUNTIFS($B$6:$B$179,B133,$O$6:$O$179,"&gt;"&amp;O133)+(COUNTIFS($B$6:$B$179,B133,$O$6:$O$179,O133)+1)/2,"NA")</x:f>
        <x:v>122</x:v>
      </x:c>
      <x:c r="AC133" s="26" t="n">
        <x:f>IF(OR(B133="s3",B133="s6"),COUNTIFS($B$6:$B$179,B133,$Q$6:$Q$179,"&gt;"&amp;Q133)+(COUNTIFS($B$6:$B$179,B133,$Q$6:$Q$179,Q133)+1)/2,"NA")</x:f>
        <x:v>59</x:v>
      </x:c>
    </x:row>
    <x:row r="134" ht="23" customHeight="1">
      <x:c r="A134" s="21" t="str">
        <x:v>2026春:268144</x:v>
      </x:c>
      <x:c r="B134" s="22" t="str">
        <x:v>s3</x:v>
      </x:c>
      <x:c r="C134" s="24" t="n">
        <x:v>1</x:v>
      </x:c>
      <x:c r="D134" s="24" t="n">
        <x:v>1</x:v>
      </x:c>
      <x:c r="E134" s="29" t="n">
        <x:f>'指标计算'!K159</x:f>
        <x:v>0.029851784894398523</x:v>
      </x:c>
      <x:c r="F134" s="29" t="n">
        <x:f>'指标计算'!L159</x:f>
        <x:v>0.3582214187327823</x:v>
      </x:c>
      <x:c r="G134" s="29" t="n">
        <x:f>'指标计算'!M159</x:f>
        <x:v>0.3582214187327823</x:v>
      </x:c>
      <x:c r="H134" s="29" t="n">
        <x:f>'指标计算'!N159</x:f>
        <x:v>0.3333333333333333</x:v>
      </x:c>
      <x:c r="I134" s="30" t="n">
        <x:f>IF(COUNT('总览与权重'!$H$6:$K$6)=4,ROUND(100*SUMPRODUCT(E134:H134,'总览与权重'!$H$6:$K$6),12),"NA")</x:f>
        <x:v>25.224410296143</x:v>
      </x:c>
      <x:c r="J134" s="30" t="n">
        <x:f>IF(ISNUMBER(I134),COUNTIFS($I$6:$I$179,"&gt;"&amp;I134)+(COUNTIFS($I$6:$I$179,I134)+1)/2,"NA")</x:f>
        <x:v>129</x:v>
      </x:c>
      <x:c r="K134" s="30" t="n">
        <x:f>IF(COUNT('总览与权重'!$H$7:$K$7)=4,ROUND(100*SUMPRODUCT(E134:H134,'总览与权重'!$H$7:$K$7),12),"NA")</x:f>
        <x:v>28.756987488522</x:v>
      </x:c>
      <x:c r="L134" s="30" t="n">
        <x:f>IF(ISNUMBER(K134),COUNTIFS($K$6:$K$179,"&gt;"&amp;K134)+(COUNTIFS($K$6:$K$179,K134)+1)/2,"NA")</x:f>
        <x:v>80</x:v>
      </x:c>
      <x:c r="M134" s="30" t="n">
        <x:f>IF(COUNT('总览与权重'!$H$8:$K$8)=4,ROUND(100*SUMPRODUCT(E134:H134,'总览与权重'!$H$8:$K$8),12),"NA")</x:f>
        <x:v>26.741818038338</x:v>
      </x:c>
      <x:c r="N134" s="30" t="n">
        <x:f>IF(ISNUMBER(M134),COUNTIFS($M$6:$M$179,"&gt;"&amp;M134)+(COUNTIFS($M$6:$M$179,M134)+1)/2,"NA")</x:f>
        <x:v>131</x:v>
      </x:c>
      <x:c r="O134" s="30" t="n">
        <x:f>IF(COUNT('总览与权重'!$H$9:$K$9)=4,ROUND(100*SUMPRODUCT(E134:H134,'总览与权重'!$H$9:$K$9),12),"NA")</x:f>
        <x:v>27.40068689296</x:v>
      </x:c>
      <x:c r="P134" s="30" t="n">
        <x:f>IF(ISNUMBER(O134),COUNTIFS($O$6:$O$179,"&gt;"&amp;O134)+(COUNTIFS($O$6:$O$179,O134)+1)/2,"NA")</x:f>
        <x:v>129</x:v>
      </x:c>
      <x:c r="Q134" s="30" t="n">
        <x:f>IF(COUNT('总览与权重'!$H$10:$K$10)=4,ROUND(100*SUMPRODUCT(E134:H134,'总览与权重'!$H$10:$K$10),12),"NA")</x:f>
        <x:v>25.148312322342</x:v>
      </x:c>
      <x:c r="R134" s="30" t="n">
        <x:f>IF(ISNUMBER(Q134),COUNTIFS($Q$6:$Q$179,"&gt;"&amp;Q134)+(COUNTIFS($Q$6:$Q$179,Q134)+1)/2,"NA")</x:f>
        <x:v>67</x:v>
      </x:c>
      <x:c r="S134" s="31" t="n">
        <x:f>IF(OR(B134="s3",B134="s6"),COUNTIFS($B$6:$B$179,B134,$I$6:$I$179,"&gt;"&amp;I134)+(COUNTIFS($B$6:$B$179,B134,$I$6:$I$179,I134)+1)/2,"NA")</x:f>
        <x:v>123</x:v>
      </x:c>
      <x:c r="T134" s="26" t="str">
        <x:f>IF(COUNTIFS($I$6:$I$179,"&gt;"&amp;I134)&gt;=35,"非前20%",IF(COUNTIFS($I$6:$I$179,"&gt;="&amp;I134)&gt;=35,"边界同分","严格前20%"))</x:f>
        <x:v>非前20%</x:v>
      </x:c>
      <x:c r="U134" s="26" t="str">
        <x:f>IF(COUNTIFS($I$6:$I$179,"&lt;"&amp;I134)&gt;=35,"非后20%",IF(COUNTIFS($I$6:$I$179,"&lt;="&amp;I134)&gt;=35,"边界同分","严格后20%"))</x:f>
        <x:v>非后20%</x:v>
      </x:c>
      <x:c r="V134" s="26" t="n">
        <x:f>'基线调整'!I130</x:f>
        <x:v>49.704519077959</x:v>
      </x:c>
      <x:c r="W134" s="26" t="n">
        <x:f>'基线调整'!J130</x:f>
        <x:v>125</x:v>
      </x:c>
      <x:c r="X134" s="22" t="str">
        <x:v>["S0983"]</x:v>
      </x:c>
      <x:c r="Y134" s="22" t="str">
        <x:v>evidence/student_evidence.jsonl；student_key=2026春:268144</x:v>
      </x:c>
      <x:c r="Z134" s="26" t="n">
        <x:f>IF(OR(B134="s3",B134="s6"),COUNTIFS($B$6:$B$179,B134,$K$6:$K$179,"&gt;"&amp;K134)+(COUNTIFS($B$6:$B$179,B134,$K$6:$K$179,K134)+1)/2,"NA")</x:f>
        <x:v>75</x:v>
      </x:c>
      <x:c r="AA134" s="26" t="n">
        <x:f>IF(OR(B134="s3",B134="s6"),COUNTIFS($B$6:$B$179,B134,$M$6:$M$179,"&gt;"&amp;M134)+(COUNTIFS($B$6:$B$179,B134,$M$6:$M$179,M134)+1)/2,"NA")</x:f>
        <x:v>124</x:v>
      </x:c>
      <x:c r="AB134" s="26" t="n">
        <x:f>IF(OR(B134="s3",B134="s6"),COUNTIFS($B$6:$B$179,B134,$O$6:$O$179,"&gt;"&amp;O134)+(COUNTIFS($B$6:$B$179,B134,$O$6:$O$179,O134)+1)/2,"NA")</x:f>
        <x:v>123</x:v>
      </x:c>
      <x:c r="AC134" s="26" t="n">
        <x:f>IF(OR(B134="s3",B134="s6"),COUNTIFS($B$6:$B$179,B134,$Q$6:$Q$179,"&gt;"&amp;Q134)+(COUNTIFS($B$6:$B$179,B134,$Q$6:$Q$179,Q134)+1)/2,"NA")</x:f>
        <x:v>63</x:v>
      </x:c>
    </x:row>
    <x:row r="135" ht="23" customHeight="1">
      <x:c r="A135" s="21" t="str">
        <x:v>2025秋:258990</x:v>
      </x:c>
      <x:c r="B135" s="22" t="str">
        <x:v>s3</x:v>
      </x:c>
      <x:c r="C135" s="24" t="n">
        <x:v>1</x:v>
      </x:c>
      <x:c r="D135" s="24" t="n">
        <x:v>1</x:v>
      </x:c>
      <x:c r="E135" s="29" t="n">
        <x:f>'指标计算'!K58</x:f>
        <x:v>0.029365189523728057</x:v>
      </x:c>
      <x:c r="F135" s="29" t="n">
        <x:f>'指标计算'!L58</x:f>
        <x:v>0.3523822742847367</x:v>
      </x:c>
      <x:c r="G135" s="29" t="n">
        <x:f>'指标计算'!M58</x:f>
        <x:v>0.3523822742847367</x:v>
      </x:c>
      <x:c r="H135" s="29" t="n">
        <x:f>'指标计算'!N58</x:f>
        <x:v>0.3333333333333333</x:v>
      </x:c>
      <x:c r="I135" s="30" t="n">
        <x:f>IF(COUNT('总览与权重'!$H$6:$K$6)=4,ROUND(100*SUMPRODUCT(E135:H135,'总览与权重'!$H$6:$K$6),12),"NA")</x:f>
        <x:v>24.976246657101</x:v>
      </x:c>
      <x:c r="J135" s="30" t="n">
        <x:f>IF(ISNUMBER(I135),COUNTIFS($I$6:$I$179,"&gt;"&amp;I135)+(COUNTIFS($I$6:$I$179,I135)+1)/2,"NA")</x:f>
        <x:v>130</x:v>
      </x:c>
      <x:c r="K135" s="30" t="n">
        <x:f>IF(COUNT('总览与权重'!$H$7:$K$7)=4,ROUND(100*SUMPRODUCT(E135:H135,'总览与权重'!$H$7:$K$7),12),"NA")</x:f>
        <x:v>28.396906914225</x:v>
      </x:c>
      <x:c r="L135" s="30" t="n">
        <x:f>IF(ISNUMBER(K135),COUNTIFS($K$6:$K$179,"&gt;"&amp;K135)+(COUNTIFS($K$6:$K$179,K135)+1)/2,"NA")</x:f>
        <x:v>82</x:v>
      </x:c>
      <x:c r="M135" s="30" t="n">
        <x:f>IF(COUNT('总览与权重'!$H$8:$K$8)=4,ROUND(100*SUMPRODUCT(E135:H135,'总览与权重'!$H$8:$K$8),12),"NA")</x:f>
        <x:v>26.496087376149</x:v>
      </x:c>
      <x:c r="N135" s="30" t="n">
        <x:f>IF(ISNUMBER(M135),COUNTIFS($M$6:$M$179,"&gt;"&amp;M135)+(COUNTIFS($M$6:$M$179,M135)+1)/2,"NA")</x:f>
        <x:v>132</x:v>
      </x:c>
      <x:c r="O135" s="30" t="n">
        <x:f>IF(COUNT('总览与权重'!$H$9:$K$9)=4,ROUND(100*SUMPRODUCT(E135:H135,'总览与权重'!$H$9:$K$9),12),"NA")</x:f>
        <x:v>27.117049123273</x:v>
      </x:c>
      <x:c r="P135" s="30" t="n">
        <x:f>IF(ISNUMBER(O135),COUNTIFS($O$6:$O$179,"&gt;"&amp;O135)+(COUNTIFS($O$6:$O$179,O135)+1)/2,"NA")</x:f>
        <x:v>130</x:v>
      </x:c>
      <x:c r="Q135" s="30" t="n">
        <x:f>IF(COUNT('总览与权重'!$H$10:$K$10)=4,ROUND(100*SUMPRODUCT(E135:H135,'总览与权重'!$H$10:$K$10),12),"NA")</x:f>
        <x:v>24.756989305249</x:v>
      </x:c>
      <x:c r="R135" s="30" t="n">
        <x:f>IF(ISNUMBER(Q135),COUNTIFS($Q$6:$Q$179,"&gt;"&amp;Q135)+(COUNTIFS($Q$6:$Q$179,Q135)+1)/2,"NA")</x:f>
        <x:v>70</x:v>
      </x:c>
      <x:c r="S135" s="31" t="n">
        <x:f>IF(OR(B135="s3",B135="s6"),COUNTIFS($B$6:$B$179,B135,$I$6:$I$179,"&gt;"&amp;I135)+(COUNTIFS($B$6:$B$179,B135,$I$6:$I$179,I135)+1)/2,"NA")</x:f>
        <x:v>124</x:v>
      </x:c>
      <x:c r="T135" s="26" t="str">
        <x:f>IF(COUNTIFS($I$6:$I$179,"&gt;"&amp;I135)&gt;=35,"非前20%",IF(COUNTIFS($I$6:$I$179,"&gt;="&amp;I135)&gt;=35,"边界同分","严格前20%"))</x:f>
        <x:v>非前20%</x:v>
      </x:c>
      <x:c r="U135" s="26" t="str">
        <x:f>IF(COUNTIFS($I$6:$I$179,"&lt;"&amp;I135)&gt;=35,"非后20%",IF(COUNTIFS($I$6:$I$179,"&lt;="&amp;I135)&gt;=35,"边界同分","严格后20%"))</x:f>
        <x:v>非后20%</x:v>
      </x:c>
      <x:c r="V135" s="26" t="n">
        <x:f>'基线调整'!I131</x:f>
        <x:v>49.581039884984</x:v>
      </x:c>
      <x:c r="W135" s="26" t="n">
        <x:f>'基线调整'!J131</x:f>
        <x:v>126</x:v>
      </x:c>
      <x:c r="X135" s="22" t="str">
        <x:v>["S0491"]</x:v>
      </x:c>
      <x:c r="Y135" s="22" t="str">
        <x:v>evidence/student_evidence.jsonl；student_key=2025秋:258990</x:v>
      </x:c>
      <x:c r="Z135" s="26" t="n">
        <x:f>IF(OR(B135="s3",B135="s6"),COUNTIFS($B$6:$B$179,B135,$K$6:$K$179,"&gt;"&amp;K135)+(COUNTIFS($B$6:$B$179,B135,$K$6:$K$179,K135)+1)/2,"NA")</x:f>
        <x:v>77</x:v>
      </x:c>
      <x:c r="AA135" s="26" t="n">
        <x:f>IF(OR(B135="s3",B135="s6"),COUNTIFS($B$6:$B$179,B135,$M$6:$M$179,"&gt;"&amp;M135)+(COUNTIFS($B$6:$B$179,B135,$M$6:$M$179,M135)+1)/2,"NA")</x:f>
        <x:v>125</x:v>
      </x:c>
      <x:c r="AB135" s="26" t="n">
        <x:f>IF(OR(B135="s3",B135="s6"),COUNTIFS($B$6:$B$179,B135,$O$6:$O$179,"&gt;"&amp;O135)+(COUNTIFS($B$6:$B$179,B135,$O$6:$O$179,O135)+1)/2,"NA")</x:f>
        <x:v>124</x:v>
      </x:c>
      <x:c r="AC135" s="26" t="n">
        <x:f>IF(OR(B135="s3",B135="s6"),COUNTIFS($B$6:$B$179,B135,$Q$6:$Q$179,"&gt;"&amp;Q135)+(COUNTIFS($B$6:$B$179,B135,$Q$6:$Q$179,Q135)+1)/2,"NA")</x:f>
        <x:v>66</x:v>
      </x:c>
    </x:row>
    <x:row r="136" ht="23" customHeight="1">
      <x:c r="A136" s="21" t="str">
        <x:v>2026春:268126</x:v>
      </x:c>
      <x:c r="B136" s="22" t="str">
        <x:v>s3</x:v>
      </x:c>
      <x:c r="C136" s="24" t="n">
        <x:v>1</x:v>
      </x:c>
      <x:c r="D136" s="24" t="n">
        <x:v>1</x:v>
      </x:c>
      <x:c r="E136" s="29" t="n">
        <x:f>'指标计算'!K152</x:f>
        <x:v>0.02912047892382208</x:v>
      </x:c>
      <x:c r="F136" s="29" t="n">
        <x:f>'指标计算'!L152</x:f>
        <x:v>0.34944574708586496</x:v>
      </x:c>
      <x:c r="G136" s="29" t="n">
        <x:f>'指标计算'!M152</x:f>
        <x:v>0.34944574708586496</x:v>
      </x:c>
      <x:c r="H136" s="29" t="n">
        <x:f>'指标计算'!N152</x:f>
        <x:v>0.3333333333333333</x:v>
      </x:c>
      <x:c r="I136" s="30" t="n">
        <x:f>IF(COUNT('总览与权重'!$H$6:$K$6)=4,ROUND(100*SUMPRODUCT(E136:H136,'总览与权重'!$H$6:$K$6),12),"NA")</x:f>
        <x:v>24.851444251149</x:v>
      </x:c>
      <x:c r="J136" s="30" t="n">
        <x:f>IF(ISNUMBER(I136),COUNTIFS($I$6:$I$179,"&gt;"&amp;I136)+(COUNTIFS($I$6:$I$179,I136)+1)/2,"NA")</x:f>
        <x:v>131</x:v>
      </x:c>
      <x:c r="K136" s="30" t="n">
        <x:f>IF(COUNT('总览与权重'!$H$7:$K$7)=4,ROUND(100*SUMPRODUCT(E136:H136,'总览与权重'!$H$7:$K$7),12),"NA")</x:f>
        <x:v>28.215821070295</x:v>
      </x:c>
      <x:c r="L136" s="30" t="n">
        <x:f>IF(ISNUMBER(K136),COUNTIFS($K$6:$K$179,"&gt;"&amp;K136)+(COUNTIFS($K$6:$K$179,K136)+1)/2,"NA")</x:f>
        <x:v>84</x:v>
      </x:c>
      <x:c r="M136" s="30" t="n">
        <x:f>IF(COUNT('总览与权重'!$H$8:$K$8)=4,ROUND(100*SUMPRODUCT(E136:H136,'总览与权重'!$H$8:$K$8),12),"NA")</x:f>
        <x:v>26.372508523197</x:v>
      </x:c>
      <x:c r="N136" s="30" t="n">
        <x:f>IF(ISNUMBER(M136),COUNTIFS($M$6:$M$179,"&gt;"&amp;M136)+(COUNTIFS($M$6:$M$179,M136)+1)/2,"NA")</x:f>
        <x:v>133</x:v>
      </x:c>
      <x:c r="O136" s="30" t="n">
        <x:f>IF(COUNT('总览与权重'!$H$9:$K$9)=4,ROUND(100*SUMPRODUCT(E136:H136,'总览与权重'!$H$9:$K$9),12),"NA")</x:f>
        <x:v>26.97440664667</x:v>
      </x:c>
      <x:c r="P136" s="30" t="n">
        <x:f>IF(ISNUMBER(O136),COUNTIFS($O$6:$O$179,"&gt;"&amp;O136)+(COUNTIFS($O$6:$O$179,O136)+1)/2,"NA")</x:f>
        <x:v>131</x:v>
      </x:c>
      <x:c r="Q136" s="30" t="n">
        <x:f>IF(COUNT('总览与权重'!$H$10:$K$10)=4,ROUND(100*SUMPRODUCT(E136:H136,'总览与权重'!$H$10:$K$10),12),"NA")</x:f>
        <x:v>24.560191522036</x:v>
      </x:c>
      <x:c r="R136" s="30" t="n">
        <x:f>IF(ISNUMBER(Q136),COUNTIFS($Q$6:$Q$179,"&gt;"&amp;Q136)+(COUNTIFS($Q$6:$Q$179,Q136)+1)/2,"NA")</x:f>
        <x:v>71</x:v>
      </x:c>
      <x:c r="S136" s="31" t="n">
        <x:f>IF(OR(B136="s3",B136="s6"),COUNTIFS($B$6:$B$179,B136,$I$6:$I$179,"&gt;"&amp;I136)+(COUNTIFS($B$6:$B$179,B136,$I$6:$I$179,I136)+1)/2,"NA")</x:f>
        <x:v>125</x:v>
      </x:c>
      <x:c r="T136" s="26" t="str">
        <x:f>IF(COUNTIFS($I$6:$I$179,"&gt;"&amp;I136)&gt;=35,"非前20%",IF(COUNTIFS($I$6:$I$179,"&gt;="&amp;I136)&gt;=35,"边界同分","严格前20%"))</x:f>
        <x:v>非前20%</x:v>
      </x:c>
      <x:c r="U136" s="26" t="str">
        <x:f>IF(COUNTIFS($I$6:$I$179,"&lt;"&amp;I136)&gt;=35,"非后20%",IF(COUNTIFS($I$6:$I$179,"&lt;="&amp;I136)&gt;=35,"边界同分","严格后20%"))</x:f>
        <x:v>非后20%</x:v>
      </x:c>
      <x:c r="V136" s="26" t="n">
        <x:f>'基线调整'!I128</x:f>
        <x:v>49.920666180708</x:v>
      </x:c>
      <x:c r="W136" s="26" t="n">
        <x:f>'基线调整'!J128</x:f>
        <x:v>123</x:v>
      </x:c>
      <x:c r="X136" s="22" t="str">
        <x:v>["S0931"]</x:v>
      </x:c>
      <x:c r="Y136" s="22" t="str">
        <x:v>evidence/student_evidence.jsonl；student_key=2026春:268126</x:v>
      </x:c>
      <x:c r="Z136" s="26" t="n">
        <x:f>IF(OR(B136="s3",B136="s6"),COUNTIFS($B$6:$B$179,B136,$K$6:$K$179,"&gt;"&amp;K136)+(COUNTIFS($B$6:$B$179,B136,$K$6:$K$179,K136)+1)/2,"NA")</x:f>
        <x:v>79</x:v>
      </x:c>
      <x:c r="AA136" s="26" t="n">
        <x:f>IF(OR(B136="s3",B136="s6"),COUNTIFS($B$6:$B$179,B136,$M$6:$M$179,"&gt;"&amp;M136)+(COUNTIFS($B$6:$B$179,B136,$M$6:$M$179,M136)+1)/2,"NA")</x:f>
        <x:v>126</x:v>
      </x:c>
      <x:c r="AB136" s="26" t="n">
        <x:f>IF(OR(B136="s3",B136="s6"),COUNTIFS($B$6:$B$179,B136,$O$6:$O$179,"&gt;"&amp;O136)+(COUNTIFS($B$6:$B$179,B136,$O$6:$O$179,O136)+1)/2,"NA")</x:f>
        <x:v>125</x:v>
      </x:c>
      <x:c r="AC136" s="26" t="n">
        <x:f>IF(OR(B136="s3",B136="s6"),COUNTIFS($B$6:$B$179,B136,$Q$6:$Q$179,"&gt;"&amp;Q136)+(COUNTIFS($B$6:$B$179,B136,$Q$6:$Q$179,Q136)+1)/2,"NA")</x:f>
        <x:v>67</x:v>
      </x:c>
    </x:row>
    <x:row r="137" ht="23" customHeight="1">
      <x:c r="A137" s="21" t="str">
        <x:v>2026春:268195</x:v>
      </x:c>
      <x:c r="B137" s="22" t="str">
        <x:v>mixed</x:v>
      </x:c>
      <x:c r="C137" s="24" t="n">
        <x:v>2</x:v>
      </x:c>
      <x:c r="D137" s="24" t="n">
        <x:v>2</x:v>
      </x:c>
      <x:c r="E137" s="29" t="n">
        <x:f>'指标计算'!K168</x:f>
        <x:v>0.025040866844145537</x:v>
      </x:c>
      <x:c r="F137" s="29" t="n">
        <x:f>'指标计算'!L168</x:f>
        <x:v>0.1502452010648732</x:v>
      </x:c>
      <x:c r="G137" s="29" t="n">
        <x:f>'指标计算'!M168</x:f>
        <x:v>0.2</x:v>
      </x:c>
      <x:c r="H137" s="29" t="n">
        <x:f>'指标计算'!N168</x:f>
        <x:v>0.5714285714285714</x:v>
      </x:c>
      <x:c r="I137" s="30" t="n">
        <x:f>IF(COUNT('总览与权重'!$H$6:$K$6)=4,ROUND(100*SUMPRODUCT(E137:H137,'总览与权重'!$H$6:$K$6),12),"NA")</x:f>
        <x:v>24.650213174803</x:v>
      </x:c>
      <x:c r="J137" s="30" t="n">
        <x:f>IF(ISNUMBER(I137),COUNTIFS($I$6:$I$179,"&gt;"&amp;I137)+(COUNTIFS($I$6:$I$179,I137)+1)/2,"NA")</x:f>
        <x:v>132</x:v>
      </x:c>
      <x:c r="K137" s="30" t="n">
        <x:f>IF(COUNT('总览与权重'!$H$7:$K$7)=4,ROUND(100*SUMPRODUCT(E137:H137,'总览与权重'!$H$7:$K$7),12),"NA")</x:f>
        <x:v>22.934292786752</x:v>
      </x:c>
      <x:c r="L137" s="30" t="n">
        <x:f>IF(ISNUMBER(K137),COUNTIFS($K$6:$K$179,"&gt;"&amp;K137)+(COUNTIFS($K$6:$K$179,K137)+1)/2,"NA")</x:f>
        <x:v>97</x:v>
      </x:c>
      <x:c r="M137" s="30" t="n">
        <x:f>IF(COUNT('总览与权重'!$H$8:$K$8)=4,ROUND(100*SUMPRODUCT(E137:H137,'总览与权重'!$H$8:$K$8),12),"NA")</x:f>
        <x:v>27.00000000000</x:v>
      </x:c>
      <x:c r="N137" s="30" t="n">
        <x:f>IF(ISNUMBER(M137),COUNTIFS($M$6:$M$179,"&gt;"&amp;M137)+(COUNTIFS($M$6:$M$179,M137)+1)/2,"NA")</x:f>
        <x:v>128</x:v>
      </x:c>
      <x:c r="O137" s="30" t="n">
        <x:f>IF(COUNT('总览与权重'!$H$9:$K$9)=4,ROUND(100*SUMPRODUCT(E137:H137,'总览与权重'!$H$9:$K$9),12),"NA")</x:f>
        <x:v>25.88417912385</x:v>
      </x:c>
      <x:c r="P137" s="30" t="n">
        <x:f>IF(ISNUMBER(O137),COUNTIFS($O$6:$O$179,"&gt;"&amp;O137)+(COUNTIFS($O$6:$O$179,O137)+1)/2,"NA")</x:f>
        <x:v>134</x:v>
      </x:c>
      <x:c r="Q137" s="30" t="n">
        <x:f>IF(COUNT('总览与权重'!$H$10:$K$10)=4,ROUND(100*SUMPRODUCT(E137:H137,'总览与权重'!$H$10:$K$10),12),"NA")</x:f>
        <x:v>14.016583070596</x:v>
      </x:c>
      <x:c r="R137" s="30" t="n">
        <x:f>IF(ISNUMBER(Q137),COUNTIFS($Q$6:$Q$179,"&gt;"&amp;Q137)+(COUNTIFS($Q$6:$Q$179,Q137)+1)/2,"NA")</x:f>
        <x:v>87</x:v>
      </x:c>
      <x:c r="S137" s="31" t="str">
        <x:f>IF(OR(B137="s3",B137="s6"),COUNTIFS($B$6:$B$179,B137,$I$6:$I$179,"&gt;"&amp;I137)+(COUNTIFS($B$6:$B$179,B137,$I$6:$I$179,I137)+1)/2,"NA")</x:f>
        <x:v>NA</x:v>
      </x:c>
      <x:c r="T137" s="26" t="str">
        <x:f>IF(COUNTIFS($I$6:$I$179,"&gt;"&amp;I137)&gt;=35,"非前20%",IF(COUNTIFS($I$6:$I$179,"&gt;="&amp;I137)&gt;=35,"边界同分","严格前20%"))</x:f>
        <x:v>非前20%</x:v>
      </x:c>
      <x:c r="U137" s="26" t="str">
        <x:f>IF(COUNTIFS($I$6:$I$179,"&lt;"&amp;I137)&gt;=35,"非后20%",IF(COUNTIFS($I$6:$I$179,"&lt;="&amp;I137)&gt;=35,"边界同分","严格后20%"))</x:f>
        <x:v>非后20%</x:v>
      </x:c>
      <x:c r="V137" s="26" t="str">
        <x:v>NA</x:v>
      </x:c>
      <x:c r="W137" s="26" t="str">
        <x:v>NA</x:v>
      </x:c>
      <x:c r="X137" s="22" t="str">
        <x:v>["S1075","S1076"]</x:v>
      </x:c>
      <x:c r="Y137" s="22" t="str">
        <x:v>evidence/student_evidence.jsonl；student_key=2026春:268195</x:v>
      </x:c>
      <x:c r="Z137" s="26" t="str">
        <x:f>IF(OR(B137="s3",B137="s6"),COUNTIFS($B$6:$B$179,B137,$K$6:$K$179,"&gt;"&amp;K137)+(COUNTIFS($B$6:$B$179,B137,$K$6:$K$179,K137)+1)/2,"NA")</x:f>
        <x:v>NA</x:v>
      </x:c>
      <x:c r="AA137" s="26" t="str">
        <x:f>IF(OR(B137="s3",B137="s6"),COUNTIFS($B$6:$B$179,B137,$M$6:$M$179,"&gt;"&amp;M137)+(COUNTIFS($B$6:$B$179,B137,$M$6:$M$179,M137)+1)/2,"NA")</x:f>
        <x:v>NA</x:v>
      </x:c>
      <x:c r="AB137" s="26" t="str">
        <x:f>IF(OR(B137="s3",B137="s6"),COUNTIFS($B$6:$B$179,B137,$O$6:$O$179,"&gt;"&amp;O137)+(COUNTIFS($B$6:$B$179,B137,$O$6:$O$179,O137)+1)/2,"NA")</x:f>
        <x:v>NA</x:v>
      </x:c>
      <x:c r="AC137" s="26" t="str">
        <x:f>IF(OR(B137="s3",B137="s6"),COUNTIFS($B$6:$B$179,B137,$Q$6:$Q$179,"&gt;"&amp;Q137)+(COUNTIFS($B$6:$B$179,B137,$Q$6:$Q$179,Q137)+1)/2,"NA")</x:f>
        <x:v>NA</x:v>
      </x:c>
    </x:row>
    <x:row r="138" ht="23" customHeight="1">
      <x:c r="A138" s="21" t="str">
        <x:v>2025秋:258939</x:v>
      </x:c>
      <x:c r="B138" s="22" t="str">
        <x:v>s3</x:v>
      </x:c>
      <x:c r="C138" s="24" t="n">
        <x:v>1</x:v>
      </x:c>
      <x:c r="D138" s="24" t="n">
        <x:v>1</x:v>
      </x:c>
      <x:c r="E138" s="29" t="n">
        <x:f>'指标计算'!K49</x:f>
        <x:v>0.027734384786378293</x:v>
      </x:c>
      <x:c r="F138" s="29" t="n">
        <x:f>'指标计算'!L49</x:f>
        <x:v>0.3328126174365395</x:v>
      </x:c>
      <x:c r="G138" s="29" t="n">
        <x:f>'指标计算'!M49</x:f>
        <x:v>0.3328126174365395</x:v>
      </x:c>
      <x:c r="H138" s="29" t="n">
        <x:f>'指标计算'!N49</x:f>
        <x:v>0.3333333333333333</x:v>
      </x:c>
      <x:c r="I138" s="30" t="n">
        <x:f>IF(COUNT('总览与权重'!$H$6:$K$6)=4,ROUND(100*SUMPRODUCT(E138:H138,'总览与权重'!$H$6:$K$6),12),"NA")</x:f>
        <x:v>24.144536241053</x:v>
      </x:c>
      <x:c r="J138" s="30" t="n">
        <x:f>IF(ISNUMBER(I138),COUNTIFS($I$6:$I$179,"&gt;"&amp;I138)+(COUNTIFS($I$6:$I$179,I138)+1)/2,"NA")</x:f>
        <x:v>133</x:v>
      </x:c>
      <x:c r="K138" s="30" t="n">
        <x:f>IF(COUNT('总览与权重'!$H$7:$K$7)=4,ROUND(100*SUMPRODUCT(E138:H138,'总览与权重'!$H$7:$K$7),12),"NA")</x:f>
        <x:v>27.190111408587</x:v>
      </x:c>
      <x:c r="L138" s="30" t="n">
        <x:f>IF(ISNUMBER(K138),COUNTIFS($K$6:$K$179,"&gt;"&amp;K138)+(COUNTIFS($K$6:$K$179,K138)+1)/2,"NA")</x:f>
        <x:v>90</x:v>
      </x:c>
      <x:c r="M138" s="30" t="n">
        <x:f>IF(COUNT('总览与权重'!$H$8:$K$8)=4,ROUND(100*SUMPRODUCT(E138:H138,'总览与权重'!$H$8:$K$8),12),"NA")</x:f>
        <x:v>25.672530983788</x:v>
      </x:c>
      <x:c r="N138" s="30" t="n">
        <x:f>IF(ISNUMBER(M138),COUNTIFS($M$6:$M$179,"&gt;"&amp;M138)+(COUNTIFS($M$6:$M$179,M138)+1)/2,"NA")</x:f>
        <x:v>136</x:v>
      </x:c>
      <x:c r="O138" s="30" t="n">
        <x:f>IF(COUNT('总览与权重'!$H$9:$K$9)=4,ROUND(100*SUMPRODUCT(E138:H138,'总览与权重'!$H$9:$K$9),12),"NA")</x:f>
        <x:v>26.166448590723</x:v>
      </x:c>
      <x:c r="P138" s="30" t="n">
        <x:f>IF(ISNUMBER(O138),COUNTIFS($O$6:$O$179,"&gt;"&amp;O138)+(COUNTIFS($O$6:$O$179,O138)+1)/2,"NA")</x:f>
        <x:v>132</x:v>
      </x:c>
      <x:c r="Q138" s="30" t="n">
        <x:f>IF(COUNT('总览与权重'!$H$10:$K$10)=4,ROUND(100*SUMPRODUCT(E138:H138,'总览与权重'!$H$10:$K$10),12),"NA")</x:f>
        <x:v>23.445486014065</x:v>
      </x:c>
      <x:c r="R138" s="30" t="n">
        <x:f>IF(ISNUMBER(Q138),COUNTIFS($Q$6:$Q$179,"&gt;"&amp;Q138)+(COUNTIFS($Q$6:$Q$179,Q138)+1)/2,"NA")</x:f>
        <x:v>75</x:v>
      </x:c>
      <x:c r="S138" s="31" t="n">
        <x:f>IF(OR(B138="s3",B138="s6"),COUNTIFS($B$6:$B$179,B138,$I$6:$I$179,"&gt;"&amp;I138)+(COUNTIFS($B$6:$B$179,B138,$I$6:$I$179,I138)+1)/2,"NA")</x:f>
        <x:v>126</x:v>
      </x:c>
      <x:c r="T138" s="26" t="str">
        <x:f>IF(COUNTIFS($I$6:$I$179,"&gt;"&amp;I138)&gt;=35,"非前20%",IF(COUNTIFS($I$6:$I$179,"&gt;="&amp;I138)&gt;=35,"边界同分","严格前20%"))</x:f>
        <x:v>非前20%</x:v>
      </x:c>
      <x:c r="U138" s="26" t="str">
        <x:f>IF(COUNTIFS($I$6:$I$179,"&lt;"&amp;I138)&gt;=35,"非后20%",IF(COUNTIFS($I$6:$I$179,"&lt;="&amp;I138)&gt;=35,"边界同分","严格后20%"))</x:f>
        <x:v>非后20%</x:v>
      </x:c>
      <x:c r="V138" s="26" t="n">
        <x:f>'基线调整'!I127</x:f>
        <x:v>50.066887295759</x:v>
      </x:c>
      <x:c r="W138" s="26" t="n">
        <x:f>'基线调整'!J127</x:f>
        <x:v>122</x:v>
      </x:c>
      <x:c r="X138" s="22" t="str">
        <x:v>["S0367"]</x:v>
      </x:c>
      <x:c r="Y138" s="22" t="str">
        <x:v>evidence/student_evidence.jsonl；student_key=2025秋:258939</x:v>
      </x:c>
      <x:c r="Z138" s="26" t="n">
        <x:f>IF(OR(B138="s3",B138="s6"),COUNTIFS($B$6:$B$179,B138,$K$6:$K$179,"&gt;"&amp;K138)+(COUNTIFS($B$6:$B$179,B138,$K$6:$K$179,K138)+1)/2,"NA")</x:f>
        <x:v>85</x:v>
      </x:c>
      <x:c r="AA138" s="26" t="n">
        <x:f>IF(OR(B138="s3",B138="s6"),COUNTIFS($B$6:$B$179,B138,$M$6:$M$179,"&gt;"&amp;M138)+(COUNTIFS($B$6:$B$179,B138,$M$6:$M$179,M138)+1)/2,"NA")</x:f>
        <x:v>128</x:v>
      </x:c>
      <x:c r="AB138" s="26" t="n">
        <x:f>IF(OR(B138="s3",B138="s6"),COUNTIFS($B$6:$B$179,B138,$O$6:$O$179,"&gt;"&amp;O138)+(COUNTIFS($B$6:$B$179,B138,$O$6:$O$179,O138)+1)/2,"NA")</x:f>
        <x:v>126</x:v>
      </x:c>
      <x:c r="AC138" s="26" t="n">
        <x:f>IF(OR(B138="s3",B138="s6"),COUNTIFS($B$6:$B$179,B138,$Q$6:$Q$179,"&gt;"&amp;Q138)+(COUNTIFS($B$6:$B$179,B138,$Q$6:$Q$179,Q138)+1)/2,"NA")</x:f>
        <x:v>71</x:v>
      </x:c>
    </x:row>
    <x:row r="139" ht="23" customHeight="1">
      <x:c r="A139" s="21" t="str">
        <x:v>2025秋:259449</x:v>
      </x:c>
      <x:c r="B139" s="22" t="str">
        <x:v>s3</x:v>
      </x:c>
      <x:c r="C139" s="24" t="n">
        <x:v>2</x:v>
      </x:c>
      <x:c r="D139" s="24" t="n">
        <x:v>2</x:v>
      </x:c>
      <x:c r="E139" s="29" t="n">
        <x:f>'指标计算'!K108</x:f>
        <x:v>0.011228644936790863</x:v>
      </x:c>
      <x:c r="F139" s="29" t="n">
        <x:f>'指标计算'!L108</x:f>
        <x:v>0.06737186962074518</x:v>
      </x:c>
      <x:c r="G139" s="29" t="n">
        <x:f>'指标计算'!M108</x:f>
        <x:v>0.13474373924149036</x:v>
      </x:c>
      <x:c r="H139" s="29" t="n">
        <x:f>'指标计算'!N108</x:f>
        <x:v>0.6666666666666666</x:v>
      </x:c>
      <x:c r="I139" s="30" t="n">
        <x:f>IF(COUNT('总览与权重'!$H$6:$K$6)=4,ROUND(100*SUMPRODUCT(E139:H139,'总览与权重'!$H$6:$K$6),12),"NA")</x:f>
        <x:v>24.042312177245</x:v>
      </x:c>
      <x:c r="J139" s="30" t="n">
        <x:f>IF(ISNUMBER(I139),COUNTIFS($I$6:$I$179,"&gt;"&amp;I139)+(COUNTIFS($I$6:$I$179,I139)+1)/2,"NA")</x:f>
        <x:v>134</x:v>
      </x:c>
      <x:c r="K139" s="30" t="n">
        <x:f>IF(COUNT('总览与权重'!$H$7:$K$7)=4,ROUND(100*SUMPRODUCT(E139:H139,'总览与权重'!$H$7:$K$7),12),"NA")</x:f>
        <x:v>20.295093194144</x:v>
      </x:c>
      <x:c r="L139" s="30" t="n">
        <x:f>IF(ISNUMBER(K139),COUNTIFS($K$6:$K$179,"&gt;"&amp;K139)+(COUNTIFS($K$6:$K$179,K139)+1)/2,"NA")</x:f>
        <x:v>99</x:v>
      </x:c>
      <x:c r="M139" s="30" t="n">
        <x:f>IF(COUNT('总览与权重'!$H$8:$K$8)=4,ROUND(100*SUMPRODUCT(E139:H139,'总览与权重'!$H$8:$K$8),12),"NA")</x:f>
        <x:v>26.98264293779</x:v>
      </x:c>
      <x:c r="N139" s="30" t="n">
        <x:f>IF(ISNUMBER(M139),COUNTIFS($M$6:$M$179,"&gt;"&amp;M139)+(COUNTIFS($M$6:$M$179,M139)+1)/2,"NA")</x:f>
        <x:v>129</x:v>
      </x:c>
      <x:c r="O139" s="30" t="n">
        <x:f>IF(COUNT('总览与权重'!$H$9:$K$9)=4,ROUND(100*SUMPRODUCT(E139:H139,'总览与权重'!$H$9:$K$9),12),"NA")</x:f>
        <x:v>24.961682385562</x:v>
      </x:c>
      <x:c r="P139" s="30" t="n">
        <x:f>IF(ISNUMBER(O139),COUNTIFS($O$6:$O$179,"&gt;"&amp;O139)+(COUNTIFS($O$6:$O$179,O139)+1)/2,"NA")</x:f>
        <x:v>135</x:v>
      </x:c>
      <x:c r="Q139" s="30" t="n">
        <x:f>IF(COUNT('总览与权重'!$H$10:$K$10)=4,ROUND(100*SUMPRODUCT(E139:H139,'总览与权重'!$H$10:$K$10),12),"NA")</x:f>
        <x:v>9.128066307668</x:v>
      </x:c>
      <x:c r="R139" s="30" t="n">
        <x:f>IF(ISNUMBER(Q139),COUNTIFS($Q$6:$Q$179,"&gt;"&amp;Q139)+(COUNTIFS($Q$6:$Q$179,Q139)+1)/2,"NA")</x:f>
        <x:v>106</x:v>
      </x:c>
      <x:c r="S139" s="31" t="n">
        <x:f>IF(OR(B139="s3",B139="s6"),COUNTIFS($B$6:$B$179,B139,$I$6:$I$179,"&gt;"&amp;I139)+(COUNTIFS($B$6:$B$179,B139,$I$6:$I$179,I139)+1)/2,"NA")</x:f>
        <x:v>127</x:v>
      </x:c>
      <x:c r="T139" s="26" t="str">
        <x:f>IF(COUNTIFS($I$6:$I$179,"&gt;"&amp;I139)&gt;=35,"非前20%",IF(COUNTIFS($I$6:$I$179,"&gt;="&amp;I139)&gt;=35,"边界同分","严格前20%"))</x:f>
        <x:v>非前20%</x:v>
      </x:c>
      <x:c r="U139" s="26" t="str">
        <x:f>IF(COUNTIFS($I$6:$I$179,"&lt;"&amp;I139)&gt;=35,"非后20%",IF(COUNTIFS($I$6:$I$179,"&lt;="&amp;I139)&gt;=35,"边界同分","严格后20%"))</x:f>
        <x:v>非后20%</x:v>
      </x:c>
      <x:c r="V139" s="26" t="n">
        <x:f>'基线调整'!I116</x:f>
        <x:v>54.914842258069</x:v>
      </x:c>
      <x:c r="W139" s="26" t="n">
        <x:f>'基线调整'!J116</x:f>
        <x:v>111</x:v>
      </x:c>
      <x:c r="X139" s="22" t="str">
        <x:v>["S0368","S0418"]</x:v>
      </x:c>
      <x:c r="Y139" s="22" t="str">
        <x:v>evidence/student_evidence.jsonl；student_key=2025秋:259449</x:v>
      </x:c>
      <x:c r="Z139" s="26" t="n">
        <x:f>IF(OR(B139="s3",B139="s6"),COUNTIFS($B$6:$B$179,B139,$K$6:$K$179,"&gt;"&amp;K139)+(COUNTIFS($B$6:$B$179,B139,$K$6:$K$179,K139)+1)/2,"NA")</x:f>
        <x:v>92</x:v>
      </x:c>
      <x:c r="AA139" s="26" t="n">
        <x:f>IF(OR(B139="s3",B139="s6"),COUNTIFS($B$6:$B$179,B139,$M$6:$M$179,"&gt;"&amp;M139)+(COUNTIFS($B$6:$B$179,B139,$M$6:$M$179,M139)+1)/2,"NA")</x:f>
        <x:v>122</x:v>
      </x:c>
      <x:c r="AB139" s="26" t="n">
        <x:f>IF(OR(B139="s3",B139="s6"),COUNTIFS($B$6:$B$179,B139,$O$6:$O$179,"&gt;"&amp;O139)+(COUNTIFS($B$6:$B$179,B139,$O$6:$O$179,O139)+1)/2,"NA")</x:f>
        <x:v>128</x:v>
      </x:c>
      <x:c r="AC139" s="26" t="n">
        <x:f>IF(OR(B139="s3",B139="s6"),COUNTIFS($B$6:$B$179,B139,$Q$6:$Q$179,"&gt;"&amp;Q139)+(COUNTIFS($B$6:$B$179,B139,$Q$6:$Q$179,Q139)+1)/2,"NA")</x:f>
        <x:v>99</x:v>
      </x:c>
    </x:row>
    <x:row r="140" ht="23" customHeight="1">
      <x:c r="A140" s="21" t="str">
        <x:v>2026春:268444</x:v>
      </x:c>
      <x:c r="B140" s="22" t="str">
        <x:v>s3</x:v>
      </x:c>
      <x:c r="C140" s="24" t="n">
        <x:v>1</x:v>
      </x:c>
      <x:c r="D140" s="24" t="n">
        <x:v>1</x:v>
      </x:c>
      <x:c r="E140" s="29" t="n">
        <x:f>'指标计算'!K174</x:f>
        <x:v>0.031650835368013476</x:v>
      </x:c>
      <x:c r="F140" s="29" t="n">
        <x:f>'指标计算'!L174</x:f>
        <x:v>0.3798100244161617</x:v>
      </x:c>
      <x:c r="G140" s="29" t="n">
        <x:f>'指标计算'!M174</x:f>
        <x:v>0.3798100244161617</x:v>
      </x:c>
      <x:c r="H140" s="29" t="n">
        <x:f>'指标计算'!N174</x:f>
        <x:v>0.25</x:v>
      </x:c>
      <x:c r="I140" s="30" t="n">
        <x:f>IF(COUNT('总览与权重'!$H$6:$K$6)=4,ROUND(100*SUMPRODUCT(E140:H140,'总览与权重'!$H$6:$K$6),12),"NA")</x:f>
        <x:v>23.641926037687</x:v>
      </x:c>
      <x:c r="J140" s="30" t="n">
        <x:f>IF(ISNUMBER(I140),COUNTIFS($I$6:$I$179,"&gt;"&amp;I140)+(COUNTIFS($I$6:$I$179,I140)+1)/2,"NA")</x:f>
        <x:v>135</x:v>
      </x:c>
      <x:c r="K140" s="30" t="n">
        <x:f>IF(COUNT('总览与权重'!$H$7:$K$7)=4,ROUND(100*SUMPRODUCT(E140:H140,'总览与权重'!$H$7:$K$7),12),"NA")</x:f>
        <x:v>28.42161817233</x:v>
      </x:c>
      <x:c r="L140" s="30" t="n">
        <x:f>IF(ISNUMBER(K140),COUNTIFS($K$6:$K$179,"&gt;"&amp;K140)+(COUNTIFS($K$6:$K$179,K140)+1)/2,"NA")</x:f>
        <x:v>81</x:v>
      </x:c>
      <x:c r="M140" s="30" t="n">
        <x:f>IF(COUNT('总览与权重'!$H$8:$K$8)=4,ROUND(100*SUMPRODUCT(E140:H140,'总览与权重'!$H$8:$K$8),12),"NA")</x:f>
        <x:v>24.733671860847</x:v>
      </x:c>
      <x:c r="N140" s="30" t="n">
        <x:f>IF(ISNUMBER(M140),COUNTIFS($M$6:$M$179,"&gt;"&amp;M140)+(COUNTIFS($M$6:$M$179,M140)+1)/2,"NA")</x:f>
        <x:v>137</x:v>
      </x:c>
      <x:c r="O140" s="30" t="n">
        <x:f>IF(COUNT('总览与权重'!$H$9:$K$9)=4,ROUND(100*SUMPRODUCT(E140:H140,'总览与权重'!$H$9:$K$9),12),"NA")</x:f>
        <x:v>25.949358324391</x:v>
      </x:c>
      <x:c r="P140" s="30" t="n">
        <x:f>IF(ISNUMBER(O140),COUNTIFS($O$6:$O$179,"&gt;"&amp;O140)+(COUNTIFS($O$6:$O$179,O140)+1)/2,"NA")</x:f>
        <x:v>133</x:v>
      </x:c>
      <x:c r="Q140" s="30" t="n">
        <x:f>IF(COUNT('总览与权重'!$H$10:$K$10)=4,ROUND(100*SUMPRODUCT(E140:H140,'总览与权重'!$H$10:$K$10),12),"NA")</x:f>
        <x:v>26.309789469202</x:v>
      </x:c>
      <x:c r="R140" s="30" t="n">
        <x:f>IF(ISNUMBER(Q140),COUNTIFS($Q$6:$Q$179,"&gt;"&amp;Q140)+(COUNTIFS($Q$6:$Q$179,Q140)+1)/2,"NA")</x:f>
        <x:v>57</x:v>
      </x:c>
      <x:c r="S140" s="31" t="n">
        <x:f>IF(OR(B140="s3",B140="s6"),COUNTIFS($B$6:$B$179,B140,$I$6:$I$179,"&gt;"&amp;I140)+(COUNTIFS($B$6:$B$179,B140,$I$6:$I$179,I140)+1)/2,"NA")</x:f>
        <x:v>128</x:v>
      </x:c>
      <x:c r="T140" s="26" t="str">
        <x:f>IF(COUNTIFS($I$6:$I$179,"&gt;"&amp;I140)&gt;=35,"非前20%",IF(COUNTIFS($I$6:$I$179,"&gt;="&amp;I140)&gt;=35,"边界同分","严格前20%"))</x:f>
        <x:v>非前20%</x:v>
      </x:c>
      <x:c r="U140" s="26" t="str">
        <x:f>IF(COUNTIFS($I$6:$I$179,"&lt;"&amp;I140)&gt;=35,"非后20%",IF(COUNTIFS($I$6:$I$179,"&lt;="&amp;I140)&gt;=35,"边界同分","严格后20%"))</x:f>
        <x:v>非后20%</x:v>
      </x:c>
      <x:c r="V140" s="26" t="str">
        <x:v>NA</x:v>
      </x:c>
      <x:c r="W140" s="26" t="str">
        <x:v>NA</x:v>
      </x:c>
      <x:c r="X140" s="22" t="str">
        <x:v>["S1199"]</x:v>
      </x:c>
      <x:c r="Y140" s="22" t="str">
        <x:v>evidence/student_evidence.jsonl；student_key=2026春:268444</x:v>
      </x:c>
      <x:c r="Z140" s="26" t="n">
        <x:f>IF(OR(B140="s3",B140="s6"),COUNTIFS($B$6:$B$179,B140,$K$6:$K$179,"&gt;"&amp;K140)+(COUNTIFS($B$6:$B$179,B140,$K$6:$K$179,K140)+1)/2,"NA")</x:f>
        <x:v>76</x:v>
      </x:c>
      <x:c r="AA140" s="26" t="n">
        <x:f>IF(OR(B140="s3",B140="s6"),COUNTIFS($B$6:$B$179,B140,$M$6:$M$179,"&gt;"&amp;M140)+(COUNTIFS($B$6:$B$179,B140,$M$6:$M$179,M140)+1)/2,"NA")</x:f>
        <x:v>129</x:v>
      </x:c>
      <x:c r="AB140" s="26" t="n">
        <x:f>IF(OR(B140="s3",B140="s6"),COUNTIFS($B$6:$B$179,B140,$O$6:$O$179,"&gt;"&amp;O140)+(COUNTIFS($B$6:$B$179,B140,$O$6:$O$179,O140)+1)/2,"NA")</x:f>
        <x:v>127</x:v>
      </x:c>
      <x:c r="AC140" s="26" t="n">
        <x:f>IF(OR(B140="s3",B140="s6"),COUNTIFS($B$6:$B$179,B140,$Q$6:$Q$179,"&gt;"&amp;Q140)+(COUNTIFS($B$6:$B$179,B140,$Q$6:$Q$179,Q140)+1)/2,"NA")</x:f>
        <x:v>53</x:v>
      </x:c>
    </x:row>
    <x:row r="141" ht="23" customHeight="1">
      <x:c r="A141" s="21" t="str">
        <x:v>2026春:250695</x:v>
      </x:c>
      <x:c r="B141" s="22" t="str">
        <x:v>s6</x:v>
      </x:c>
      <x:c r="C141" s="24" t="n">
        <x:v>1</x:v>
      </x:c>
      <x:c r="D141" s="24" t="n">
        <x:v>1</x:v>
      </x:c>
      <x:c r="E141" s="29" t="n">
        <x:f>'指标计算'!K143</x:f>
        <x:v>0.016666666666666666</x:v>
      </x:c>
      <x:c r="F141" s="29" t="n">
        <x:f>'指标计算'!L143</x:f>
        <x:v>0.2</x:v>
      </x:c>
      <x:c r="G141" s="29" t="n">
        <x:f>'指标计算'!M143</x:f>
        <x:v>0.2</x:v>
      </x:c>
      <x:c r="H141" s="29" t="n">
        <x:f>'指标计算'!N143</x:f>
        <x:v>0.5</x:v>
      </x:c>
      <x:c r="I141" s="30" t="n">
        <x:f>IF(COUNT('总览与权重'!$H$6:$K$6)=4,ROUND(100*SUMPRODUCT(E141:H141,'总览与权重'!$H$6:$K$6),12),"NA")</x:f>
        <x:v>23.5</x:v>
      </x:c>
      <x:c r="J141" s="30" t="n">
        <x:f>IF(ISNUMBER(I141),COUNTIFS($I$6:$I$179,"&gt;"&amp;I141)+(COUNTIFS($I$6:$I$179,I141)+1)/2,"NA")</x:f>
        <x:v>136</x:v>
      </x:c>
      <x:c r="K141" s="30" t="n">
        <x:f>IF(COUNT('总览与权重'!$H$7:$K$7)=4,ROUND(100*SUMPRODUCT(E141:H141,'总览与权重'!$H$7:$K$7),12),"NA")</x:f>
        <x:v>22.333333333333</x:v>
      </x:c>
      <x:c r="L141" s="30" t="n">
        <x:f>IF(ISNUMBER(K141),COUNTIFS($K$6:$K$179,"&gt;"&amp;K141)+(COUNTIFS($K$6:$K$179,K141)+1)/2,"NA")</x:f>
        <x:v>98</x:v>
      </x:c>
      <x:c r="M141" s="30" t="n">
        <x:f>IF(COUNT('总览与权重'!$H$8:$K$8)=4,ROUND(100*SUMPRODUCT(E141:H141,'总览与权重'!$H$8:$K$8),12),"NA")</x:f>
        <x:v>25.916666666667</x:v>
      </x:c>
      <x:c r="N141" s="30" t="n">
        <x:f>IF(ISNUMBER(M141),COUNTIFS($M$6:$M$179,"&gt;"&amp;M141)+(COUNTIFS($M$6:$M$179,M141)+1)/2,"NA")</x:f>
        <x:v>135</x:v>
      </x:c>
      <x:c r="O141" s="30" t="n">
        <x:f>IF(COUNT('总览与权重'!$H$9:$K$9)=4,ROUND(100*SUMPRODUCT(E141:H141,'总览与权重'!$H$9:$K$9),12),"NA")</x:f>
        <x:v>24.715045490309</x:v>
      </x:c>
      <x:c r="P141" s="30" t="n">
        <x:f>IF(ISNUMBER(O141),COUNTIFS($O$6:$O$179,"&gt;"&amp;O141)+(COUNTIFS($O$6:$O$179,O141)+1)/2,"NA")</x:f>
        <x:v>136</x:v>
      </x:c>
      <x:c r="Q141" s="30" t="n">
        <x:f>IF(COUNT('总览与权重'!$H$10:$K$10)=4,ROUND(100*SUMPRODUCT(E141:H141,'总览与权重'!$H$10:$K$10),12),"NA")</x:f>
        <x:v>15.115419230891</x:v>
      </x:c>
      <x:c r="R141" s="30" t="n">
        <x:f>IF(ISNUMBER(Q141),COUNTIFS($Q$6:$Q$179,"&gt;"&amp;Q141)+(COUNTIFS($Q$6:$Q$179,Q141)+1)/2,"NA")</x:f>
        <x:v>85</x:v>
      </x:c>
      <x:c r="S141" s="31" t="n">
        <x:f>IF(OR(B141="s3",B141="s6"),COUNTIFS($B$6:$B$179,B141,$I$6:$I$179,"&gt;"&amp;I141)+(COUNTIFS($B$6:$B$179,B141,$I$6:$I$179,I141)+1)/2,"NA")</x:f>
        <x:v>7</x:v>
      </x:c>
      <x:c r="T141" s="26" t="str">
        <x:f>IF(COUNTIFS($I$6:$I$179,"&gt;"&amp;I141)&gt;=35,"非前20%",IF(COUNTIFS($I$6:$I$179,"&gt;="&amp;I141)&gt;=35,"边界同分","严格前20%"))</x:f>
        <x:v>非前20%</x:v>
      </x:c>
      <x:c r="U141" s="26" t="str">
        <x:f>IF(COUNTIFS($I$6:$I$179,"&lt;"&amp;I141)&gt;=35,"非后20%",IF(COUNTIFS($I$6:$I$179,"&lt;="&amp;I141)&gt;=35,"边界同分","严格后20%"))</x:f>
        <x:v>非后20%</x:v>
      </x:c>
      <x:c r="V141" s="26" t="n">
        <x:f>'基线调整'!I124</x:f>
        <x:v>51.302</x:v>
      </x:c>
      <x:c r="W141" s="26" t="n">
        <x:f>'基线调整'!J124</x:f>
        <x:v>119</x:v>
      </x:c>
      <x:c r="X141" s="22" t="str">
        <x:v>["S0818"]</x:v>
      </x:c>
      <x:c r="Y141" s="22" t="str">
        <x:v>evidence/student_evidence.jsonl；student_key=2026春:250695</x:v>
      </x:c>
      <x:c r="Z141" s="26" t="n">
        <x:f>IF(OR(B141="s3",B141="s6"),COUNTIFS($B$6:$B$179,B141,$K$6:$K$179,"&gt;"&amp;K141)+(COUNTIFS($B$6:$B$179,B141,$K$6:$K$179,K141)+1)/2,"NA")</x:f>
        <x:v>6</x:v>
      </x:c>
      <x:c r="AA141" s="26" t="n">
        <x:f>IF(OR(B141="s3",B141="s6"),COUNTIFS($B$6:$B$179,B141,$M$6:$M$179,"&gt;"&amp;M141)+(COUNTIFS($B$6:$B$179,B141,$M$6:$M$179,M141)+1)/2,"NA")</x:f>
        <x:v>7</x:v>
      </x:c>
      <x:c r="AB141" s="26" t="n">
        <x:f>IF(OR(B141="s3",B141="s6"),COUNTIFS($B$6:$B$179,B141,$O$6:$O$179,"&gt;"&amp;O141)+(COUNTIFS($B$6:$B$179,B141,$O$6:$O$179,O141)+1)/2,"NA")</x:f>
        <x:v>7</x:v>
      </x:c>
      <x:c r="AC141" s="26" t="n">
        <x:f>IF(OR(B141="s3",B141="s6"),COUNTIFS($B$6:$B$179,B141,$Q$6:$Q$179,"&gt;"&amp;Q141)+(COUNTIFS($B$6:$B$179,B141,$Q$6:$Q$179,Q141)+1)/2,"NA")</x:f>
        <x:v>6</x:v>
      </x:c>
    </x:row>
    <x:row r="142" ht="23" customHeight="1">
      <x:c r="A142" s="21" t="str">
        <x:v>2025秋:259419</x:v>
      </x:c>
      <x:c r="B142" s="22" t="str">
        <x:v>s3</x:v>
      </x:c>
      <x:c r="C142" s="24" t="n">
        <x:v>1</x:v>
      </x:c>
      <x:c r="D142" s="24" t="n">
        <x:v>1</x:v>
      </x:c>
      <x:c r="E142" s="29" t="n">
        <x:f>'指标计算'!K101</x:f>
        <x:v>0</x:v>
      </x:c>
      <x:c r="F142" s="29" t="n">
        <x:f>'指标计算'!L101</x:f>
        <x:v>0</x:v>
      </x:c>
      <x:c r="G142" s="29" t="n">
        <x:f>'指标计算'!M101</x:f>
        <x:v>0</x:v>
      </x:c>
      <x:c r="H142" s="29" t="n">
        <x:f>'指标计算'!N101</x:f>
        <x:v>0.75</x:v>
      </x:c>
      <x:c r="I142" s="30" t="n">
        <x:f>IF(COUNT('总览与权重'!$H$6:$K$6)=4,ROUND(100*SUMPRODUCT(E142:H142,'总览与权重'!$H$6:$K$6),12),"NA")</x:f>
        <x:v>22.5</x:v>
      </x:c>
      <x:c r="J142" s="30" t="n">
        <x:f>IF(ISNUMBER(I142),COUNTIFS($I$6:$I$179,"&gt;"&amp;I142)+(COUNTIFS($I$6:$I$179,I142)+1)/2,"NA")</x:f>
        <x:v>137</x:v>
      </x:c>
      <x:c r="K142" s="30" t="n">
        <x:f>IF(COUNT('总览与权重'!$H$7:$K$7)=4,ROUND(100*SUMPRODUCT(E142:H142,'总览与权重'!$H$7:$K$7),12),"NA")</x:f>
        <x:v>15</x:v>
      </x:c>
      <x:c r="L142" s="30" t="n">
        <x:f>IF(ISNUMBER(K142),COUNTIFS($K$6:$K$179,"&gt;"&amp;K142)+(COUNTIFS($K$6:$K$179,K142)+1)/2,"NA")</x:f>
        <x:v>146</x:v>
      </x:c>
      <x:c r="M142" s="30" t="n">
        <x:f>IF(COUNT('总览与权重'!$H$8:$K$8)=4,ROUND(100*SUMPRODUCT(E142:H142,'总览与权重'!$H$8:$K$8),12),"NA")</x:f>
        <x:v>26.25</x:v>
      </x:c>
      <x:c r="N142" s="30" t="n">
        <x:f>IF(ISNUMBER(M142),COUNTIFS($M$6:$M$179,"&gt;"&amp;M142)+(COUNTIFS($M$6:$M$179,M142)+1)/2,"NA")</x:f>
        <x:v>134</x:v>
      </x:c>
      <x:c r="O142" s="30" t="n">
        <x:f>IF(COUNT('总览与权重'!$H$9:$K$9)=4,ROUND(100*SUMPRODUCT(E142:H142,'总览与权重'!$H$9:$K$9),12),"NA")</x:f>
        <x:v>22.5</x:v>
      </x:c>
      <x:c r="P142" s="30" t="n">
        <x:f>IF(ISNUMBER(O142),COUNTIFS($O$6:$O$179,"&gt;"&amp;O142)+(COUNTIFS($O$6:$O$179,O142)+1)/2,"NA")</x:f>
        <x:v>141</x:v>
      </x:c>
      <x:c r="Q142" s="30" t="n">
        <x:f>IF(COUNT('总览与权重'!$H$10:$K$10)=4,ROUND(100*SUMPRODUCT(E142:H142,'总览与权重'!$H$10:$K$10),12),"NA")</x:f>
        <x:v>2.567973686635</x:v>
      </x:c>
      <x:c r="R142" s="30" t="n">
        <x:f>IF(ISNUMBER(Q142),COUNTIFS($Q$6:$Q$179,"&gt;"&amp;Q142)+(COUNTIFS($Q$6:$Q$179,Q142)+1)/2,"NA")</x:f>
        <x:v>148</x:v>
      </x:c>
      <x:c r="S142" s="31" t="n">
        <x:f>IF(OR(B142="s3",B142="s6"),COUNTIFS($B$6:$B$179,B142,$I$6:$I$179,"&gt;"&amp;I142)+(COUNTIFS($B$6:$B$179,B142,$I$6:$I$179,I142)+1)/2,"NA")</x:f>
        <x:v>129</x:v>
      </x:c>
      <x:c r="T142" s="26" t="str">
        <x:f>IF(COUNTIFS($I$6:$I$179,"&gt;"&amp;I142)&gt;=35,"非前20%",IF(COUNTIFS($I$6:$I$179,"&gt;="&amp;I142)&gt;=35,"边界同分","严格前20%"))</x:f>
        <x:v>非前20%</x:v>
      </x:c>
      <x:c r="U142" s="26" t="str">
        <x:f>IF(COUNTIFS($I$6:$I$179,"&lt;"&amp;I142)&gt;=35,"非后20%",IF(COUNTIFS($I$6:$I$179,"&lt;="&amp;I142)&gt;=35,"边界同分","严格后20%"))</x:f>
        <x:v>非后20%</x:v>
      </x:c>
      <x:c r="V142" s="26" t="str">
        <x:v>NA</x:v>
      </x:c>
      <x:c r="W142" s="26" t="str">
        <x:v>NA</x:v>
      </x:c>
      <x:c r="X142" s="22" t="str">
        <x:v>["S0056"]</x:v>
      </x:c>
      <x:c r="Y142" s="22" t="str">
        <x:v>evidence/student_evidence.jsonl；student_key=2025秋:259419</x:v>
      </x:c>
      <x:c r="Z142" s="26" t="n">
        <x:f>IF(OR(B142="s3",B142="s6"),COUNTIFS($B$6:$B$179,B142,$K$6:$K$179,"&gt;"&amp;K142)+(COUNTIFS($B$6:$B$179,B142,$K$6:$K$179,K142)+1)/2,"NA")</x:f>
        <x:v>138</x:v>
      </x:c>
      <x:c r="AA142" s="26" t="n">
        <x:f>IF(OR(B142="s3",B142="s6"),COUNTIFS($B$6:$B$179,B142,$M$6:$M$179,"&gt;"&amp;M142)+(COUNTIFS($B$6:$B$179,B142,$M$6:$M$179,M142)+1)/2,"NA")</x:f>
        <x:v>127</x:v>
      </x:c>
      <x:c r="AB142" s="26" t="n">
        <x:f>IF(OR(B142="s3",B142="s6"),COUNTIFS($B$6:$B$179,B142,$O$6:$O$179,"&gt;"&amp;O142)+(COUNTIFS($B$6:$B$179,B142,$O$6:$O$179,O142)+1)/2,"NA")</x:f>
        <x:v>133</x:v>
      </x:c>
      <x:c r="AC142" s="26" t="n">
        <x:f>IF(OR(B142="s3",B142="s6"),COUNTIFS($B$6:$B$179,B142,$Q$6:$Q$179,"&gt;"&amp;Q142)+(COUNTIFS($B$6:$B$179,B142,$Q$6:$Q$179,Q142)+1)/2,"NA")</x:f>
        <x:v>140</x:v>
      </x:c>
    </x:row>
    <x:row r="143" ht="23" customHeight="1">
      <x:c r="A143" s="21" t="str">
        <x:v>2025秋:259339</x:v>
      </x:c>
      <x:c r="B143" s="22" t="str">
        <x:v>s3</x:v>
      </x:c>
      <x:c r="C143" s="24" t="n">
        <x:v>1</x:v>
      </x:c>
      <x:c r="D143" s="24" t="n">
        <x:v>1</x:v>
      </x:c>
      <x:c r="E143" s="29" t="n">
        <x:f>'指标计算'!K92</x:f>
        <x:v>0.02384413721671727</x:v>
      </x:c>
      <x:c r="F143" s="29" t="n">
        <x:f>'指标计算'!L92</x:f>
        <x:v>0.28612964660060725</x:v>
      </x:c>
      <x:c r="G143" s="29" t="n">
        <x:f>'指标计算'!M92</x:f>
        <x:v>0.28612964660060725</x:v>
      </x:c>
      <x:c r="H143" s="29" t="n">
        <x:f>'指标计算'!N92</x:f>
        <x:v>0.3333333333333333</x:v>
      </x:c>
      <x:c r="I143" s="30" t="n">
        <x:f>IF(COUNT('总览与权重'!$H$6:$K$6)=4,ROUND(100*SUMPRODUCT(E143:H143,'总览与权重'!$H$6:$K$6),12),"NA")</x:f>
        <x:v>22.160509980526</x:v>
      </x:c>
      <x:c r="J143" s="30" t="n">
        <x:f>IF(ISNUMBER(I143),COUNTIFS($I$6:$I$179,"&gt;"&amp;I143)+(COUNTIFS($I$6:$I$179,I143)+1)/2,"NA")</x:f>
        <x:v>138</x:v>
      </x:c>
      <x:c r="K143" s="30" t="n">
        <x:f>IF(COUNT('总览与权重'!$H$7:$K$7)=4,ROUND(100*SUMPRODUCT(E143:H143,'总览与权重'!$H$7:$K$7),12),"NA")</x:f>
        <x:v>24.311328207037</x:v>
      </x:c>
      <x:c r="L143" s="30" t="n">
        <x:f>IF(ISNUMBER(K143),COUNTIFS($K$6:$K$179,"&gt;"&amp;K143)+(COUNTIFS($K$6:$K$179,K143)+1)/2,"NA")</x:f>
        <x:v>96</x:v>
      </x:c>
      <x:c r="M143" s="30" t="n">
        <x:f>IF(COUNT('总览与权重'!$H$8:$K$8)=4,ROUND(100*SUMPRODUCT(E143:H143,'总览与权重'!$H$8:$K$8),12),"NA")</x:f>
        <x:v>23.707955961109</x:v>
      </x:c>
      <x:c r="N143" s="30" t="n">
        <x:f>IF(ISNUMBER(M143),COUNTIFS($M$6:$M$179,"&gt;"&amp;M143)+(COUNTIFS($M$6:$M$179,M143)+1)/2,"NA")</x:f>
        <x:v>140</x:v>
      </x:c>
      <x:c r="O143" s="30" t="n">
        <x:f>IF(COUNT('总览与权重'!$H$9:$K$9)=4,ROUND(100*SUMPRODUCT(E143:H143,'总览与权重'!$H$9:$K$9),12),"NA")</x:f>
        <x:v>23.898812664254</x:v>
      </x:c>
      <x:c r="P143" s="30" t="n">
        <x:f>IF(ISNUMBER(O143),COUNTIFS($O$6:$O$179,"&gt;"&amp;O143)+(COUNTIFS($O$6:$O$179,O143)+1)/2,"NA")</x:f>
        <x:v>137</x:v>
      </x:c>
      <x:c r="Q143" s="30" t="n">
        <x:f>IF(COUNT('总览与权重'!$H$10:$K$10)=4,ROUND(100*SUMPRODUCT(E143:H143,'总览与权重'!$H$10:$K$10),12),"NA")</x:f>
        <x:v>20.316924774158</x:v>
      </x:c>
      <x:c r="R143" s="30" t="n">
        <x:f>IF(ISNUMBER(Q143),COUNTIFS($Q$6:$Q$179,"&gt;"&amp;Q143)+(COUNTIFS($Q$6:$Q$179,Q143)+1)/2,"NA")</x:f>
        <x:v>80</x:v>
      </x:c>
      <x:c r="S143" s="31" t="n">
        <x:f>IF(OR(B143="s3",B143="s6"),COUNTIFS($B$6:$B$179,B143,$I$6:$I$179,"&gt;"&amp;I143)+(COUNTIFS($B$6:$B$179,B143,$I$6:$I$179,I143)+1)/2,"NA")</x:f>
        <x:v>130</x:v>
      </x:c>
      <x:c r="T143" s="26" t="str">
        <x:f>IF(COUNTIFS($I$6:$I$179,"&gt;"&amp;I143)&gt;=35,"非前20%",IF(COUNTIFS($I$6:$I$179,"&gt;="&amp;I143)&gt;=35,"边界同分","严格前20%"))</x:f>
        <x:v>非前20%</x:v>
      </x:c>
      <x:c r="U143" s="26" t="str">
        <x:f>IF(COUNTIFS($I$6:$I$179,"&lt;"&amp;I143)&gt;=35,"非后20%",IF(COUNTIFS($I$6:$I$179,"&lt;="&amp;I143)&gt;=35,"边界同分","严格后20%"))</x:f>
        <x:v>非后20%</x:v>
      </x:c>
      <x:c r="V143" s="26" t="str">
        <x:v>NA</x:v>
      </x:c>
      <x:c r="W143" s="26" t="str">
        <x:v>NA</x:v>
      </x:c>
      <x:c r="X143" s="22" t="str">
        <x:v>["S0119"]</x:v>
      </x:c>
      <x:c r="Y143" s="22" t="str">
        <x:v>evidence/student_evidence.jsonl；student_key=2025秋:259339</x:v>
      </x:c>
      <x:c r="Z143" s="26" t="n">
        <x:f>IF(OR(B143="s3",B143="s6"),COUNTIFS($B$6:$B$179,B143,$K$6:$K$179,"&gt;"&amp;K143)+(COUNTIFS($B$6:$B$179,B143,$K$6:$K$179,K143)+1)/2,"NA")</x:f>
        <x:v>91</x:v>
      </x:c>
      <x:c r="AA143" s="26" t="n">
        <x:f>IF(OR(B143="s3",B143="s6"),COUNTIFS($B$6:$B$179,B143,$M$6:$M$179,"&gt;"&amp;M143)+(COUNTIFS($B$6:$B$179,B143,$M$6:$M$179,M143)+1)/2,"NA")</x:f>
        <x:v>132</x:v>
      </x:c>
      <x:c r="AB143" s="26" t="n">
        <x:f>IF(OR(B143="s3",B143="s6"),COUNTIFS($B$6:$B$179,B143,$O$6:$O$179,"&gt;"&amp;O143)+(COUNTIFS($B$6:$B$179,B143,$O$6:$O$179,O143)+1)/2,"NA")</x:f>
        <x:v>129</x:v>
      </x:c>
      <x:c r="AC143" s="26" t="n">
        <x:f>IF(OR(B143="s3",B143="s6"),COUNTIFS($B$6:$B$179,B143,$Q$6:$Q$179,"&gt;"&amp;Q143)+(COUNTIFS($B$6:$B$179,B143,$Q$6:$Q$179,Q143)+1)/2,"NA")</x:f>
        <x:v>76</x:v>
      </x:c>
    </x:row>
    <x:row r="144" ht="23" customHeight="1">
      <x:c r="A144" s="21" t="str">
        <x:v>2025秋:259944</x:v>
      </x:c>
      <x:c r="B144" s="22" t="str">
        <x:v>s3</x:v>
      </x:c>
      <x:c r="C144" s="24" t="n">
        <x:v>1</x:v>
      </x:c>
      <x:c r="D144" s="24" t="n">
        <x:v>1</x:v>
      </x:c>
      <x:c r="E144" s="29" t="n">
        <x:f>'指标计算'!K129</x:f>
        <x:v>0.013025209698336952</x:v>
      </x:c>
      <x:c r="F144" s="29" t="n">
        <x:f>'指标计算'!L129</x:f>
        <x:v>0.15630251638004342</x:v>
      </x:c>
      <x:c r="G144" s="29" t="n">
        <x:f>'指标计算'!M129</x:f>
        <x:v>0.15630251638004342</x:v>
      </x:c>
      <x:c r="H144" s="29" t="n">
        <x:f>'指标计算'!N129</x:f>
        <x:v>0.5</x:v>
      </x:c>
      <x:c r="I144" s="30" t="n">
        <x:f>IF(COUNT('总览与权重'!$H$6:$K$6)=4,ROUND(100*SUMPRODUCT(E144:H144,'总览与权重'!$H$6:$K$6),12),"NA")</x:f>
        <x:v>21.642856946152</x:v>
      </x:c>
      <x:c r="J144" s="30" t="n">
        <x:f>IF(ISNUMBER(I144),COUNTIFS($I$6:$I$179,"&gt;"&amp;I144)+(COUNTIFS($I$6:$I$179,I144)+1)/2,"NA")</x:f>
        <x:v>139</x:v>
      </x:c>
      <x:c r="K144" s="30" t="n">
        <x:f>IF(COUNT('总览与权重'!$H$7:$K$7)=4,ROUND(100*SUMPRODUCT(E144:H144,'总览与权重'!$H$7:$K$7),12),"NA")</x:f>
        <x:v>19.638655176769</x:v>
      </x:c>
      <x:c r="L144" s="30" t="n">
        <x:f>IF(ISNUMBER(K144),COUNTIFS($K$6:$K$179,"&gt;"&amp;K144)+(COUNTIFS($K$6:$K$179,K144)+1)/2,"NA")</x:f>
        <x:v>139</x:v>
      </x:c>
      <x:c r="M144" s="30" t="n">
        <x:f>IF(COUNT('总览与权重'!$H$8:$K$8)=4,ROUND(100*SUMPRODUCT(E144:H144,'总览与权重'!$H$8:$K$8),12),"NA")</x:f>
        <x:v>24.07773089766</x:v>
      </x:c>
      <x:c r="N144" s="30" t="n">
        <x:f>IF(ISNUMBER(M144),COUNTIFS($M$6:$M$179,"&gt;"&amp;M144)+(COUNTIFS($M$6:$M$179,M144)+1)/2,"NA")</x:f>
        <x:v>138</x:v>
      </x:c>
      <x:c r="O144" s="30" t="n">
        <x:f>IF(COUNT('总览与权重'!$H$9:$K$9)=4,ROUND(100*SUMPRODUCT(E144:H144,'总览与权重'!$H$9:$K$9),12),"NA")</x:f>
        <x:v>22.592430284409</x:v>
      </x:c>
      <x:c r="P144" s="30" t="n">
        <x:f>IF(ISNUMBER(O144),COUNTIFS($O$6:$O$179,"&gt;"&amp;O144)+(COUNTIFS($O$6:$O$179,O144)+1)/2,"NA")</x:f>
        <x:v>139</x:v>
      </x:c>
      <x:c r="Q144" s="30" t="n">
        <x:f>IF(COUNT('总览与权重'!$H$10:$K$10)=4,ROUND(100*SUMPRODUCT(E144:H144,'总览与权重'!$H$10:$K$10),12),"NA")</x:f>
        <x:v>12.186936936666</x:v>
      </x:c>
      <x:c r="R144" s="30" t="n">
        <x:f>IF(ISNUMBER(Q144),COUNTIFS($Q$6:$Q$179,"&gt;"&amp;Q144)+(COUNTIFS($Q$6:$Q$179,Q144)+1)/2,"NA")</x:f>
        <x:v>91</x:v>
      </x:c>
      <x:c r="S144" s="31" t="n">
        <x:f>IF(OR(B144="s3",B144="s6"),COUNTIFS($B$6:$B$179,B144,$I$6:$I$179,"&gt;"&amp;I144)+(COUNTIFS($B$6:$B$179,B144,$I$6:$I$179,I144)+1)/2,"NA")</x:f>
        <x:v>131</x:v>
      </x:c>
      <x:c r="T144" s="26" t="str">
        <x:f>IF(COUNTIFS($I$6:$I$179,"&gt;"&amp;I144)&gt;=35,"非前20%",IF(COUNTIFS($I$6:$I$179,"&gt;="&amp;I144)&gt;=35,"边界同分","严格前20%"))</x:f>
        <x:v>非前20%</x:v>
      </x:c>
      <x:c r="U144" s="26" t="str">
        <x:f>IF(COUNTIFS($I$6:$I$179,"&lt;"&amp;I144)&gt;=35,"非后20%",IF(COUNTIFS($I$6:$I$179,"&lt;="&amp;I144)&gt;=35,"边界同分","严格后20%"))</x:f>
        <x:v>非后20%</x:v>
      </x:c>
      <x:c r="V144" s="26" t="str">
        <x:v>NA</x:v>
      </x:c>
      <x:c r="W144" s="26" t="str">
        <x:v>NA</x:v>
      </x:c>
      <x:c r="X144" s="22" t="str">
        <x:v>["S0168"]</x:v>
      </x:c>
      <x:c r="Y144" s="22" t="str">
        <x:v>evidence/student_evidence.jsonl；student_key=2025秋:259944</x:v>
      </x:c>
      <x:c r="Z144" s="26" t="n">
        <x:f>IF(OR(B144="s3",B144="s6"),COUNTIFS($B$6:$B$179,B144,$K$6:$K$179,"&gt;"&amp;K144)+(COUNTIFS($B$6:$B$179,B144,$K$6:$K$179,K144)+1)/2,"NA")</x:f>
        <x:v>131</x:v>
      </x:c>
      <x:c r="AA144" s="26" t="n">
        <x:f>IF(OR(B144="s3",B144="s6"),COUNTIFS($B$6:$B$179,B144,$M$6:$M$179,"&gt;"&amp;M144)+(COUNTIFS($B$6:$B$179,B144,$M$6:$M$179,M144)+1)/2,"NA")</x:f>
        <x:v>130</x:v>
      </x:c>
      <x:c r="AB144" s="26" t="n">
        <x:f>IF(OR(B144="s3",B144="s6"),COUNTIFS($B$6:$B$179,B144,$O$6:$O$179,"&gt;"&amp;O144)+(COUNTIFS($B$6:$B$179,B144,$O$6:$O$179,O144)+1)/2,"NA")</x:f>
        <x:v>131</x:v>
      </x:c>
      <x:c r="AC144" s="26" t="n">
        <x:f>IF(OR(B144="s3",B144="s6"),COUNTIFS($B$6:$B$179,B144,$Q$6:$Q$179,"&gt;"&amp;Q144)+(COUNTIFS($B$6:$B$179,B144,$Q$6:$Q$179,Q144)+1)/2,"NA")</x:f>
        <x:v>84</x:v>
      </x:c>
    </x:row>
    <x:row r="145" ht="23" customHeight="1">
      <x:c r="A145" s="21" t="str">
        <x:v>2025秋:259854</x:v>
      </x:c>
      <x:c r="B145" s="22" t="str">
        <x:v>s3</x:v>
      </x:c>
      <x:c r="C145" s="24" t="n">
        <x:v>1</x:v>
      </x:c>
      <x:c r="D145" s="24" t="n">
        <x:v>1</x:v>
      </x:c>
      <x:c r="E145" s="29" t="n">
        <x:f>'指标计算'!K115</x:f>
        <x:v>0.012998112998112994</x:v>
      </x:c>
      <x:c r="F145" s="29" t="n">
        <x:f>'指标计算'!L115</x:f>
        <x:v>0.15597735597735593</x:v>
      </x:c>
      <x:c r="G145" s="29" t="n">
        <x:f>'指标计算'!M115</x:f>
        <x:v>0.15597735597735593</x:v>
      </x:c>
      <x:c r="H145" s="29" t="n">
        <x:f>'指标计算'!N115</x:f>
        <x:v>0.5</x:v>
      </x:c>
      <x:c r="I145" s="30" t="n">
        <x:f>IF(COUNT('总览与权重'!$H$6:$K$6)=4,ROUND(100*SUMPRODUCT(E145:H145,'总览与权重'!$H$6:$K$6),12),"NA")</x:f>
        <x:v>21.629037629038</x:v>
      </x:c>
      <x:c r="J145" s="30" t="n">
        <x:f>IF(ISNUMBER(I145),COUNTIFS($I$6:$I$179,"&gt;"&amp;I145)+(COUNTIFS($I$6:$I$179,I145)+1)/2,"NA")</x:f>
        <x:v>140</x:v>
      </x:c>
      <x:c r="K145" s="30" t="n">
        <x:f>IF(COUNT('总览与权重'!$H$7:$K$7)=4,ROUND(100*SUMPRODUCT(E145:H145,'总览与权重'!$H$7:$K$7),12),"NA")</x:f>
        <x:v>19.618603618604</x:v>
      </x:c>
      <x:c r="L145" s="30" t="n">
        <x:f>IF(ISNUMBER(K145),COUNTIFS($K$6:$K$179,"&gt;"&amp;K145)+(COUNTIFS($K$6:$K$179,K145)+1)/2,"NA")</x:f>
        <x:v>140</x:v>
      </x:c>
      <x:c r="M145" s="30" t="n">
        <x:f>IF(COUNT('总览与权重'!$H$8:$K$8)=4,ROUND(100*SUMPRODUCT(E145:H145,'总览与权重'!$H$8:$K$8),12),"NA")</x:f>
        <x:v>24.064047064047</x:v>
      </x:c>
      <x:c r="N145" s="30" t="n">
        <x:f>IF(ISNUMBER(M145),COUNTIFS($M$6:$M$179,"&gt;"&amp;M145)+(COUNTIFS($M$6:$M$179,M145)+1)/2,"NA")</x:f>
        <x:v>139</x:v>
      </x:c>
      <x:c r="O145" s="30" t="n">
        <x:f>IF(COUNT('总览与权重'!$H$9:$K$9)=4,ROUND(100*SUMPRODUCT(E145:H145,'总览与权重'!$H$9:$K$9),12),"NA")</x:f>
        <x:v>22.57663554389</x:v>
      </x:c>
      <x:c r="P145" s="30" t="n">
        <x:f>IF(ISNUMBER(O145),COUNTIFS($O$6:$O$179,"&gt;"&amp;O145)+(COUNTIFS($O$6:$O$179,O145)+1)/2,"NA")</x:f>
        <x:v>140</x:v>
      </x:c>
      <x:c r="Q145" s="30" t="n">
        <x:f>IF(COUNT('总览与权重'!$H$10:$K$10)=4,ROUND(100*SUMPRODUCT(E145:H145,'总览与权重'!$H$10:$K$10),12),"NA")</x:f>
        <x:v>12.165145602173</x:v>
      </x:c>
      <x:c r="R145" s="30" t="n">
        <x:f>IF(ISNUMBER(Q145),COUNTIFS($Q$6:$Q$179,"&gt;"&amp;Q145)+(COUNTIFS($Q$6:$Q$179,Q145)+1)/2,"NA")</x:f>
        <x:v>92</x:v>
      </x:c>
      <x:c r="S145" s="31" t="n">
        <x:f>IF(OR(B145="s3",B145="s6"),COUNTIFS($B$6:$B$179,B145,$I$6:$I$179,"&gt;"&amp;I145)+(COUNTIFS($B$6:$B$179,B145,$I$6:$I$179,I145)+1)/2,"NA")</x:f>
        <x:v>132</x:v>
      </x:c>
      <x:c r="T145" s="26" t="str">
        <x:f>IF(COUNTIFS($I$6:$I$179,"&gt;"&amp;I145)&gt;=35,"非前20%",IF(COUNTIFS($I$6:$I$179,"&gt;="&amp;I145)&gt;=35,"边界同分","严格前20%"))</x:f>
        <x:v>非前20%</x:v>
      </x:c>
      <x:c r="U145" s="26" t="str">
        <x:f>IF(COUNTIFS($I$6:$I$179,"&lt;"&amp;I145)&gt;=35,"非后20%",IF(COUNTIFS($I$6:$I$179,"&lt;="&amp;I145)&gt;=35,"边界同分","严格后20%"))</x:f>
        <x:v>边界同分</x:v>
      </x:c>
      <x:c r="V145" s="26" t="str">
        <x:v>NA</x:v>
      </x:c>
      <x:c r="W145" s="26" t="str">
        <x:v>NA</x:v>
      </x:c>
      <x:c r="X145" s="22" t="str">
        <x:v>["S0274"]</x:v>
      </x:c>
      <x:c r="Y145" s="22" t="str">
        <x:v>evidence/student_evidence.jsonl；student_key=2025秋:259854</x:v>
      </x:c>
      <x:c r="Z145" s="26" t="n">
        <x:f>IF(OR(B145="s3",B145="s6"),COUNTIFS($B$6:$B$179,B145,$K$6:$K$179,"&gt;"&amp;K145)+(COUNTIFS($B$6:$B$179,B145,$K$6:$K$179,K145)+1)/2,"NA")</x:f>
        <x:v>132</x:v>
      </x:c>
      <x:c r="AA145" s="26" t="n">
        <x:f>IF(OR(B145="s3",B145="s6"),COUNTIFS($B$6:$B$179,B145,$M$6:$M$179,"&gt;"&amp;M145)+(COUNTIFS($B$6:$B$179,B145,$M$6:$M$179,M145)+1)/2,"NA")</x:f>
        <x:v>131</x:v>
      </x:c>
      <x:c r="AB145" s="26" t="n">
        <x:f>IF(OR(B145="s3",B145="s6"),COUNTIFS($B$6:$B$179,B145,$O$6:$O$179,"&gt;"&amp;O145)+(COUNTIFS($B$6:$B$179,B145,$O$6:$O$179,O145)+1)/2,"NA")</x:f>
        <x:v>132</x:v>
      </x:c>
      <x:c r="AC145" s="26" t="n">
        <x:f>IF(OR(B145="s3",B145="s6"),COUNTIFS($B$6:$B$179,B145,$Q$6:$Q$179,"&gt;"&amp;Q145)+(COUNTIFS($B$6:$B$179,B145,$Q$6:$Q$179,Q145)+1)/2,"NA")</x:f>
        <x:v>85</x:v>
      </x:c>
    </x:row>
    <x:row r="146" ht="23" customHeight="1">
      <x:c r="A146" s="21" t="str">
        <x:v>2026春:268135</x:v>
      </x:c>
      <x:c r="B146" s="22" t="str">
        <x:v>s3</x:v>
      </x:c>
      <x:c r="C146" s="24" t="n">
        <x:v>1</x:v>
      </x:c>
      <x:c r="D146" s="24" t="n">
        <x:v>1</x:v>
      </x:c>
      <x:c r="E146" s="29" t="n">
        <x:f>'指标计算'!K156</x:f>
        <x:v>0.026655170185737737</x:v>
      </x:c>
      <x:c r="F146" s="29" t="n">
        <x:f>'指标计算'!L156</x:f>
        <x:v>0.31986204222885284</x:v>
      </x:c>
      <x:c r="G146" s="29" t="n">
        <x:f>'指标计算'!M156</x:f>
        <x:v>0.31986204222885284</x:v>
      </x:c>
      <x:c r="H146" s="29" t="n">
        <x:f>'指标计算'!N156</x:f>
        <x:v>0.25</x:v>
      </x:c>
      <x:c r="I146" s="30" t="n">
        <x:f>IF(COUNT('总览与权重'!$H$6:$K$6)=4,ROUND(100*SUMPRODUCT(E146:H146,'总览与权重'!$H$6:$K$6),12),"NA")</x:f>
        <x:v>21.094136794726</x:v>
      </x:c>
      <x:c r="J146" s="30" t="n">
        <x:f>IF(ISNUMBER(I146),COUNTIFS($I$6:$I$179,"&gt;"&amp;I146)+(COUNTIFS($I$6:$I$179,I146)+1)/2,"NA")</x:f>
        <x:v>141</x:v>
      </x:c>
      <x:c r="K146" s="30" t="n">
        <x:f>IF(COUNT('总览与权重'!$H$7:$K$7)=4,ROUND(100*SUMPRODUCT(E146:H146,'总览与权重'!$H$7:$K$7),12),"NA")</x:f>
        <x:v>24.724825937446</x:v>
      </x:c>
      <x:c r="L146" s="30" t="n">
        <x:f>IF(ISNUMBER(K146),COUNTIFS($K$6:$K$179,"&gt;"&amp;K146)+(COUNTIFS($K$6:$K$179,K146)+1)/2,"NA")</x:f>
        <x:v>95</x:v>
      </x:c>
      <x:c r="M146" s="30" t="n">
        <x:f>IF(COUNT('总览与权重'!$H$8:$K$8)=4,ROUND(100*SUMPRODUCT(E146:H146,'总览与权重'!$H$8:$K$8),12),"NA")</x:f>
        <x:v>22.210860943798</x:v>
      </x:c>
      <x:c r="N146" s="30" t="n">
        <x:f>IF(ISNUMBER(M146),COUNTIFS($M$6:$M$179,"&gt;"&amp;M146)+(COUNTIFS($M$6:$M$179,M146)+1)/2,"NA")</x:f>
        <x:v>146</x:v>
      </x:c>
      <x:c r="O146" s="30" t="n">
        <x:f>IF(COUNT('总览与权重'!$H$9:$K$9)=4,ROUND(100*SUMPRODUCT(E146:H146,'总览与权重'!$H$9:$K$9),12),"NA")</x:f>
        <x:v>23.037371454382</x:v>
      </x:c>
      <x:c r="P146" s="30" t="n">
        <x:f>IF(ISNUMBER(O146),COUNTIFS($O$6:$O$179,"&gt;"&amp;O146)+(COUNTIFS($O$6:$O$179,O146)+1)/2,"NA")</x:f>
        <x:v>138</x:v>
      </x:c>
      <x:c r="Q146" s="30" t="n">
        <x:f>IF(COUNT('总览与权重'!$H$10:$K$10)=4,ROUND(100*SUMPRODUCT(E146:H146,'总览与权重'!$H$10:$K$10),12),"NA")</x:f>
        <x:v>22.292244524579</x:v>
      </x:c>
      <x:c r="R146" s="30" t="n">
        <x:f>IF(ISNUMBER(Q146),COUNTIFS($Q$6:$Q$179,"&gt;"&amp;Q146)+(COUNTIFS($Q$6:$Q$179,Q146)+1)/2,"NA")</x:f>
        <x:v>76</x:v>
      </x:c>
      <x:c r="S146" s="31" t="n">
        <x:f>IF(OR(B146="s3",B146="s6"),COUNTIFS($B$6:$B$179,B146,$I$6:$I$179,"&gt;"&amp;I146)+(COUNTIFS($B$6:$B$179,B146,$I$6:$I$179,I146)+1)/2,"NA")</x:f>
        <x:v>133</x:v>
      </x:c>
      <x:c r="T146" s="26" t="str">
        <x:f>IF(COUNTIFS($I$6:$I$179,"&gt;"&amp;I146)&gt;=35,"非前20%",IF(COUNTIFS($I$6:$I$179,"&gt;="&amp;I146)&gt;=35,"边界同分","严格前20%"))</x:f>
        <x:v>非前20%</x:v>
      </x:c>
      <x:c r="U146" s="26" t="str">
        <x:f>IF(COUNTIFS($I$6:$I$179,"&lt;"&amp;I146)&gt;=35,"非后20%",IF(COUNTIFS($I$6:$I$179,"&lt;="&amp;I146)&gt;=35,"边界同分","严格后20%"))</x:f>
        <x:v>严格后20%</x:v>
      </x:c>
      <x:c r="V146" s="26" t="n">
        <x:f>'基线调整'!I147</x:f>
        <x:v>46.792012452497</x:v>
      </x:c>
      <x:c r="W146" s="26" t="n">
        <x:f>'基线调整'!J147</x:f>
        <x:v>142</x:v>
      </x:c>
      <x:c r="X146" s="22" t="str">
        <x:v>["S0948"]</x:v>
      </x:c>
      <x:c r="Y146" s="22" t="str">
        <x:v>evidence/student_evidence.jsonl；student_key=2026春:268135</x:v>
      </x:c>
      <x:c r="Z146" s="26" t="n">
        <x:f>IF(OR(B146="s3",B146="s6"),COUNTIFS($B$6:$B$179,B146,$K$6:$K$179,"&gt;"&amp;K146)+(COUNTIFS($B$6:$B$179,B146,$K$6:$K$179,K146)+1)/2,"NA")</x:f>
        <x:v>90</x:v>
      </x:c>
      <x:c r="AA146" s="26" t="n">
        <x:f>IF(OR(B146="s3",B146="s6"),COUNTIFS($B$6:$B$179,B146,$M$6:$M$179,"&gt;"&amp;M146)+(COUNTIFS($B$6:$B$179,B146,$M$6:$M$179,M146)+1)/2,"NA")</x:f>
        <x:v>137</x:v>
      </x:c>
      <x:c r="AB146" s="26" t="n">
        <x:f>IF(OR(B146="s3",B146="s6"),COUNTIFS($B$6:$B$179,B146,$O$6:$O$179,"&gt;"&amp;O146)+(COUNTIFS($B$6:$B$179,B146,$O$6:$O$179,O146)+1)/2,"NA")</x:f>
        <x:v>130</x:v>
      </x:c>
      <x:c r="AC146" s="26" t="n">
        <x:f>IF(OR(B146="s3",B146="s6"),COUNTIFS($B$6:$B$179,B146,$Q$6:$Q$179,"&gt;"&amp;Q146)+(COUNTIFS($B$6:$B$179,B146,$Q$6:$Q$179,Q146)+1)/2,"NA")</x:f>
        <x:v>72</x:v>
      </x:c>
    </x:row>
    <x:row r="147" ht="23" customHeight="1">
      <x:c r="A147" s="21" t="str">
        <x:v>2025秋:259452</x:v>
      </x:c>
      <x:c r="B147" s="22" t="str">
        <x:v>s3</x:v>
      </x:c>
      <x:c r="C147" s="24" t="n">
        <x:v>1</x:v>
      </x:c>
      <x:c r="D147" s="24" t="n">
        <x:v>1</x:v>
      </x:c>
      <x:c r="E147" s="29" t="n">
        <x:f>'指标计算'!K109</x:f>
        <x:v>0.011652828106214819</x:v>
      </x:c>
      <x:c r="F147" s="29" t="n">
        <x:f>'指标计算'!L109</x:f>
        <x:v>0.13983393727457782</x:v>
      </x:c>
      <x:c r="G147" s="29" t="n">
        <x:f>'指标计算'!M109</x:f>
        <x:v>0.13983393727457782</x:v>
      </x:c>
      <x:c r="H147" s="29" t="n">
        <x:f>'指标计算'!N109</x:f>
        <x:v>0.5</x:v>
      </x:c>
      <x:c r="I147" s="30" t="n">
        <x:f>IF(COUNT('总览与权重'!$H$6:$K$6)=4,ROUND(100*SUMPRODUCT(E147:H147,'总览与权重'!$H$6:$K$6),12),"NA")</x:f>
        <x:v>20.94294233417</x:v>
      </x:c>
      <x:c r="J147" s="30" t="n">
        <x:f>IF(ISNUMBER(I147),COUNTIFS($I$6:$I$179,"&gt;"&amp;I147)+(COUNTIFS($I$6:$I$179,I147)+1)/2,"NA")</x:f>
        <x:v>142</x:v>
      </x:c>
      <x:c r="K147" s="30" t="n">
        <x:f>IF(COUNT('总览与权重'!$H$7:$K$7)=4,ROUND(100*SUMPRODUCT(E147:H147,'总览与权重'!$H$7:$K$7),12),"NA")</x:f>
        <x:v>18.623092798599</x:v>
      </x:c>
      <x:c r="L147" s="30" t="n">
        <x:f>IF(ISNUMBER(K147),COUNTIFS($K$6:$K$179,"&gt;"&amp;K147)+(COUNTIFS($K$6:$K$179,K147)+1)/2,"NA")</x:f>
        <x:v>141</x:v>
      </x:c>
      <x:c r="M147" s="30" t="n">
        <x:f>IF(COUNT('总览与权重'!$H$8:$K$8)=4,ROUND(100*SUMPRODUCT(E147:H147,'总览与权重'!$H$8:$K$8),12),"NA")</x:f>
        <x:v>23.384678193638</x:v>
      </x:c>
      <x:c r="N147" s="30" t="n">
        <x:f>IF(ISNUMBER(M147),COUNTIFS($M$6:$M$179,"&gt;"&amp;M147)+(COUNTIFS($M$6:$M$179,M147)+1)/2,"NA")</x:f>
        <x:v>141</x:v>
      </x:c>
      <x:c r="O147" s="30" t="n">
        <x:f>IF(COUNT('总览与权重'!$H$9:$K$9)=4,ROUND(100*SUMPRODUCT(E147:H147,'总览与权重'!$H$9:$K$9),12),"NA")</x:f>
        <x:v>21.792465308558</x:v>
      </x:c>
      <x:c r="P147" s="30" t="n">
        <x:f>IF(ISNUMBER(O147),COUNTIFS($O$6:$O$179,"&gt;"&amp;O147)+(COUNTIFS($O$6:$O$179,O147)+1)/2,"NA")</x:f>
        <x:v>142</x:v>
      </x:c>
      <x:c r="Q147" s="30" t="n">
        <x:f>IF(COUNT('总览与权重'!$H$10:$K$10)=4,ROUND(100*SUMPRODUCT(E147:H147,'总览与权重'!$H$10:$K$10),12),"NA")</x:f>
        <x:v>11.083259142748</x:v>
      </x:c>
      <x:c r="R147" s="30" t="n">
        <x:f>IF(ISNUMBER(Q147),COUNTIFS($Q$6:$Q$179,"&gt;"&amp;Q147)+(COUNTIFS($Q$6:$Q$179,Q147)+1)/2,"NA")</x:f>
        <x:v>97</x:v>
      </x:c>
      <x:c r="S147" s="31" t="n">
        <x:f>IF(OR(B147="s3",B147="s6"),COUNTIFS($B$6:$B$179,B147,$I$6:$I$179,"&gt;"&amp;I147)+(COUNTIFS($B$6:$B$179,B147,$I$6:$I$179,I147)+1)/2,"NA")</x:f>
        <x:v>134</x:v>
      </x:c>
      <x:c r="T147" s="26" t="str">
        <x:f>IF(COUNTIFS($I$6:$I$179,"&gt;"&amp;I147)&gt;=35,"非前20%",IF(COUNTIFS($I$6:$I$179,"&gt;="&amp;I147)&gt;=35,"边界同分","严格前20%"))</x:f>
        <x:v>非前20%</x:v>
      </x:c>
      <x:c r="U147" s="26" t="str">
        <x:f>IF(COUNTIFS($I$6:$I$179,"&lt;"&amp;I147)&gt;=35,"非后20%",IF(COUNTIFS($I$6:$I$179,"&lt;="&amp;I147)&gt;=35,"边界同分","严格后20%"))</x:f>
        <x:v>严格后20%</x:v>
      </x:c>
      <x:c r="V147" s="26" t="n">
        <x:f>'基线调整'!I120</x:f>
        <x:v>51.957900687136</x:v>
      </x:c>
      <x:c r="W147" s="26" t="n">
        <x:f>'基线调整'!J120</x:f>
        <x:v>115</x:v>
      </x:c>
      <x:c r="X147" s="22" t="str">
        <x:v>["S0501"]</x:v>
      </x:c>
      <x:c r="Y147" s="22" t="str">
        <x:v>evidence/student_evidence.jsonl；student_key=2025秋:259452</x:v>
      </x:c>
      <x:c r="Z147" s="26" t="n">
        <x:f>IF(OR(B147="s3",B147="s6"),COUNTIFS($B$6:$B$179,B147,$K$6:$K$179,"&gt;"&amp;K147)+(COUNTIFS($B$6:$B$179,B147,$K$6:$K$179,K147)+1)/2,"NA")</x:f>
        <x:v>133</x:v>
      </x:c>
      <x:c r="AA147" s="26" t="n">
        <x:f>IF(OR(B147="s3",B147="s6"),COUNTIFS($B$6:$B$179,B147,$M$6:$M$179,"&gt;"&amp;M147)+(COUNTIFS($B$6:$B$179,B147,$M$6:$M$179,M147)+1)/2,"NA")</x:f>
        <x:v>133</x:v>
      </x:c>
      <x:c r="AB147" s="26" t="n">
        <x:f>IF(OR(B147="s3",B147="s6"),COUNTIFS($B$6:$B$179,B147,$O$6:$O$179,"&gt;"&amp;O147)+(COUNTIFS($B$6:$B$179,B147,$O$6:$O$179,O147)+1)/2,"NA")</x:f>
        <x:v>134</x:v>
      </x:c>
      <x:c r="AC147" s="26" t="n">
        <x:f>IF(OR(B147="s3",B147="s6"),COUNTIFS($B$6:$B$179,B147,$Q$6:$Q$179,"&gt;"&amp;Q147)+(COUNTIFS($B$6:$B$179,B147,$Q$6:$Q$179,Q147)+1)/2,"NA")</x:f>
        <x:v>90</x:v>
      </x:c>
    </x:row>
    <x:row r="148" ht="23" customHeight="1">
      <x:c r="A148" s="21" t="str">
        <x:v>2025秋:259321</x:v>
      </x:c>
      <x:c r="B148" s="22" t="str">
        <x:v>s3</x:v>
      </x:c>
      <x:c r="C148" s="24" t="n">
        <x:v>1</x:v>
      </x:c>
      <x:c r="D148" s="24" t="n">
        <x:v>1</x:v>
      </x:c>
      <x:c r="E148" s="29" t="n">
        <x:f>'指标计算'!K83</x:f>
        <x:v>0.010953853729092614</x:v>
      </x:c>
      <x:c r="F148" s="29" t="n">
        <x:f>'指标计算'!L83</x:f>
        <x:v>0.13144624474911137</x:v>
      </x:c>
      <x:c r="G148" s="29" t="n">
        <x:f>'指标计算'!M83</x:f>
        <x:v>0.13144624474911137</x:v>
      </x:c>
      <x:c r="H148" s="29" t="n">
        <x:f>'指标计算'!N83</x:f>
        <x:v>0.5</x:v>
      </x:c>
      <x:c r="I148" s="30" t="n">
        <x:f>IF(COUNT('总览与权重'!$H$6:$K$6)=4,ROUND(100*SUMPRODUCT(E148:H148,'总览与权重'!$H$6:$K$6),12),"NA")</x:f>
        <x:v>20.586465401837</x:v>
      </x:c>
      <x:c r="J148" s="30" t="n">
        <x:f>IF(ISNUMBER(I148),COUNTIFS($I$6:$I$179,"&gt;"&amp;I148)+(COUNTIFS($I$6:$I$179,I148)+1)/2,"NA")</x:f>
        <x:v>143</x:v>
      </x:c>
      <x:c r="K148" s="30" t="n">
        <x:f>IF(COUNT('总览与权重'!$H$7:$K$7)=4,ROUND(100*SUMPRODUCT(E148:H148,'总览与权重'!$H$7:$K$7),12),"NA")</x:f>
        <x:v>18.105851759529</x:v>
      </x:c>
      <x:c r="L148" s="30" t="n">
        <x:f>IF(ISNUMBER(K148),COUNTIFS($K$6:$K$179,"&gt;"&amp;K148)+(COUNTIFS($K$6:$K$179,K148)+1)/2,"NA")</x:f>
        <x:v>142</x:v>
      </x:c>
      <x:c r="M148" s="30" t="n">
        <x:f>IF(COUNT('总览与权重'!$H$8:$K$8)=4,ROUND(100*SUMPRODUCT(E148:H148,'总览与权重'!$H$8:$K$8),12),"NA")</x:f>
        <x:v>23.031696133192</x:v>
      </x:c>
      <x:c r="N148" s="30" t="n">
        <x:f>IF(ISNUMBER(M148),COUNTIFS($M$6:$M$179,"&gt;"&amp;M148)+(COUNTIFS($M$6:$M$179,M148)+1)/2,"NA")</x:f>
        <x:v>145</x:v>
      </x:c>
      <x:c r="O148" s="30" t="n">
        <x:f>IF(COUNT('总览与权重'!$H$9:$K$9)=4,ROUND(100*SUMPRODUCT(E148:H148,'总览与权重'!$H$9:$K$9),12),"NA")</x:f>
        <x:v>21.385031236339</x:v>
      </x:c>
      <x:c r="P148" s="30" t="n">
        <x:f>IF(ISNUMBER(O148),COUNTIFS($O$6:$O$179,"&gt;"&amp;O148)+(COUNTIFS($O$6:$O$179,O148)+1)/2,"NA")</x:f>
        <x:v>143</x:v>
      </x:c>
      <x:c r="Q148" s="30" t="n">
        <x:f>IF(COUNT('总览与权重'!$H$10:$K$10)=4,ROUND(100*SUMPRODUCT(E148:H148,'总览与权重'!$H$10:$K$10),12),"NA")</x:f>
        <x:v>10.52113961056</x:v>
      </x:c>
      <x:c r="R148" s="30" t="n">
        <x:f>IF(ISNUMBER(Q148),COUNTIFS($Q$6:$Q$179,"&gt;"&amp;Q148)+(COUNTIFS($Q$6:$Q$179,Q148)+1)/2,"NA")</x:f>
        <x:v>103</x:v>
      </x:c>
      <x:c r="S148" s="31" t="n">
        <x:f>IF(OR(B148="s3",B148="s6"),COUNTIFS($B$6:$B$179,B148,$I$6:$I$179,"&gt;"&amp;I148)+(COUNTIFS($B$6:$B$179,B148,$I$6:$I$179,I148)+1)/2,"NA")</x:f>
        <x:v>135</x:v>
      </x:c>
      <x:c r="T148" s="26" t="str">
        <x:f>IF(COUNTIFS($I$6:$I$179,"&gt;"&amp;I148)&gt;=35,"非前20%",IF(COUNTIFS($I$6:$I$179,"&gt;="&amp;I148)&gt;=35,"边界同分","严格前20%"))</x:f>
        <x:v>非前20%</x:v>
      </x:c>
      <x:c r="U148" s="26" t="str">
        <x:f>IF(COUNTIFS($I$6:$I$179,"&lt;"&amp;I148)&gt;=35,"非后20%",IF(COUNTIFS($I$6:$I$179,"&lt;="&amp;I148)&gt;=35,"边界同分","严格后20%"))</x:f>
        <x:v>严格后20%</x:v>
      </x:c>
      <x:c r="V148" s="26" t="n">
        <x:f>'基线调整'!I122</x:f>
        <x:v>51.783856067233</x:v>
      </x:c>
      <x:c r="W148" s="26" t="n">
        <x:f>'基线调整'!J122</x:f>
        <x:v>117</x:v>
      </x:c>
      <x:c r="X148" s="22" t="str">
        <x:v>["S0288"]</x:v>
      </x:c>
      <x:c r="Y148" s="22" t="str">
        <x:v>evidence/student_evidence.jsonl；student_key=2025秋:259321</x:v>
      </x:c>
      <x:c r="Z148" s="26" t="n">
        <x:f>IF(OR(B148="s3",B148="s6"),COUNTIFS($B$6:$B$179,B148,$K$6:$K$179,"&gt;"&amp;K148)+(COUNTIFS($B$6:$B$179,B148,$K$6:$K$179,K148)+1)/2,"NA")</x:f>
        <x:v>134</x:v>
      </x:c>
      <x:c r="AA148" s="26" t="n">
        <x:f>IF(OR(B148="s3",B148="s6"),COUNTIFS($B$6:$B$179,B148,$M$6:$M$179,"&gt;"&amp;M148)+(COUNTIFS($B$6:$B$179,B148,$M$6:$M$179,M148)+1)/2,"NA")</x:f>
        <x:v>136</x:v>
      </x:c>
      <x:c r="AB148" s="26" t="n">
        <x:f>IF(OR(B148="s3",B148="s6"),COUNTIFS($B$6:$B$179,B148,$O$6:$O$179,"&gt;"&amp;O148)+(COUNTIFS($B$6:$B$179,B148,$O$6:$O$179,O148)+1)/2,"NA")</x:f>
        <x:v>135</x:v>
      </x:c>
      <x:c r="AC148" s="26" t="n">
        <x:f>IF(OR(B148="s3",B148="s6"),COUNTIFS($B$6:$B$179,B148,$Q$6:$Q$179,"&gt;"&amp;Q148)+(COUNTIFS($B$6:$B$179,B148,$Q$6:$Q$179,Q148)+1)/2,"NA")</x:f>
        <x:v>96</x:v>
      </x:c>
    </x:row>
    <x:row r="149" ht="23" customHeight="1">
      <x:c r="A149" s="21" t="str">
        <x:v>2025秋:259325</x:v>
      </x:c>
      <x:c r="B149" s="22" t="str">
        <x:v>s3</x:v>
      </x:c>
      <x:c r="C149" s="24" t="n">
        <x:v>1</x:v>
      </x:c>
      <x:c r="D149" s="24" t="n">
        <x:v>1</x:v>
      </x:c>
      <x:c r="E149" s="29" t="n">
        <x:f>'指标计算'!K85</x:f>
        <x:v>0</x:v>
      </x:c>
      <x:c r="F149" s="29" t="n">
        <x:f>'指标计算'!L85</x:f>
        <x:v>0</x:v>
      </x:c>
      <x:c r="G149" s="29" t="n">
        <x:f>'指标计算'!M85</x:f>
        <x:v>0</x:v>
      </x:c>
      <x:c r="H149" s="29" t="n">
        <x:f>'指标计算'!N85</x:f>
        <x:v>0.6666666666666666</x:v>
      </x:c>
      <x:c r="I149" s="30" t="n">
        <x:f>IF(COUNT('总览与权重'!$H$6:$K$6)=4,ROUND(100*SUMPRODUCT(E149:H149,'总览与权重'!$H$6:$K$6),12),"NA")</x:f>
        <x:v>20</x:v>
      </x:c>
      <x:c r="J149" s="30" t="n">
        <x:f>IF(ISNUMBER(I149),COUNTIFS($I$6:$I$179,"&gt;"&amp;I149)+(COUNTIFS($I$6:$I$179,I149)+1)/2,"NA")</x:f>
        <x:v>145</x:v>
      </x:c>
      <x:c r="K149" s="30" t="n">
        <x:f>IF(COUNT('总览与权重'!$H$7:$K$7)=4,ROUND(100*SUMPRODUCT(E149:H149,'总览与权重'!$H$7:$K$7),12),"NA")</x:f>
        <x:v>13.333333333333</x:v>
      </x:c>
      <x:c r="L149" s="30" t="n">
        <x:f>IF(ISNUMBER(K149),COUNTIFS($K$6:$K$179,"&gt;"&amp;K149)+(COUNTIFS($K$6:$K$179,K149)+1)/2,"NA")</x:f>
        <x:v>148</x:v>
      </x:c>
      <x:c r="M149" s="30" t="n">
        <x:f>IF(COUNT('总览与权重'!$H$8:$K$8)=4,ROUND(100*SUMPRODUCT(E149:H149,'总览与权重'!$H$8:$K$8),12),"NA")</x:f>
        <x:v>23.333333333333</x:v>
      </x:c>
      <x:c r="N149" s="30" t="n">
        <x:f>IF(ISNUMBER(M149),COUNTIFS($M$6:$M$179,"&gt;"&amp;M149)+(COUNTIFS($M$6:$M$179,M149)+1)/2,"NA")</x:f>
        <x:v>143</x:v>
      </x:c>
      <x:c r="O149" s="30" t="n">
        <x:f>IF(COUNT('总览与权重'!$H$9:$K$9)=4,ROUND(100*SUMPRODUCT(E149:H149,'总览与权重'!$H$9:$K$9),12),"NA")</x:f>
        <x:v>20</x:v>
      </x:c>
      <x:c r="P149" s="30" t="n">
        <x:f>IF(ISNUMBER(O149),COUNTIFS($O$6:$O$179,"&gt;"&amp;O149)+(COUNTIFS($O$6:$O$179,O149)+1)/2,"NA")</x:f>
        <x:v>146</x:v>
      </x:c>
      <x:c r="Q149" s="30" t="n">
        <x:f>IF(COUNT('总览与权重'!$H$10:$K$10)=4,ROUND(100*SUMPRODUCT(E149:H149,'总览与权重'!$H$10:$K$10),12),"NA")</x:f>
        <x:v>2.282643277009</x:v>
      </x:c>
      <x:c r="R149" s="30" t="n">
        <x:f>IF(ISNUMBER(Q149),COUNTIFS($Q$6:$Q$179,"&gt;"&amp;Q149)+(COUNTIFS($Q$6:$Q$179,Q149)+1)/2,"NA")</x:f>
        <x:v>150</x:v>
      </x:c>
      <x:c r="S149" s="31" t="n">
        <x:f>IF(OR(B149="s3",B149="s6"),COUNTIFS($B$6:$B$179,B149,$I$6:$I$179,"&gt;"&amp;I149)+(COUNTIFS($B$6:$B$179,B149,$I$6:$I$179,I149)+1)/2,"NA")</x:f>
        <x:v>136.5</x:v>
      </x:c>
      <x:c r="T149" s="26" t="str">
        <x:f>IF(COUNTIFS($I$6:$I$179,"&gt;"&amp;I149)&gt;=35,"非前20%",IF(COUNTIFS($I$6:$I$179,"&gt;="&amp;I149)&gt;=35,"边界同分","严格前20%"))</x:f>
        <x:v>非前20%</x:v>
      </x:c>
      <x:c r="U149" s="26" t="str">
        <x:f>IF(COUNTIFS($I$6:$I$179,"&lt;"&amp;I149)&gt;=35,"非后20%",IF(COUNTIFS($I$6:$I$179,"&lt;="&amp;I149)&gt;=35,"边界同分","严格后20%"))</x:f>
        <x:v>严格后20%</x:v>
      </x:c>
      <x:c r="V149" s="26" t="str">
        <x:v>NA</x:v>
      </x:c>
      <x:c r="W149" s="26" t="str">
        <x:v>NA</x:v>
      </x:c>
      <x:c r="X149" s="22" t="str">
        <x:v>["S0744"]</x:v>
      </x:c>
      <x:c r="Y149" s="22" t="str">
        <x:v>evidence/student_evidence.jsonl；student_key=2025秋:259325</x:v>
      </x:c>
      <x:c r="Z149" s="26" t="n">
        <x:f>IF(OR(B149="s3",B149="s6"),COUNTIFS($B$6:$B$179,B149,$K$6:$K$179,"&gt;"&amp;K149)+(COUNTIFS($B$6:$B$179,B149,$K$6:$K$179,K149)+1)/2,"NA")</x:f>
        <x:v>139.5</x:v>
      </x:c>
      <x:c r="AA149" s="26" t="n">
        <x:f>IF(OR(B149="s3",B149="s6"),COUNTIFS($B$6:$B$179,B149,$M$6:$M$179,"&gt;"&amp;M149)+(COUNTIFS($B$6:$B$179,B149,$M$6:$M$179,M149)+1)/2,"NA")</x:f>
        <x:v>134.5</x:v>
      </x:c>
      <x:c r="AB149" s="26" t="n">
        <x:f>IF(OR(B149="s3",B149="s6"),COUNTIFS($B$6:$B$179,B149,$O$6:$O$179,"&gt;"&amp;O149)+(COUNTIFS($B$6:$B$179,B149,$O$6:$O$179,O149)+1)/2,"NA")</x:f>
        <x:v>137.5</x:v>
      </x:c>
      <x:c r="AC149" s="26" t="n">
        <x:f>IF(OR(B149="s3",B149="s6"),COUNTIFS($B$6:$B$179,B149,$Q$6:$Q$179,"&gt;"&amp;Q149)+(COUNTIFS($B$6:$B$179,B149,$Q$6:$Q$179,Q149)+1)/2,"NA")</x:f>
        <x:v>141.5</x:v>
      </x:c>
    </x:row>
    <x:row r="150" ht="23" customHeight="1">
      <x:c r="A150" s="21" t="str">
        <x:v>2026春:268151</x:v>
      </x:c>
      <x:c r="B150" s="22" t="str">
        <x:v>s3</x:v>
      </x:c>
      <x:c r="C150" s="24" t="n">
        <x:v>1</x:v>
      </x:c>
      <x:c r="D150" s="24" t="n">
        <x:v>1</x:v>
      </x:c>
      <x:c r="E150" s="29" t="n">
        <x:f>'指标计算'!K160</x:f>
        <x:v>0</x:v>
      </x:c>
      <x:c r="F150" s="29" t="n">
        <x:f>'指标计算'!L160</x:f>
        <x:v>0</x:v>
      </x:c>
      <x:c r="G150" s="29" t="n">
        <x:f>'指标计算'!M160</x:f>
        <x:v>0</x:v>
      </x:c>
      <x:c r="H150" s="29" t="n">
        <x:f>'指标计算'!N160</x:f>
        <x:v>0.6666666666666666</x:v>
      </x:c>
      <x:c r="I150" s="30" t="n">
        <x:f>IF(COUNT('总览与权重'!$H$6:$K$6)=4,ROUND(100*SUMPRODUCT(E150:H150,'总览与权重'!$H$6:$K$6),12),"NA")</x:f>
        <x:v>20</x:v>
      </x:c>
      <x:c r="J150" s="30" t="n">
        <x:f>IF(ISNUMBER(I150),COUNTIFS($I$6:$I$179,"&gt;"&amp;I150)+(COUNTIFS($I$6:$I$179,I150)+1)/2,"NA")</x:f>
        <x:v>145</x:v>
      </x:c>
      <x:c r="K150" s="30" t="n">
        <x:f>IF(COUNT('总览与权重'!$H$7:$K$7)=4,ROUND(100*SUMPRODUCT(E150:H150,'总览与权重'!$H$7:$K$7),12),"NA")</x:f>
        <x:v>13.333333333333</x:v>
      </x:c>
      <x:c r="L150" s="30" t="n">
        <x:f>IF(ISNUMBER(K150),COUNTIFS($K$6:$K$179,"&gt;"&amp;K150)+(COUNTIFS($K$6:$K$179,K150)+1)/2,"NA")</x:f>
        <x:v>148</x:v>
      </x:c>
      <x:c r="M150" s="30" t="n">
        <x:f>IF(COUNT('总览与权重'!$H$8:$K$8)=4,ROUND(100*SUMPRODUCT(E150:H150,'总览与权重'!$H$8:$K$8),12),"NA")</x:f>
        <x:v>23.333333333333</x:v>
      </x:c>
      <x:c r="N150" s="30" t="n">
        <x:f>IF(ISNUMBER(M150),COUNTIFS($M$6:$M$179,"&gt;"&amp;M150)+(COUNTIFS($M$6:$M$179,M150)+1)/2,"NA")</x:f>
        <x:v>143</x:v>
      </x:c>
      <x:c r="O150" s="30" t="n">
        <x:f>IF(COUNT('总览与权重'!$H$9:$K$9)=4,ROUND(100*SUMPRODUCT(E150:H150,'总览与权重'!$H$9:$K$9),12),"NA")</x:f>
        <x:v>20</x:v>
      </x:c>
      <x:c r="P150" s="30" t="n">
        <x:f>IF(ISNUMBER(O150),COUNTIFS($O$6:$O$179,"&gt;"&amp;O150)+(COUNTIFS($O$6:$O$179,O150)+1)/2,"NA")</x:f>
        <x:v>146</x:v>
      </x:c>
      <x:c r="Q150" s="30" t="n">
        <x:f>IF(COUNT('总览与权重'!$H$10:$K$10)=4,ROUND(100*SUMPRODUCT(E150:H150,'总览与权重'!$H$10:$K$10),12),"NA")</x:f>
        <x:v>2.282643277009</x:v>
      </x:c>
      <x:c r="R150" s="30" t="n">
        <x:f>IF(ISNUMBER(Q150),COUNTIFS($Q$6:$Q$179,"&gt;"&amp;Q150)+(COUNTIFS($Q$6:$Q$179,Q150)+1)/2,"NA")</x:f>
        <x:v>150</x:v>
      </x:c>
      <x:c r="S150" s="31" t="n">
        <x:f>IF(OR(B150="s3",B150="s6"),COUNTIFS($B$6:$B$179,B150,$I$6:$I$179,"&gt;"&amp;I150)+(COUNTIFS($B$6:$B$179,B150,$I$6:$I$179,I150)+1)/2,"NA")</x:f>
        <x:v>136.5</x:v>
      </x:c>
      <x:c r="T150" s="26" t="str">
        <x:f>IF(COUNTIFS($I$6:$I$179,"&gt;"&amp;I150)&gt;=35,"非前20%",IF(COUNTIFS($I$6:$I$179,"&gt;="&amp;I150)&gt;=35,"边界同分","严格前20%"))</x:f>
        <x:v>非前20%</x:v>
      </x:c>
      <x:c r="U150" s="26" t="str">
        <x:f>IF(COUNTIFS($I$6:$I$179,"&lt;"&amp;I150)&gt;=35,"非后20%",IF(COUNTIFS($I$6:$I$179,"&lt;="&amp;I150)&gt;=35,"边界同分","严格后20%"))</x:f>
        <x:v>严格后20%</x:v>
      </x:c>
      <x:c r="V150" s="26" t="str">
        <x:v>NA</x:v>
      </x:c>
      <x:c r="W150" s="26" t="str">
        <x:v>NA</x:v>
      </x:c>
      <x:c r="X150" s="22" t="str">
        <x:v>["S1004"]</x:v>
      </x:c>
      <x:c r="Y150" s="22" t="str">
        <x:v>evidence/student_evidence.jsonl；student_key=2026春:268151</x:v>
      </x:c>
      <x:c r="Z150" s="26" t="n">
        <x:f>IF(OR(B150="s3",B150="s6"),COUNTIFS($B$6:$B$179,B150,$K$6:$K$179,"&gt;"&amp;K150)+(COUNTIFS($B$6:$B$179,B150,$K$6:$K$179,K150)+1)/2,"NA")</x:f>
        <x:v>139.5</x:v>
      </x:c>
      <x:c r="AA150" s="26" t="n">
        <x:f>IF(OR(B150="s3",B150="s6"),COUNTIFS($B$6:$B$179,B150,$M$6:$M$179,"&gt;"&amp;M150)+(COUNTIFS($B$6:$B$179,B150,$M$6:$M$179,M150)+1)/2,"NA")</x:f>
        <x:v>134.5</x:v>
      </x:c>
      <x:c r="AB150" s="26" t="n">
        <x:f>IF(OR(B150="s3",B150="s6"),COUNTIFS($B$6:$B$179,B150,$O$6:$O$179,"&gt;"&amp;O150)+(COUNTIFS($B$6:$B$179,B150,$O$6:$O$179,O150)+1)/2,"NA")</x:f>
        <x:v>137.5</x:v>
      </x:c>
      <x:c r="AC150" s="26" t="n">
        <x:f>IF(OR(B150="s3",B150="s6"),COUNTIFS($B$6:$B$179,B150,$Q$6:$Q$179,"&gt;"&amp;Q150)+(COUNTIFS($B$6:$B$179,B150,$Q$6:$Q$179,Q150)+1)/2,"NA")</x:f>
        <x:v>141.5</x:v>
      </x:c>
    </x:row>
    <x:row r="151" ht="23" customHeight="1">
      <x:c r="A151" s="21" t="str">
        <x:v>2026春:268520</x:v>
      </x:c>
      <x:c r="B151" s="22" t="str">
        <x:v>s6</x:v>
      </x:c>
      <x:c r="C151" s="24" t="n">
        <x:v>1</x:v>
      </x:c>
      <x:c r="D151" s="24" t="n">
        <x:v>1</x:v>
      </x:c>
      <x:c r="E151" s="29" t="n">
        <x:f>'指标计算'!K177</x:f>
        <x:v>0</x:v>
      </x:c>
      <x:c r="F151" s="29" t="n">
        <x:f>'指标计算'!L177</x:f>
        <x:v>0</x:v>
      </x:c>
      <x:c r="G151" s="29" t="n">
        <x:f>'指标计算'!M177</x:f>
        <x:v>0</x:v>
      </x:c>
      <x:c r="H151" s="29" t="n">
        <x:f>'指标计算'!N177</x:f>
        <x:v>0.6666666666666666</x:v>
      </x:c>
      <x:c r="I151" s="30" t="n">
        <x:f>IF(COUNT('总览与权重'!$H$6:$K$6)=4,ROUND(100*SUMPRODUCT(E151:H151,'总览与权重'!$H$6:$K$6),12),"NA")</x:f>
        <x:v>20</x:v>
      </x:c>
      <x:c r="J151" s="30" t="n">
        <x:f>IF(ISNUMBER(I151),COUNTIFS($I$6:$I$179,"&gt;"&amp;I151)+(COUNTIFS($I$6:$I$179,I151)+1)/2,"NA")</x:f>
        <x:v>145</x:v>
      </x:c>
      <x:c r="K151" s="30" t="n">
        <x:f>IF(COUNT('总览与权重'!$H$7:$K$7)=4,ROUND(100*SUMPRODUCT(E151:H151,'总览与权重'!$H$7:$K$7),12),"NA")</x:f>
        <x:v>13.333333333333</x:v>
      </x:c>
      <x:c r="L151" s="30" t="n">
        <x:f>IF(ISNUMBER(K151),COUNTIFS($K$6:$K$179,"&gt;"&amp;K151)+(COUNTIFS($K$6:$K$179,K151)+1)/2,"NA")</x:f>
        <x:v>148</x:v>
      </x:c>
      <x:c r="M151" s="30" t="n">
        <x:f>IF(COUNT('总览与权重'!$H$8:$K$8)=4,ROUND(100*SUMPRODUCT(E151:H151,'总览与权重'!$H$8:$K$8),12),"NA")</x:f>
        <x:v>23.333333333333</x:v>
      </x:c>
      <x:c r="N151" s="30" t="n">
        <x:f>IF(ISNUMBER(M151),COUNTIFS($M$6:$M$179,"&gt;"&amp;M151)+(COUNTIFS($M$6:$M$179,M151)+1)/2,"NA")</x:f>
        <x:v>143</x:v>
      </x:c>
      <x:c r="O151" s="30" t="n">
        <x:f>IF(COUNT('总览与权重'!$H$9:$K$9)=4,ROUND(100*SUMPRODUCT(E151:H151,'总览与权重'!$H$9:$K$9),12),"NA")</x:f>
        <x:v>20</x:v>
      </x:c>
      <x:c r="P151" s="30" t="n">
        <x:f>IF(ISNUMBER(O151),COUNTIFS($O$6:$O$179,"&gt;"&amp;O151)+(COUNTIFS($O$6:$O$179,O151)+1)/2,"NA")</x:f>
        <x:v>146</x:v>
      </x:c>
      <x:c r="Q151" s="30" t="n">
        <x:f>IF(COUNT('总览与权重'!$H$10:$K$10)=4,ROUND(100*SUMPRODUCT(E151:H151,'总览与权重'!$H$10:$K$10),12),"NA")</x:f>
        <x:v>2.282643277009</x:v>
      </x:c>
      <x:c r="R151" s="30" t="n">
        <x:f>IF(ISNUMBER(Q151),COUNTIFS($Q$6:$Q$179,"&gt;"&amp;Q151)+(COUNTIFS($Q$6:$Q$179,Q151)+1)/2,"NA")</x:f>
        <x:v>150</x:v>
      </x:c>
      <x:c r="S151" s="31" t="n">
        <x:f>IF(OR(B151="s3",B151="s6"),COUNTIFS($B$6:$B$179,B151,$I$6:$I$179,"&gt;"&amp;I151)+(COUNTIFS($B$6:$B$179,B151,$I$6:$I$179,I151)+1)/2,"NA")</x:f>
        <x:v>8</x:v>
      </x:c>
      <x:c r="T151" s="26" t="str">
        <x:f>IF(COUNTIFS($I$6:$I$179,"&gt;"&amp;I151)&gt;=35,"非前20%",IF(COUNTIFS($I$6:$I$179,"&gt;="&amp;I151)&gt;=35,"边界同分","严格前20%"))</x:f>
        <x:v>非前20%</x:v>
      </x:c>
      <x:c r="U151" s="26" t="str">
        <x:f>IF(COUNTIFS($I$6:$I$179,"&lt;"&amp;I151)&gt;=35,"非后20%",IF(COUNTIFS($I$6:$I$179,"&lt;="&amp;I151)&gt;=35,"边界同分","严格后20%"))</x:f>
        <x:v>严格后20%</x:v>
      </x:c>
      <x:c r="V151" s="26" t="n">
        <x:f>'基线调整'!I123</x:f>
        <x:v>51.648571428571</x:v>
      </x:c>
      <x:c r="W151" s="26" t="n">
        <x:f>'基线调整'!J123</x:f>
        <x:v>118</x:v>
      </x:c>
      <x:c r="X151" s="22" t="str">
        <x:v>["S1244"]</x:v>
      </x:c>
      <x:c r="Y151" s="22" t="str">
        <x:v>evidence/student_evidence.jsonl；student_key=2026春:268520</x:v>
      </x:c>
      <x:c r="Z151" s="26" t="n">
        <x:f>IF(OR(B151="s3",B151="s6"),COUNTIFS($B$6:$B$179,B151,$K$6:$K$179,"&gt;"&amp;K151)+(COUNTIFS($B$6:$B$179,B151,$K$6:$K$179,K151)+1)/2,"NA")</x:f>
        <x:v>8</x:v>
      </x:c>
      <x:c r="AA151" s="26" t="n">
        <x:f>IF(OR(B151="s3",B151="s6"),COUNTIFS($B$6:$B$179,B151,$M$6:$M$179,"&gt;"&amp;M151)+(COUNTIFS($B$6:$B$179,B151,$M$6:$M$179,M151)+1)/2,"NA")</x:f>
        <x:v>8</x:v>
      </x:c>
      <x:c r="AB151" s="26" t="n">
        <x:f>IF(OR(B151="s3",B151="s6"),COUNTIFS($B$6:$B$179,B151,$O$6:$O$179,"&gt;"&amp;O151)+(COUNTIFS($B$6:$B$179,B151,$O$6:$O$179,O151)+1)/2,"NA")</x:f>
        <x:v>8</x:v>
      </x:c>
      <x:c r="AC151" s="26" t="n">
        <x:f>IF(OR(B151="s3",B151="s6"),COUNTIFS($B$6:$B$179,B151,$Q$6:$Q$179,"&gt;"&amp;Q151)+(COUNTIFS($B$6:$B$179,B151,$Q$6:$Q$179,Q151)+1)/2,"NA")</x:f>
        <x:v>8</x:v>
      </x:c>
    </x:row>
    <x:row r="152" ht="23" customHeight="1">
      <x:c r="A152" s="21" t="str">
        <x:v>2025秋:259851</x:v>
      </x:c>
      <x:c r="B152" s="22" t="str">
        <x:v>s3</x:v>
      </x:c>
      <x:c r="C152" s="24" t="n">
        <x:v>1</x:v>
      </x:c>
      <x:c r="D152" s="24" t="n">
        <x:v>1</x:v>
      </x:c>
      <x:c r="E152" s="29" t="n">
        <x:f>'指标计算'!K114</x:f>
        <x:v>0.008934609955481095</x:v>
      </x:c>
      <x:c r="F152" s="29" t="n">
        <x:f>'指标计算'!L114</x:f>
        <x:v>0.10721531946577315</x:v>
      </x:c>
      <x:c r="G152" s="29" t="n">
        <x:f>'指标计算'!M114</x:f>
        <x:v>0.10721531946577315</x:v>
      </x:c>
      <x:c r="H152" s="29" t="n">
        <x:f>'指标计算'!N114</x:f>
        <x:v>0.5</x:v>
      </x:c>
      <x:c r="I152" s="30" t="n">
        <x:f>IF(COUNT('总览与权重'!$H$6:$K$6)=4,ROUND(100*SUMPRODUCT(E152:H152,'总览与权重'!$H$6:$K$6),12),"NA")</x:f>
        <x:v>19.556651077295</x:v>
      </x:c>
      <x:c r="J152" s="30" t="n">
        <x:f>IF(ISNUMBER(I152),COUNTIFS($I$6:$I$179,"&gt;"&amp;I152)+(COUNTIFS($I$6:$I$179,I152)+1)/2,"NA")</x:f>
        <x:v>147</x:v>
      </x:c>
      <x:c r="K152" s="30" t="n">
        <x:f>IF(COUNT('总览与权重'!$H$7:$K$7)=4,ROUND(100*SUMPRODUCT(E152:H152,'总览与权重'!$H$7:$K$7),12),"NA")</x:f>
        <x:v>16.611611367056</x:v>
      </x:c>
      <x:c r="L152" s="30" t="n">
        <x:f>IF(ISNUMBER(K152),COUNTIFS($K$6:$K$179,"&gt;"&amp;K152)+(COUNTIFS($K$6:$K$179,K152)+1)/2,"NA")</x:f>
        <x:v>143</x:v>
      </x:c>
      <x:c r="M152" s="30" t="n">
        <x:f>IF(COUNT('总览与权重'!$H$8:$K$8)=4,ROUND(100*SUMPRODUCT(E152:H152,'总览与权重'!$H$8:$K$8),12),"NA")</x:f>
        <x:v>22.011978027518</x:v>
      </x:c>
      <x:c r="N152" s="30" t="n">
        <x:f>IF(ISNUMBER(M152),COUNTIFS($M$6:$M$179,"&gt;"&amp;M152)+(COUNTIFS($M$6:$M$179,M152)+1)/2,"NA")</x:f>
        <x:v>147</x:v>
      </x:c>
      <x:c r="O152" s="30" t="n">
        <x:f>IF(COUNT('总览与权重'!$H$9:$K$9)=4,ROUND(100*SUMPRODUCT(E152:H152,'总览与权重'!$H$9:$K$9),12),"NA")</x:f>
        <x:v>20.20800852934</x:v>
      </x:c>
      <x:c r="P152" s="30" t="n">
        <x:f>IF(ISNUMBER(O152),COUNTIFS($O$6:$O$179,"&gt;"&amp;O152)+(COUNTIFS($O$6:$O$179,O152)+1)/2,"NA")</x:f>
        <x:v>144</x:v>
      </x:c>
      <x:c r="Q152" s="30" t="n">
        <x:f>IF(COUNT('总览与权重'!$H$10:$K$10)=4,ROUND(100*SUMPRODUCT(E152:H152,'总览与权重'!$H$10:$K$10),12),"NA")</x:f>
        <x:v>8.897251235611</x:v>
      </x:c>
      <x:c r="R152" s="30" t="n">
        <x:f>IF(ISNUMBER(Q152),COUNTIFS($Q$6:$Q$179,"&gt;"&amp;Q152)+(COUNTIFS($Q$6:$Q$179,Q152)+1)/2,"NA")</x:f>
        <x:v>108</x:v>
      </x:c>
      <x:c r="S152" s="31" t="n">
        <x:f>IF(OR(B152="s3",B152="s6"),COUNTIFS($B$6:$B$179,B152,$I$6:$I$179,"&gt;"&amp;I152)+(COUNTIFS($B$6:$B$179,B152,$I$6:$I$179,I152)+1)/2,"NA")</x:f>
        <x:v>138</x:v>
      </x:c>
      <x:c r="T152" s="26" t="str">
        <x:f>IF(COUNTIFS($I$6:$I$179,"&gt;"&amp;I152)&gt;=35,"非前20%",IF(COUNTIFS($I$6:$I$179,"&gt;="&amp;I152)&gt;=35,"边界同分","严格前20%"))</x:f>
        <x:v>非前20%</x:v>
      </x:c>
      <x:c r="U152" s="26" t="str">
        <x:f>IF(COUNTIFS($I$6:$I$179,"&lt;"&amp;I152)&gt;=35,"非后20%",IF(COUNTIFS($I$6:$I$179,"&lt;="&amp;I152)&gt;=35,"边界同分","严格后20%"))</x:f>
        <x:v>严格后20%</x:v>
      </x:c>
      <x:c r="V152" s="26" t="str">
        <x:v>NA</x:v>
      </x:c>
      <x:c r="W152" s="26" t="str">
        <x:v>NA</x:v>
      </x:c>
      <x:c r="X152" s="22" t="str">
        <x:v>["S0057"]</x:v>
      </x:c>
      <x:c r="Y152" s="22" t="str">
        <x:v>evidence/student_evidence.jsonl；student_key=2025秋:259851</x:v>
      </x:c>
      <x:c r="Z152" s="26" t="n">
        <x:f>IF(OR(B152="s3",B152="s6"),COUNTIFS($B$6:$B$179,B152,$K$6:$K$179,"&gt;"&amp;K152)+(COUNTIFS($B$6:$B$179,B152,$K$6:$K$179,K152)+1)/2,"NA")</x:f>
        <x:v>135</x:v>
      </x:c>
      <x:c r="AA152" s="26" t="n">
        <x:f>IF(OR(B152="s3",B152="s6"),COUNTIFS($B$6:$B$179,B152,$M$6:$M$179,"&gt;"&amp;M152)+(COUNTIFS($B$6:$B$179,B152,$M$6:$M$179,M152)+1)/2,"NA")</x:f>
        <x:v>138</x:v>
      </x:c>
      <x:c r="AB152" s="26" t="n">
        <x:f>IF(OR(B152="s3",B152="s6"),COUNTIFS($B$6:$B$179,B152,$O$6:$O$179,"&gt;"&amp;O152)+(COUNTIFS($B$6:$B$179,B152,$O$6:$O$179,O152)+1)/2,"NA")</x:f>
        <x:v>136</x:v>
      </x:c>
      <x:c r="AC152" s="26" t="n">
        <x:f>IF(OR(B152="s3",B152="s6"),COUNTIFS($B$6:$B$179,B152,$Q$6:$Q$179,"&gt;"&amp;Q152)+(COUNTIFS($B$6:$B$179,B152,$Q$6:$Q$179,Q152)+1)/2,"NA")</x:f>
        <x:v>101</x:v>
      </x:c>
    </x:row>
    <x:row r="153" ht="23" customHeight="1">
      <x:c r="A153" s="21" t="str">
        <x:v>2026春:268498</x:v>
      </x:c>
      <x:c r="B153" s="22" t="str">
        <x:v>s3</x:v>
      </x:c>
      <x:c r="C153" s="24" t="n">
        <x:v>1</x:v>
      </x:c>
      <x:c r="D153" s="24" t="n">
        <x:v>1</x:v>
      </x:c>
      <x:c r="E153" s="29" t="n">
        <x:f>'指标计算'!K175</x:f>
        <x:v>0.01059938063269176</x:v>
      </x:c>
      <x:c r="F153" s="29" t="n">
        <x:f>'指标计算'!L175</x:f>
        <x:v>0.12719256759230113</x:v>
      </x:c>
      <x:c r="G153" s="29" t="n">
        <x:f>'指标计算'!M175</x:f>
        <x:v>0.12719256759230113</x:v>
      </x:c>
      <x:c r="H153" s="29" t="n">
        <x:f>'指标计算'!N175</x:f>
        <x:v>0.4</x:v>
      </x:c>
      <x:c r="I153" s="30" t="n">
        <x:f>IF(COUNT('总览与权重'!$H$6:$K$6)=4,ROUND(100*SUMPRODUCT(E153:H153,'总览与权重'!$H$6:$K$6),12),"NA")</x:f>
        <x:v>17.405684122673</x:v>
      </x:c>
      <x:c r="J153" s="30" t="n">
        <x:f>IF(ISNUMBER(I153),COUNTIFS($I$6:$I$179,"&gt;"&amp;I153)+(COUNTIFS($I$6:$I$179,I153)+1)/2,"NA")</x:f>
        <x:v>148</x:v>
      </x:c>
      <x:c r="K153" s="30" t="n">
        <x:f>IF(COUNT('总览与权重'!$H$7:$K$7)=4,ROUND(100*SUMPRODUCT(E153:H153,'总览与权重'!$H$7:$K$7),12),"NA")</x:f>
        <x:v>15.843541668192</x:v>
      </x:c>
      <x:c r="L153" s="30" t="n">
        <x:f>IF(ISNUMBER(K153),COUNTIFS($K$6:$K$179,"&gt;"&amp;K153)+(COUNTIFS($K$6:$K$179,K153)+1)/2,"NA")</x:f>
        <x:v>144</x:v>
      </x:c>
      <x:c r="M153" s="30" t="n">
        <x:f>IF(COUNT('总览与权重'!$H$8:$K$8)=4,ROUND(100*SUMPRODUCT(E153:H153,'总览与权重'!$H$8:$K$8),12),"NA")</x:f>
        <x:v>19.352687219509</x:v>
      </x:c>
      <x:c r="N153" s="30" t="n">
        <x:f>IF(ISNUMBER(M153),COUNTIFS($M$6:$M$179,"&gt;"&amp;M153)+(COUNTIFS($M$6:$M$179,M153)+1)/2,"NA")</x:f>
        <x:v>148</x:v>
      </x:c>
      <x:c r="O153" s="30" t="n">
        <x:f>IF(COUNT('总览与权重'!$H$9:$K$9)=4,ROUND(100*SUMPRODUCT(E153:H153,'总览与权重'!$H$9:$K$9),12),"NA")</x:f>
        <x:v>18.178407900942</x:v>
      </x:c>
      <x:c r="P153" s="30" t="n">
        <x:f>IF(ISNUMBER(O153),COUNTIFS($O$6:$O$179,"&gt;"&amp;O153)+(COUNTIFS($O$6:$O$179,O153)+1)/2,"NA")</x:f>
        <x:v>148</x:v>
      </x:c>
      <x:c r="Q153" s="30" t="n">
        <x:f>IF(COUNT('总览与权重'!$H$10:$K$10)=4,ROUND(100*SUMPRODUCT(E153:H153,'总览与权重'!$H$10:$K$10),12),"NA")</x:f>
        <x:v>9.893673654886</x:v>
      </x:c>
      <x:c r="R153" s="30" t="n">
        <x:f>IF(ISNUMBER(Q153),COUNTIFS($Q$6:$Q$179,"&gt;"&amp;Q153)+(COUNTIFS($Q$6:$Q$179,Q153)+1)/2,"NA")</x:f>
        <x:v>104</x:v>
      </x:c>
      <x:c r="S153" s="31" t="n">
        <x:f>IF(OR(B153="s3",B153="s6"),COUNTIFS($B$6:$B$179,B153,$I$6:$I$179,"&gt;"&amp;I153)+(COUNTIFS($B$6:$B$179,B153,$I$6:$I$179,I153)+1)/2,"NA")</x:f>
        <x:v>139</x:v>
      </x:c>
      <x:c r="T153" s="26" t="str">
        <x:f>IF(COUNTIFS($I$6:$I$179,"&gt;"&amp;I153)&gt;=35,"非前20%",IF(COUNTIFS($I$6:$I$179,"&gt;="&amp;I153)&gt;=35,"边界同分","严格前20%"))</x:f>
        <x:v>非前20%</x:v>
      </x:c>
      <x:c r="U153" s="26" t="str">
        <x:f>IF(COUNTIFS($I$6:$I$179,"&lt;"&amp;I153)&gt;=35,"非后20%",IF(COUNTIFS($I$6:$I$179,"&lt;="&amp;I153)&gt;=35,"边界同分","严格后20%"))</x:f>
        <x:v>严格后20%</x:v>
      </x:c>
      <x:c r="V153" s="26" t="n">
        <x:f>'基线调整'!I146</x:f>
        <x:v>46.795758617769</x:v>
      </x:c>
      <x:c r="W153" s="26" t="n">
        <x:f>'基线调整'!J146</x:f>
        <x:v>141</x:v>
      </x:c>
      <x:c r="X153" s="22" t="str">
        <x:v>["S1207"]</x:v>
      </x:c>
      <x:c r="Y153" s="22" t="str">
        <x:v>evidence/student_evidence.jsonl；student_key=2026春:268498</x:v>
      </x:c>
      <x:c r="Z153" s="26" t="n">
        <x:f>IF(OR(B153="s3",B153="s6"),COUNTIFS($B$6:$B$179,B153,$K$6:$K$179,"&gt;"&amp;K153)+(COUNTIFS($B$6:$B$179,B153,$K$6:$K$179,K153)+1)/2,"NA")</x:f>
        <x:v>136</x:v>
      </x:c>
      <x:c r="AA153" s="26" t="n">
        <x:f>IF(OR(B153="s3",B153="s6"),COUNTIFS($B$6:$B$179,B153,$M$6:$M$179,"&gt;"&amp;M153)+(COUNTIFS($B$6:$B$179,B153,$M$6:$M$179,M153)+1)/2,"NA")</x:f>
        <x:v>139</x:v>
      </x:c>
      <x:c r="AB153" s="26" t="n">
        <x:f>IF(OR(B153="s3",B153="s6"),COUNTIFS($B$6:$B$179,B153,$O$6:$O$179,"&gt;"&amp;O153)+(COUNTIFS($B$6:$B$179,B153,$O$6:$O$179,O153)+1)/2,"NA")</x:f>
        <x:v>139</x:v>
      </x:c>
      <x:c r="AC153" s="26" t="n">
        <x:f>IF(OR(B153="s3",B153="s6"),COUNTIFS($B$6:$B$179,B153,$Q$6:$Q$179,"&gt;"&amp;Q153)+(COUNTIFS($B$6:$B$179,B153,$Q$6:$Q$179,Q153)+1)/2,"NA")</x:f>
        <x:v>97</x:v>
      </x:c>
    </x:row>
    <x:row r="154" ht="23" customHeight="1">
      <x:c r="A154" s="21" t="str">
        <x:v>2026春:268130</x:v>
      </x:c>
      <x:c r="B154" s="22" t="str">
        <x:v>s3</x:v>
      </x:c>
      <x:c r="C154" s="24" t="n">
        <x:v>1</x:v>
      </x:c>
      <x:c r="D154" s="24" t="n">
        <x:v>1</x:v>
      </x:c>
      <x:c r="E154" s="29" t="n">
        <x:f>'指标计算'!K154</x:f>
        <x:v>0.012339401134414984</x:v>
      </x:c>
      <x:c r="F154" s="29" t="n">
        <x:f>'指标计算'!L154</x:f>
        <x:v>0.1480728136129798</x:v>
      </x:c>
      <x:c r="G154" s="29" t="n">
        <x:f>'指标计算'!M154</x:f>
        <x:v>0.1480728136129798</x:v>
      </x:c>
      <x:c r="H154" s="29" t="n">
        <x:f>'指标计算'!N154</x:f>
        <x:v>0.3333333333333333</x:v>
      </x:c>
      <x:c r="I154" s="30" t="n">
        <x:f>IF(COUNT('总览与权重'!$H$6:$K$6)=4,ROUND(100*SUMPRODUCT(E154:H154,'总览与权重'!$H$6:$K$6),12),"NA")</x:f>
        <x:v>16.293094578552</x:v>
      </x:c>
      <x:c r="J154" s="30" t="n">
        <x:f>IF(ISNUMBER(I154),COUNTIFS($I$6:$I$179,"&gt;"&amp;I154)+(COUNTIFS($I$6:$I$179,I154)+1)/2,"NA")</x:f>
        <x:v>149</x:v>
      </x:c>
      <x:c r="K154" s="30" t="n">
        <x:f>IF(COUNT('总览与权重'!$H$7:$K$7)=4,ROUND(100*SUMPRODUCT(E154:H154,'总览与权重'!$H$7:$K$7),12),"NA")</x:f>
        <x:v>15.797823506134</x:v>
      </x:c>
      <x:c r="L154" s="30" t="n">
        <x:f>IF(ISNUMBER(K154),COUNTIFS($K$6:$K$179,"&gt;"&amp;K154)+(COUNTIFS($K$6:$K$179,K154)+1)/2,"NA")</x:f>
        <x:v>145</x:v>
      </x:c>
      <x:c r="M154" s="30" t="n">
        <x:f>IF(COUNT('总览与权重'!$H$8:$K$8)=4,ROUND(100*SUMPRODUCT(E154:H154,'总览与权重'!$H$8:$K$8),12),"NA")</x:f>
        <x:v>17.898064239546</x:v>
      </x:c>
      <x:c r="N154" s="30" t="n">
        <x:f>IF(ISNUMBER(M154),COUNTIFS($M$6:$M$179,"&gt;"&amp;M154)+(COUNTIFS($M$6:$M$179,M154)+1)/2,"NA")</x:f>
        <x:v>149</x:v>
      </x:c>
      <x:c r="O154" s="30" t="n">
        <x:f>IF(COUNT('总览与权重'!$H$9:$K$9)=4,ROUND(100*SUMPRODUCT(E154:H154,'总览与权重'!$H$9:$K$9),12),"NA")</x:f>
        <x:v>17.192670600641</x:v>
      </x:c>
      <x:c r="P154" s="30" t="n">
        <x:f>IF(ISNUMBER(O154),COUNTIFS($O$6:$O$179,"&gt;"&amp;O154)+(COUNTIFS($O$6:$O$179,O154)+1)/2,"NA")</x:f>
        <x:v>149</x:v>
      </x:c>
      <x:c r="Q154" s="30" t="n">
        <x:f>IF(COUNT('总览与权重'!$H$10:$K$10)=4,ROUND(100*SUMPRODUCT(E154:H154,'总览与权重'!$H$10:$K$10),12),"NA")</x:f>
        <x:v>11.064744613913</x:v>
      </x:c>
      <x:c r="R154" s="30" t="n">
        <x:f>IF(ISNUMBER(Q154),COUNTIFS($Q$6:$Q$179,"&gt;"&amp;Q154)+(COUNTIFS($Q$6:$Q$179,Q154)+1)/2,"NA")</x:f>
        <x:v>100</x:v>
      </x:c>
      <x:c r="S154" s="31" t="n">
        <x:f>IF(OR(B154="s3",B154="s6"),COUNTIFS($B$6:$B$179,B154,$I$6:$I$179,"&gt;"&amp;I154)+(COUNTIFS($B$6:$B$179,B154,$I$6:$I$179,I154)+1)/2,"NA")</x:f>
        <x:v>140</x:v>
      </x:c>
      <x:c r="T154" s="26" t="str">
        <x:f>IF(COUNTIFS($I$6:$I$179,"&gt;"&amp;I154)&gt;=35,"非前20%",IF(COUNTIFS($I$6:$I$179,"&gt;="&amp;I154)&gt;=35,"边界同分","严格前20%"))</x:f>
        <x:v>非前20%</x:v>
      </x:c>
      <x:c r="U154" s="26" t="str">
        <x:f>IF(COUNTIFS($I$6:$I$179,"&lt;"&amp;I154)&gt;=35,"非后20%",IF(COUNTIFS($I$6:$I$179,"&lt;="&amp;I154)&gt;=35,"边界同分","严格后20%"))</x:f>
        <x:v>严格后20%</x:v>
      </x:c>
      <x:c r="V154" s="26" t="n">
        <x:f>'基线调整'!I149</x:f>
        <x:v>45.64149134441</x:v>
      </x:c>
      <x:c r="W154" s="26" t="n">
        <x:f>'基线调整'!J149</x:f>
        <x:v>144</x:v>
      </x:c>
      <x:c r="X154" s="22" t="str">
        <x:v>["S0938"]</x:v>
      </x:c>
      <x:c r="Y154" s="22" t="str">
        <x:v>evidence/student_evidence.jsonl；student_key=2026春:268130</x:v>
      </x:c>
      <x:c r="Z154" s="26" t="n">
        <x:f>IF(OR(B154="s3",B154="s6"),COUNTIFS($B$6:$B$179,B154,$K$6:$K$179,"&gt;"&amp;K154)+(COUNTIFS($B$6:$B$179,B154,$K$6:$K$179,K154)+1)/2,"NA")</x:f>
        <x:v>137</x:v>
      </x:c>
      <x:c r="AA154" s="26" t="n">
        <x:f>IF(OR(B154="s3",B154="s6"),COUNTIFS($B$6:$B$179,B154,$M$6:$M$179,"&gt;"&amp;M154)+(COUNTIFS($B$6:$B$179,B154,$M$6:$M$179,M154)+1)/2,"NA")</x:f>
        <x:v>140</x:v>
      </x:c>
      <x:c r="AB154" s="26" t="n">
        <x:f>IF(OR(B154="s3",B154="s6"),COUNTIFS($B$6:$B$179,B154,$O$6:$O$179,"&gt;"&amp;O154)+(COUNTIFS($B$6:$B$179,B154,$O$6:$O$179,O154)+1)/2,"NA")</x:f>
        <x:v>140</x:v>
      </x:c>
      <x:c r="AC154" s="26" t="n">
        <x:f>IF(OR(B154="s3",B154="s6"),COUNTIFS($B$6:$B$179,B154,$Q$6:$Q$179,"&gt;"&amp;Q154)+(COUNTIFS($B$6:$B$179,B154,$Q$6:$Q$179,Q154)+1)/2,"NA")</x:f>
        <x:v>93</x:v>
      </x:c>
    </x:row>
    <x:row r="155" ht="23" customHeight="1">
      <x:c r="A155" s="21" t="str">
        <x:v>2025秋:258274</x:v>
      </x:c>
      <x:c r="B155" s="22" t="str">
        <x:v>s3</x:v>
      </x:c>
      <x:c r="C155" s="24" t="n">
        <x:v>1</x:v>
      </x:c>
      <x:c r="D155" s="24" t="n">
        <x:v>1</x:v>
      </x:c>
      <x:c r="E155" s="29" t="n">
        <x:f>'指标计算'!K11</x:f>
        <x:v>0</x:v>
      </x:c>
      <x:c r="F155" s="29" t="n">
        <x:f>'指标计算'!L11</x:f>
        <x:v>0</x:v>
      </x:c>
      <x:c r="G155" s="29" t="n">
        <x:f>'指标计算'!M11</x:f>
        <x:v>0</x:v>
      </x:c>
      <x:c r="H155" s="29" t="n">
        <x:f>'指标计算'!N11</x:f>
        <x:v>0.5</x:v>
      </x:c>
      <x:c r="I155" s="30" t="n">
        <x:f>IF(COUNT('总览与权重'!$H$6:$K$6)=4,ROUND(100*SUMPRODUCT(E155:H155,'总览与权重'!$H$6:$K$6),12),"NA")</x:f>
        <x:v>15</x:v>
      </x:c>
      <x:c r="J155" s="30" t="n">
        <x:f>IF(ISNUMBER(I155),COUNTIFS($I$6:$I$179,"&gt;"&amp;I155)+(COUNTIFS($I$6:$I$179,I155)+1)/2,"NA")</x:f>
        <x:v>160</x:v>
      </x:c>
      <x:c r="K155" s="30" t="n">
        <x:f>IF(COUNT('总览与权重'!$H$7:$K$7)=4,ROUND(100*SUMPRODUCT(E155:H155,'总览与权重'!$H$7:$K$7),12),"NA")</x:f>
        <x:v>10</x:v>
      </x:c>
      <x:c r="L155" s="30" t="n">
        <x:f>IF(ISNUMBER(K155),COUNTIFS($K$6:$K$179,"&gt;"&amp;K155)+(COUNTIFS($K$6:$K$179,K155)+1)/2,"NA")</x:f>
        <x:v>162</x:v>
      </x:c>
      <x:c r="M155" s="30" t="n">
        <x:f>IF(COUNT('总览与权重'!$H$8:$K$8)=4,ROUND(100*SUMPRODUCT(E155:H155,'总览与权重'!$H$8:$K$8),12),"NA")</x:f>
        <x:v>17.5</x:v>
      </x:c>
      <x:c r="N155" s="30" t="n">
        <x:f>IF(ISNUMBER(M155),COUNTIFS($M$6:$M$179,"&gt;"&amp;M155)+(COUNTIFS($M$6:$M$179,M155)+1)/2,"NA")</x:f>
        <x:v>160</x:v>
      </x:c>
      <x:c r="O155" s="30" t="n">
        <x:f>IF(COUNT('总览与权重'!$H$9:$K$9)=4,ROUND(100*SUMPRODUCT(E155:H155,'总览与权重'!$H$9:$K$9),12),"NA")</x:f>
        <x:v>15</x:v>
      </x:c>
      <x:c r="P155" s="30" t="n">
        <x:f>IF(ISNUMBER(O155),COUNTIFS($O$6:$O$179,"&gt;"&amp;O155)+(COUNTIFS($O$6:$O$179,O155)+1)/2,"NA")</x:f>
        <x:v>160</x:v>
      </x:c>
      <x:c r="Q155" s="30" t="n">
        <x:f>IF(COUNT('总览与权重'!$H$10:$K$10)=4,ROUND(100*SUMPRODUCT(E155:H155,'总览与权重'!$H$10:$K$10),12),"NA")</x:f>
        <x:v>1.711982457757</x:v>
      </x:c>
      <x:c r="R155" s="30" t="n">
        <x:f>IF(ISNUMBER(Q155),COUNTIFS($Q$6:$Q$179,"&gt;"&amp;Q155)+(COUNTIFS($Q$6:$Q$179,Q155)+1)/2,"NA")</x:f>
        <x:v>162</x:v>
      </x:c>
      <x:c r="S155" s="31" t="n">
        <x:f>IF(OR(B155="s3",B155="s6"),COUNTIFS($B$6:$B$179,B155,$I$6:$I$179,"&gt;"&amp;I155)+(COUNTIFS($B$6:$B$179,B155,$I$6:$I$179,I155)+1)/2,"NA")</x:f>
        <x:v>150.5</x:v>
      </x:c>
      <x:c r="T155" s="26" t="str">
        <x:f>IF(COUNTIFS($I$6:$I$179,"&gt;"&amp;I155)&gt;=35,"非前20%",IF(COUNTIFS($I$6:$I$179,"&gt;="&amp;I155)&gt;=35,"边界同分","严格前20%"))</x:f>
        <x:v>非前20%</x:v>
      </x:c>
      <x:c r="U155" s="26" t="str">
        <x:f>IF(COUNTIFS($I$6:$I$179,"&lt;"&amp;I155)&gt;=35,"非后20%",IF(COUNTIFS($I$6:$I$179,"&lt;="&amp;I155)&gt;=35,"边界同分","严格后20%"))</x:f>
        <x:v>严格后20%</x:v>
      </x:c>
      <x:c r="V155" s="26" t="n">
        <x:f>'基线调整'!I135</x:f>
        <x:v>47.494944055134</x:v>
      </x:c>
      <x:c r="W155" s="26" t="n">
        <x:f>'基线调整'!J135</x:f>
        <x:v>130.5</x:v>
      </x:c>
      <x:c r="X155" s="22" t="str">
        <x:v>["S0275"]</x:v>
      </x:c>
      <x:c r="Y155" s="22" t="str">
        <x:v>evidence/student_evidence.jsonl；student_key=2025秋:258274</x:v>
      </x:c>
      <x:c r="Z155" s="26" t="n">
        <x:f>IF(OR(B155="s3",B155="s6"),COUNTIFS($B$6:$B$179,B155,$K$6:$K$179,"&gt;"&amp;K155)+(COUNTIFS($B$6:$B$179,B155,$K$6:$K$179,K155)+1)/2,"NA")</x:f>
        <x:v>152.5</x:v>
      </x:c>
      <x:c r="AA155" s="26" t="n">
        <x:f>IF(OR(B155="s3",B155="s6"),COUNTIFS($B$6:$B$179,B155,$M$6:$M$179,"&gt;"&amp;M155)+(COUNTIFS($B$6:$B$179,B155,$M$6:$M$179,M155)+1)/2,"NA")</x:f>
        <x:v>150.5</x:v>
      </x:c>
      <x:c r="AB155" s="26" t="n">
        <x:f>IF(OR(B155="s3",B155="s6"),COUNTIFS($B$6:$B$179,B155,$O$6:$O$179,"&gt;"&amp;O155)+(COUNTIFS($B$6:$B$179,B155,$O$6:$O$179,O155)+1)/2,"NA")</x:f>
        <x:v>150.5</x:v>
      </x:c>
      <x:c r="AC155" s="26" t="n">
        <x:f>IF(OR(B155="s3",B155="s6"),COUNTIFS($B$6:$B$179,B155,$Q$6:$Q$179,"&gt;"&amp;Q155)+(COUNTIFS($B$6:$B$179,B155,$Q$6:$Q$179,Q155)+1)/2,"NA")</x:f>
        <x:v>152.5</x:v>
      </x:c>
    </x:row>
    <x:row r="156" ht="23" customHeight="1">
      <x:c r="A156" s="21" t="str">
        <x:v>2025秋:258862</x:v>
      </x:c>
      <x:c r="B156" s="22" t="str">
        <x:v>s3</x:v>
      </x:c>
      <x:c r="C156" s="24" t="n">
        <x:v>1</x:v>
      </x:c>
      <x:c r="D156" s="24" t="n">
        <x:v>1</x:v>
      </x:c>
      <x:c r="E156" s="29" t="n">
        <x:f>'指标计算'!K25</x:f>
        <x:v>0</x:v>
      </x:c>
      <x:c r="F156" s="29" t="n">
        <x:f>'指标计算'!L25</x:f>
        <x:v>0</x:v>
      </x:c>
      <x:c r="G156" s="29" t="n">
        <x:f>'指标计算'!M25</x:f>
        <x:v>0</x:v>
      </x:c>
      <x:c r="H156" s="29" t="n">
        <x:f>'指标计算'!N25</x:f>
        <x:v>0.5</x:v>
      </x:c>
      <x:c r="I156" s="30" t="n">
        <x:f>IF(COUNT('总览与权重'!$H$6:$K$6)=4,ROUND(100*SUMPRODUCT(E156:H156,'总览与权重'!$H$6:$K$6),12),"NA")</x:f>
        <x:v>15</x:v>
      </x:c>
      <x:c r="J156" s="30" t="n">
        <x:f>IF(ISNUMBER(I156),COUNTIFS($I$6:$I$179,"&gt;"&amp;I156)+(COUNTIFS($I$6:$I$179,I156)+1)/2,"NA")</x:f>
        <x:v>160</x:v>
      </x:c>
      <x:c r="K156" s="30" t="n">
        <x:f>IF(COUNT('总览与权重'!$H$7:$K$7)=4,ROUND(100*SUMPRODUCT(E156:H156,'总览与权重'!$H$7:$K$7),12),"NA")</x:f>
        <x:v>10</x:v>
      </x:c>
      <x:c r="L156" s="30" t="n">
        <x:f>IF(ISNUMBER(K156),COUNTIFS($K$6:$K$179,"&gt;"&amp;K156)+(COUNTIFS($K$6:$K$179,K156)+1)/2,"NA")</x:f>
        <x:v>162</x:v>
      </x:c>
      <x:c r="M156" s="30" t="n">
        <x:f>IF(COUNT('总览与权重'!$H$8:$K$8)=4,ROUND(100*SUMPRODUCT(E156:H156,'总览与权重'!$H$8:$K$8),12),"NA")</x:f>
        <x:v>17.5</x:v>
      </x:c>
      <x:c r="N156" s="30" t="n">
        <x:f>IF(ISNUMBER(M156),COUNTIFS($M$6:$M$179,"&gt;"&amp;M156)+(COUNTIFS($M$6:$M$179,M156)+1)/2,"NA")</x:f>
        <x:v>160</x:v>
      </x:c>
      <x:c r="O156" s="30" t="n">
        <x:f>IF(COUNT('总览与权重'!$H$9:$K$9)=4,ROUND(100*SUMPRODUCT(E156:H156,'总览与权重'!$H$9:$K$9),12),"NA")</x:f>
        <x:v>15</x:v>
      </x:c>
      <x:c r="P156" s="30" t="n">
        <x:f>IF(ISNUMBER(O156),COUNTIFS($O$6:$O$179,"&gt;"&amp;O156)+(COUNTIFS($O$6:$O$179,O156)+1)/2,"NA")</x:f>
        <x:v>160</x:v>
      </x:c>
      <x:c r="Q156" s="30" t="n">
        <x:f>IF(COUNT('总览与权重'!$H$10:$K$10)=4,ROUND(100*SUMPRODUCT(E156:H156,'总览与权重'!$H$10:$K$10),12),"NA")</x:f>
        <x:v>1.711982457757</x:v>
      </x:c>
      <x:c r="R156" s="30" t="n">
        <x:f>IF(ISNUMBER(Q156),COUNTIFS($Q$6:$Q$179,"&gt;"&amp;Q156)+(COUNTIFS($Q$6:$Q$179,Q156)+1)/2,"NA")</x:f>
        <x:v>162</x:v>
      </x:c>
      <x:c r="S156" s="31" t="n">
        <x:f>IF(OR(B156="s3",B156="s6"),COUNTIFS($B$6:$B$179,B156,$I$6:$I$179,"&gt;"&amp;I156)+(COUNTIFS($B$6:$B$179,B156,$I$6:$I$179,I156)+1)/2,"NA")</x:f>
        <x:v>150.5</x:v>
      </x:c>
      <x:c r="T156" s="26" t="str">
        <x:f>IF(COUNTIFS($I$6:$I$179,"&gt;"&amp;I156)&gt;=35,"非前20%",IF(COUNTIFS($I$6:$I$179,"&gt;="&amp;I156)&gt;=35,"边界同分","严格前20%"))</x:f>
        <x:v>非前20%</x:v>
      </x:c>
      <x:c r="U156" s="26" t="str">
        <x:f>IF(COUNTIFS($I$6:$I$179,"&lt;"&amp;I156)&gt;=35,"非后20%",IF(COUNTIFS($I$6:$I$179,"&lt;="&amp;I156)&gt;=35,"边界同分","严格后20%"))</x:f>
        <x:v>严格后20%</x:v>
      </x:c>
      <x:c r="V156" s="26" t="str">
        <x:v>NA</x:v>
      </x:c>
      <x:c r="W156" s="26" t="str">
        <x:v>NA</x:v>
      </x:c>
      <x:c r="X156" s="22" t="str">
        <x:v>["S0151"]</x:v>
      </x:c>
      <x:c r="Y156" s="22" t="str">
        <x:v>evidence/student_evidence.jsonl；student_key=2025秋:258862</x:v>
      </x:c>
      <x:c r="Z156" s="26" t="n">
        <x:f>IF(OR(B156="s3",B156="s6"),COUNTIFS($B$6:$B$179,B156,$K$6:$K$179,"&gt;"&amp;K156)+(COUNTIFS($B$6:$B$179,B156,$K$6:$K$179,K156)+1)/2,"NA")</x:f>
        <x:v>152.5</x:v>
      </x:c>
      <x:c r="AA156" s="26" t="n">
        <x:f>IF(OR(B156="s3",B156="s6"),COUNTIFS($B$6:$B$179,B156,$M$6:$M$179,"&gt;"&amp;M156)+(COUNTIFS($B$6:$B$179,B156,$M$6:$M$179,M156)+1)/2,"NA")</x:f>
        <x:v>150.5</x:v>
      </x:c>
      <x:c r="AB156" s="26" t="n">
        <x:f>IF(OR(B156="s3",B156="s6"),COUNTIFS($B$6:$B$179,B156,$O$6:$O$179,"&gt;"&amp;O156)+(COUNTIFS($B$6:$B$179,B156,$O$6:$O$179,O156)+1)/2,"NA")</x:f>
        <x:v>150.5</x:v>
      </x:c>
      <x:c r="AC156" s="26" t="n">
        <x:f>IF(OR(B156="s3",B156="s6"),COUNTIFS($B$6:$B$179,B156,$Q$6:$Q$179,"&gt;"&amp;Q156)+(COUNTIFS($B$6:$B$179,B156,$Q$6:$Q$179,Q156)+1)/2,"NA")</x:f>
        <x:v>152.5</x:v>
      </x:c>
    </x:row>
    <x:row r="157" ht="23" customHeight="1">
      <x:c r="A157" s="21" t="str">
        <x:v>2025秋:258907</x:v>
      </x:c>
      <x:c r="B157" s="22" t="str">
        <x:v>s3</x:v>
      </x:c>
      <x:c r="C157" s="24" t="n">
        <x:v>1</x:v>
      </x:c>
      <x:c r="D157" s="24" t="n">
        <x:v>1</x:v>
      </x:c>
      <x:c r="E157" s="29" t="n">
        <x:f>'指标计算'!K36</x:f>
        <x:v>0</x:v>
      </x:c>
      <x:c r="F157" s="29" t="n">
        <x:f>'指标计算'!L36</x:f>
        <x:v>0</x:v>
      </x:c>
      <x:c r="G157" s="29" t="n">
        <x:f>'指标计算'!M36</x:f>
        <x:v>0</x:v>
      </x:c>
      <x:c r="H157" s="29" t="n">
        <x:f>'指标计算'!N36</x:f>
        <x:v>0.5</x:v>
      </x:c>
      <x:c r="I157" s="30" t="n">
        <x:f>IF(COUNT('总览与权重'!$H$6:$K$6)=4,ROUND(100*SUMPRODUCT(E157:H157,'总览与权重'!$H$6:$K$6),12),"NA")</x:f>
        <x:v>15</x:v>
      </x:c>
      <x:c r="J157" s="30" t="n">
        <x:f>IF(ISNUMBER(I157),COUNTIFS($I$6:$I$179,"&gt;"&amp;I157)+(COUNTIFS($I$6:$I$179,I157)+1)/2,"NA")</x:f>
        <x:v>160</x:v>
      </x:c>
      <x:c r="K157" s="30" t="n">
        <x:f>IF(COUNT('总览与权重'!$H$7:$K$7)=4,ROUND(100*SUMPRODUCT(E157:H157,'总览与权重'!$H$7:$K$7),12),"NA")</x:f>
        <x:v>10</x:v>
      </x:c>
      <x:c r="L157" s="30" t="n">
        <x:f>IF(ISNUMBER(K157),COUNTIFS($K$6:$K$179,"&gt;"&amp;K157)+(COUNTIFS($K$6:$K$179,K157)+1)/2,"NA")</x:f>
        <x:v>162</x:v>
      </x:c>
      <x:c r="M157" s="30" t="n">
        <x:f>IF(COUNT('总览与权重'!$H$8:$K$8)=4,ROUND(100*SUMPRODUCT(E157:H157,'总览与权重'!$H$8:$K$8),12),"NA")</x:f>
        <x:v>17.5</x:v>
      </x:c>
      <x:c r="N157" s="30" t="n">
        <x:f>IF(ISNUMBER(M157),COUNTIFS($M$6:$M$179,"&gt;"&amp;M157)+(COUNTIFS($M$6:$M$179,M157)+1)/2,"NA")</x:f>
        <x:v>160</x:v>
      </x:c>
      <x:c r="O157" s="30" t="n">
        <x:f>IF(COUNT('总览与权重'!$H$9:$K$9)=4,ROUND(100*SUMPRODUCT(E157:H157,'总览与权重'!$H$9:$K$9),12),"NA")</x:f>
        <x:v>15</x:v>
      </x:c>
      <x:c r="P157" s="30" t="n">
        <x:f>IF(ISNUMBER(O157),COUNTIFS($O$6:$O$179,"&gt;"&amp;O157)+(COUNTIFS($O$6:$O$179,O157)+1)/2,"NA")</x:f>
        <x:v>160</x:v>
      </x:c>
      <x:c r="Q157" s="30" t="n">
        <x:f>IF(COUNT('总览与权重'!$H$10:$K$10)=4,ROUND(100*SUMPRODUCT(E157:H157,'总览与权重'!$H$10:$K$10),12),"NA")</x:f>
        <x:v>1.711982457757</x:v>
      </x:c>
      <x:c r="R157" s="30" t="n">
        <x:f>IF(ISNUMBER(Q157),COUNTIFS($Q$6:$Q$179,"&gt;"&amp;Q157)+(COUNTIFS($Q$6:$Q$179,Q157)+1)/2,"NA")</x:f>
        <x:v>162</x:v>
      </x:c>
      <x:c r="S157" s="31" t="n">
        <x:f>IF(OR(B157="s3",B157="s6"),COUNTIFS($B$6:$B$179,B157,$I$6:$I$179,"&gt;"&amp;I157)+(COUNTIFS($B$6:$B$179,B157,$I$6:$I$179,I157)+1)/2,"NA")</x:f>
        <x:v>150.5</x:v>
      </x:c>
      <x:c r="T157" s="26" t="str">
        <x:f>IF(COUNTIFS($I$6:$I$179,"&gt;"&amp;I157)&gt;=35,"非前20%",IF(COUNTIFS($I$6:$I$179,"&gt;="&amp;I157)&gt;=35,"边界同分","严格前20%"))</x:f>
        <x:v>非前20%</x:v>
      </x:c>
      <x:c r="U157" s="26" t="str">
        <x:f>IF(COUNTIFS($I$6:$I$179,"&lt;"&amp;I157)&gt;=35,"非后20%",IF(COUNTIFS($I$6:$I$179,"&lt;="&amp;I157)&gt;=35,"边界同分","严格后20%"))</x:f>
        <x:v>严格后20%</x:v>
      </x:c>
      <x:c r="V157" s="26" t="str">
        <x:v>NA</x:v>
      </x:c>
      <x:c r="W157" s="26" t="str">
        <x:v>NA</x:v>
      </x:c>
      <x:c r="X157" s="22" t="str">
        <x:v>["S0269"]</x:v>
      </x:c>
      <x:c r="Y157" s="22" t="str">
        <x:v>evidence/student_evidence.jsonl；student_key=2025秋:258907</x:v>
      </x:c>
      <x:c r="Z157" s="26" t="n">
        <x:f>IF(OR(B157="s3",B157="s6"),COUNTIFS($B$6:$B$179,B157,$K$6:$K$179,"&gt;"&amp;K157)+(COUNTIFS($B$6:$B$179,B157,$K$6:$K$179,K157)+1)/2,"NA")</x:f>
        <x:v>152.5</x:v>
      </x:c>
      <x:c r="AA157" s="26" t="n">
        <x:f>IF(OR(B157="s3",B157="s6"),COUNTIFS($B$6:$B$179,B157,$M$6:$M$179,"&gt;"&amp;M157)+(COUNTIFS($B$6:$B$179,B157,$M$6:$M$179,M157)+1)/2,"NA")</x:f>
        <x:v>150.5</x:v>
      </x:c>
      <x:c r="AB157" s="26" t="n">
        <x:f>IF(OR(B157="s3",B157="s6"),COUNTIFS($B$6:$B$179,B157,$O$6:$O$179,"&gt;"&amp;O157)+(COUNTIFS($B$6:$B$179,B157,$O$6:$O$179,O157)+1)/2,"NA")</x:f>
        <x:v>150.5</x:v>
      </x:c>
      <x:c r="AC157" s="26" t="n">
        <x:f>IF(OR(B157="s3",B157="s6"),COUNTIFS($B$6:$B$179,B157,$Q$6:$Q$179,"&gt;"&amp;Q157)+(COUNTIFS($B$6:$B$179,B157,$Q$6:$Q$179,Q157)+1)/2,"NA")</x:f>
        <x:v>152.5</x:v>
      </x:c>
    </x:row>
    <x:row r="158" ht="23" customHeight="1">
      <x:c r="A158" s="21" t="str">
        <x:v>2025秋:258908</x:v>
      </x:c>
      <x:c r="B158" s="22" t="str">
        <x:v>s3</x:v>
      </x:c>
      <x:c r="C158" s="24" t="n">
        <x:v>1</x:v>
      </x:c>
      <x:c r="D158" s="24" t="n">
        <x:v>1</x:v>
      </x:c>
      <x:c r="E158" s="29" t="n">
        <x:f>'指标计算'!K37</x:f>
        <x:v>0</x:v>
      </x:c>
      <x:c r="F158" s="29" t="n">
        <x:f>'指标计算'!L37</x:f>
        <x:v>0</x:v>
      </x:c>
      <x:c r="G158" s="29" t="n">
        <x:f>'指标计算'!M37</x:f>
        <x:v>0</x:v>
      </x:c>
      <x:c r="H158" s="29" t="n">
        <x:f>'指标计算'!N37</x:f>
        <x:v>0.5</x:v>
      </x:c>
      <x:c r="I158" s="30" t="n">
        <x:f>IF(COUNT('总览与权重'!$H$6:$K$6)=4,ROUND(100*SUMPRODUCT(E158:H158,'总览与权重'!$H$6:$K$6),12),"NA")</x:f>
        <x:v>15</x:v>
      </x:c>
      <x:c r="J158" s="30" t="n">
        <x:f>IF(ISNUMBER(I158),COUNTIFS($I$6:$I$179,"&gt;"&amp;I158)+(COUNTIFS($I$6:$I$179,I158)+1)/2,"NA")</x:f>
        <x:v>160</x:v>
      </x:c>
      <x:c r="K158" s="30" t="n">
        <x:f>IF(COUNT('总览与权重'!$H$7:$K$7)=4,ROUND(100*SUMPRODUCT(E158:H158,'总览与权重'!$H$7:$K$7),12),"NA")</x:f>
        <x:v>10</x:v>
      </x:c>
      <x:c r="L158" s="30" t="n">
        <x:f>IF(ISNUMBER(K158),COUNTIFS($K$6:$K$179,"&gt;"&amp;K158)+(COUNTIFS($K$6:$K$179,K158)+1)/2,"NA")</x:f>
        <x:v>162</x:v>
      </x:c>
      <x:c r="M158" s="30" t="n">
        <x:f>IF(COUNT('总览与权重'!$H$8:$K$8)=4,ROUND(100*SUMPRODUCT(E158:H158,'总览与权重'!$H$8:$K$8),12),"NA")</x:f>
        <x:v>17.5</x:v>
      </x:c>
      <x:c r="N158" s="30" t="n">
        <x:f>IF(ISNUMBER(M158),COUNTIFS($M$6:$M$179,"&gt;"&amp;M158)+(COUNTIFS($M$6:$M$179,M158)+1)/2,"NA")</x:f>
        <x:v>160</x:v>
      </x:c>
      <x:c r="O158" s="30" t="n">
        <x:f>IF(COUNT('总览与权重'!$H$9:$K$9)=4,ROUND(100*SUMPRODUCT(E158:H158,'总览与权重'!$H$9:$K$9),12),"NA")</x:f>
        <x:v>15</x:v>
      </x:c>
      <x:c r="P158" s="30" t="n">
        <x:f>IF(ISNUMBER(O158),COUNTIFS($O$6:$O$179,"&gt;"&amp;O158)+(COUNTIFS($O$6:$O$179,O158)+1)/2,"NA")</x:f>
        <x:v>160</x:v>
      </x:c>
      <x:c r="Q158" s="30" t="n">
        <x:f>IF(COUNT('总览与权重'!$H$10:$K$10)=4,ROUND(100*SUMPRODUCT(E158:H158,'总览与权重'!$H$10:$K$10),12),"NA")</x:f>
        <x:v>1.711982457757</x:v>
      </x:c>
      <x:c r="R158" s="30" t="n">
        <x:f>IF(ISNUMBER(Q158),COUNTIFS($Q$6:$Q$179,"&gt;"&amp;Q158)+(COUNTIFS($Q$6:$Q$179,Q158)+1)/2,"NA")</x:f>
        <x:v>162</x:v>
      </x:c>
      <x:c r="S158" s="31" t="n">
        <x:f>IF(OR(B158="s3",B158="s6"),COUNTIFS($B$6:$B$179,B158,$I$6:$I$179,"&gt;"&amp;I158)+(COUNTIFS($B$6:$B$179,B158,$I$6:$I$179,I158)+1)/2,"NA")</x:f>
        <x:v>150.5</x:v>
      </x:c>
      <x:c r="T158" s="26" t="str">
        <x:f>IF(COUNTIFS($I$6:$I$179,"&gt;"&amp;I158)&gt;=35,"非前20%",IF(COUNTIFS($I$6:$I$179,"&gt;="&amp;I158)&gt;=35,"边界同分","严格前20%"))</x:f>
        <x:v>非前20%</x:v>
      </x:c>
      <x:c r="U158" s="26" t="str">
        <x:f>IF(COUNTIFS($I$6:$I$179,"&lt;"&amp;I158)&gt;=35,"非后20%",IF(COUNTIFS($I$6:$I$179,"&lt;="&amp;I158)&gt;=35,"边界同分","严格后20%"))</x:f>
        <x:v>严格后20%</x:v>
      </x:c>
      <x:c r="V158" s="26" t="str">
        <x:v>NA</x:v>
      </x:c>
      <x:c r="W158" s="26" t="str">
        <x:v>NA</x:v>
      </x:c>
      <x:c r="X158" s="22" t="str">
        <x:v>["S0292"]</x:v>
      </x:c>
      <x:c r="Y158" s="22" t="str">
        <x:v>evidence/student_evidence.jsonl；student_key=2025秋:258908</x:v>
      </x:c>
      <x:c r="Z158" s="26" t="n">
        <x:f>IF(OR(B158="s3",B158="s6"),COUNTIFS($B$6:$B$179,B158,$K$6:$K$179,"&gt;"&amp;K158)+(COUNTIFS($B$6:$B$179,B158,$K$6:$K$179,K158)+1)/2,"NA")</x:f>
        <x:v>152.5</x:v>
      </x:c>
      <x:c r="AA158" s="26" t="n">
        <x:f>IF(OR(B158="s3",B158="s6"),COUNTIFS($B$6:$B$179,B158,$M$6:$M$179,"&gt;"&amp;M158)+(COUNTIFS($B$6:$B$179,B158,$M$6:$M$179,M158)+1)/2,"NA")</x:f>
        <x:v>150.5</x:v>
      </x:c>
      <x:c r="AB158" s="26" t="n">
        <x:f>IF(OR(B158="s3",B158="s6"),COUNTIFS($B$6:$B$179,B158,$O$6:$O$179,"&gt;"&amp;O158)+(COUNTIFS($B$6:$B$179,B158,$O$6:$O$179,O158)+1)/2,"NA")</x:f>
        <x:v>150.5</x:v>
      </x:c>
      <x:c r="AC158" s="26" t="n">
        <x:f>IF(OR(B158="s3",B158="s6"),COUNTIFS($B$6:$B$179,B158,$Q$6:$Q$179,"&gt;"&amp;Q158)+(COUNTIFS($B$6:$B$179,B158,$Q$6:$Q$179,Q158)+1)/2,"NA")</x:f>
        <x:v>152.5</x:v>
      </x:c>
    </x:row>
    <x:row r="159" ht="23" customHeight="1">
      <x:c r="A159" s="21" t="str">
        <x:v>2025秋:258912</x:v>
      </x:c>
      <x:c r="B159" s="22" t="str">
        <x:v>s3</x:v>
      </x:c>
      <x:c r="C159" s="24" t="n">
        <x:v>1</x:v>
      </x:c>
      <x:c r="D159" s="24" t="n">
        <x:v>1</x:v>
      </x:c>
      <x:c r="E159" s="29" t="n">
        <x:f>'指标计算'!K39</x:f>
        <x:v>0</x:v>
      </x:c>
      <x:c r="F159" s="29" t="n">
        <x:f>'指标计算'!L39</x:f>
        <x:v>0</x:v>
      </x:c>
      <x:c r="G159" s="29" t="n">
        <x:f>'指标计算'!M39</x:f>
        <x:v>0</x:v>
      </x:c>
      <x:c r="H159" s="29" t="n">
        <x:f>'指标计算'!N39</x:f>
        <x:v>0.5</x:v>
      </x:c>
      <x:c r="I159" s="30" t="n">
        <x:f>IF(COUNT('总览与权重'!$H$6:$K$6)=4,ROUND(100*SUMPRODUCT(E159:H159,'总览与权重'!$H$6:$K$6),12),"NA")</x:f>
        <x:v>15</x:v>
      </x:c>
      <x:c r="J159" s="30" t="n">
        <x:f>IF(ISNUMBER(I159),COUNTIFS($I$6:$I$179,"&gt;"&amp;I159)+(COUNTIFS($I$6:$I$179,I159)+1)/2,"NA")</x:f>
        <x:v>160</x:v>
      </x:c>
      <x:c r="K159" s="30" t="n">
        <x:f>IF(COUNT('总览与权重'!$H$7:$K$7)=4,ROUND(100*SUMPRODUCT(E159:H159,'总览与权重'!$H$7:$K$7),12),"NA")</x:f>
        <x:v>10</x:v>
      </x:c>
      <x:c r="L159" s="30" t="n">
        <x:f>IF(ISNUMBER(K159),COUNTIFS($K$6:$K$179,"&gt;"&amp;K159)+(COUNTIFS($K$6:$K$179,K159)+1)/2,"NA")</x:f>
        <x:v>162</x:v>
      </x:c>
      <x:c r="M159" s="30" t="n">
        <x:f>IF(COUNT('总览与权重'!$H$8:$K$8)=4,ROUND(100*SUMPRODUCT(E159:H159,'总览与权重'!$H$8:$K$8),12),"NA")</x:f>
        <x:v>17.5</x:v>
      </x:c>
      <x:c r="N159" s="30" t="n">
        <x:f>IF(ISNUMBER(M159),COUNTIFS($M$6:$M$179,"&gt;"&amp;M159)+(COUNTIFS($M$6:$M$179,M159)+1)/2,"NA")</x:f>
        <x:v>160</x:v>
      </x:c>
      <x:c r="O159" s="30" t="n">
        <x:f>IF(COUNT('总览与权重'!$H$9:$K$9)=4,ROUND(100*SUMPRODUCT(E159:H159,'总览与权重'!$H$9:$K$9),12),"NA")</x:f>
        <x:v>15</x:v>
      </x:c>
      <x:c r="P159" s="30" t="n">
        <x:f>IF(ISNUMBER(O159),COUNTIFS($O$6:$O$179,"&gt;"&amp;O159)+(COUNTIFS($O$6:$O$179,O159)+1)/2,"NA")</x:f>
        <x:v>160</x:v>
      </x:c>
      <x:c r="Q159" s="30" t="n">
        <x:f>IF(COUNT('总览与权重'!$H$10:$K$10)=4,ROUND(100*SUMPRODUCT(E159:H159,'总览与权重'!$H$10:$K$10),12),"NA")</x:f>
        <x:v>1.711982457757</x:v>
      </x:c>
      <x:c r="R159" s="30" t="n">
        <x:f>IF(ISNUMBER(Q159),COUNTIFS($Q$6:$Q$179,"&gt;"&amp;Q159)+(COUNTIFS($Q$6:$Q$179,Q159)+1)/2,"NA")</x:f>
        <x:v>162</x:v>
      </x:c>
      <x:c r="S159" s="31" t="n">
        <x:f>IF(OR(B159="s3",B159="s6"),COUNTIFS($B$6:$B$179,B159,$I$6:$I$179,"&gt;"&amp;I159)+(COUNTIFS($B$6:$B$179,B159,$I$6:$I$179,I159)+1)/2,"NA")</x:f>
        <x:v>150.5</x:v>
      </x:c>
      <x:c r="T159" s="26" t="str">
        <x:f>IF(COUNTIFS($I$6:$I$179,"&gt;"&amp;I159)&gt;=35,"非前20%",IF(COUNTIFS($I$6:$I$179,"&gt;="&amp;I159)&gt;=35,"边界同分","严格前20%"))</x:f>
        <x:v>非前20%</x:v>
      </x:c>
      <x:c r="U159" s="26" t="str">
        <x:f>IF(COUNTIFS($I$6:$I$179,"&lt;"&amp;I159)&gt;=35,"非后20%",IF(COUNTIFS($I$6:$I$179,"&lt;="&amp;I159)&gt;=35,"边界同分","严格后20%"))</x:f>
        <x:v>严格后20%</x:v>
      </x:c>
      <x:c r="V159" s="26" t="n">
        <x:f>'基线调整'!I138</x:f>
        <x:v>47.092313929888</x:v>
      </x:c>
      <x:c r="W159" s="26" t="n">
        <x:f>'基线调整'!J138</x:f>
        <x:v>136.5</x:v>
      </x:c>
      <x:c r="X159" s="22" t="str">
        <x:v>["S0092"]</x:v>
      </x:c>
      <x:c r="Y159" s="22" t="str">
        <x:v>evidence/student_evidence.jsonl；student_key=2025秋:258912</x:v>
      </x:c>
      <x:c r="Z159" s="26" t="n">
        <x:f>IF(OR(B159="s3",B159="s6"),COUNTIFS($B$6:$B$179,B159,$K$6:$K$179,"&gt;"&amp;K159)+(COUNTIFS($B$6:$B$179,B159,$K$6:$K$179,K159)+1)/2,"NA")</x:f>
        <x:v>152.5</x:v>
      </x:c>
      <x:c r="AA159" s="26" t="n">
        <x:f>IF(OR(B159="s3",B159="s6"),COUNTIFS($B$6:$B$179,B159,$M$6:$M$179,"&gt;"&amp;M159)+(COUNTIFS($B$6:$B$179,B159,$M$6:$M$179,M159)+1)/2,"NA")</x:f>
        <x:v>150.5</x:v>
      </x:c>
      <x:c r="AB159" s="26" t="n">
        <x:f>IF(OR(B159="s3",B159="s6"),COUNTIFS($B$6:$B$179,B159,$O$6:$O$179,"&gt;"&amp;O159)+(COUNTIFS($B$6:$B$179,B159,$O$6:$O$179,O159)+1)/2,"NA")</x:f>
        <x:v>150.5</x:v>
      </x:c>
      <x:c r="AC159" s="26" t="n">
        <x:f>IF(OR(B159="s3",B159="s6"),COUNTIFS($B$6:$B$179,B159,$Q$6:$Q$179,"&gt;"&amp;Q159)+(COUNTIFS($B$6:$B$179,B159,$Q$6:$Q$179,Q159)+1)/2,"NA")</x:f>
        <x:v>152.5</x:v>
      </x:c>
    </x:row>
    <x:row r="160" ht="23" customHeight="1">
      <x:c r="A160" s="21" t="str">
        <x:v>2025秋:258918</x:v>
      </x:c>
      <x:c r="B160" s="22" t="str">
        <x:v>s3</x:v>
      </x:c>
      <x:c r="C160" s="24" t="n">
        <x:v>1</x:v>
      </x:c>
      <x:c r="D160" s="24" t="n">
        <x:v>1</x:v>
      </x:c>
      <x:c r="E160" s="29" t="n">
        <x:f>'指标计算'!K41</x:f>
        <x:v>0</x:v>
      </x:c>
      <x:c r="F160" s="29" t="n">
        <x:f>'指标计算'!L41</x:f>
        <x:v>0</x:v>
      </x:c>
      <x:c r="G160" s="29" t="n">
        <x:f>'指标计算'!M41</x:f>
        <x:v>0</x:v>
      </x:c>
      <x:c r="H160" s="29" t="n">
        <x:f>'指标计算'!N41</x:f>
        <x:v>0.5</x:v>
      </x:c>
      <x:c r="I160" s="30" t="n">
        <x:f>IF(COUNT('总览与权重'!$H$6:$K$6)=4,ROUND(100*SUMPRODUCT(E160:H160,'总览与权重'!$H$6:$K$6),12),"NA")</x:f>
        <x:v>15</x:v>
      </x:c>
      <x:c r="J160" s="30" t="n">
        <x:f>IF(ISNUMBER(I160),COUNTIFS($I$6:$I$179,"&gt;"&amp;I160)+(COUNTIFS($I$6:$I$179,I160)+1)/2,"NA")</x:f>
        <x:v>160</x:v>
      </x:c>
      <x:c r="K160" s="30" t="n">
        <x:f>IF(COUNT('总览与权重'!$H$7:$K$7)=4,ROUND(100*SUMPRODUCT(E160:H160,'总览与权重'!$H$7:$K$7),12),"NA")</x:f>
        <x:v>10</x:v>
      </x:c>
      <x:c r="L160" s="30" t="n">
        <x:f>IF(ISNUMBER(K160),COUNTIFS($K$6:$K$179,"&gt;"&amp;K160)+(COUNTIFS($K$6:$K$179,K160)+1)/2,"NA")</x:f>
        <x:v>162</x:v>
      </x:c>
      <x:c r="M160" s="30" t="n">
        <x:f>IF(COUNT('总览与权重'!$H$8:$K$8)=4,ROUND(100*SUMPRODUCT(E160:H160,'总览与权重'!$H$8:$K$8),12),"NA")</x:f>
        <x:v>17.5</x:v>
      </x:c>
      <x:c r="N160" s="30" t="n">
        <x:f>IF(ISNUMBER(M160),COUNTIFS($M$6:$M$179,"&gt;"&amp;M160)+(COUNTIFS($M$6:$M$179,M160)+1)/2,"NA")</x:f>
        <x:v>160</x:v>
      </x:c>
      <x:c r="O160" s="30" t="n">
        <x:f>IF(COUNT('总览与权重'!$H$9:$K$9)=4,ROUND(100*SUMPRODUCT(E160:H160,'总览与权重'!$H$9:$K$9),12),"NA")</x:f>
        <x:v>15</x:v>
      </x:c>
      <x:c r="P160" s="30" t="n">
        <x:f>IF(ISNUMBER(O160),COUNTIFS($O$6:$O$179,"&gt;"&amp;O160)+(COUNTIFS($O$6:$O$179,O160)+1)/2,"NA")</x:f>
        <x:v>160</x:v>
      </x:c>
      <x:c r="Q160" s="30" t="n">
        <x:f>IF(COUNT('总览与权重'!$H$10:$K$10)=4,ROUND(100*SUMPRODUCT(E160:H160,'总览与权重'!$H$10:$K$10),12),"NA")</x:f>
        <x:v>1.711982457757</x:v>
      </x:c>
      <x:c r="R160" s="30" t="n">
        <x:f>IF(ISNUMBER(Q160),COUNTIFS($Q$6:$Q$179,"&gt;"&amp;Q160)+(COUNTIFS($Q$6:$Q$179,Q160)+1)/2,"NA")</x:f>
        <x:v>162</x:v>
      </x:c>
      <x:c r="S160" s="31" t="n">
        <x:f>IF(OR(B160="s3",B160="s6"),COUNTIFS($B$6:$B$179,B160,$I$6:$I$179,"&gt;"&amp;I160)+(COUNTIFS($B$6:$B$179,B160,$I$6:$I$179,I160)+1)/2,"NA")</x:f>
        <x:v>150.5</x:v>
      </x:c>
      <x:c r="T160" s="26" t="str">
        <x:f>IF(COUNTIFS($I$6:$I$179,"&gt;"&amp;I160)&gt;=35,"非前20%",IF(COUNTIFS($I$6:$I$179,"&gt;="&amp;I160)&gt;=35,"边界同分","严格前20%"))</x:f>
        <x:v>非前20%</x:v>
      </x:c>
      <x:c r="U160" s="26" t="str">
        <x:f>IF(COUNTIFS($I$6:$I$179,"&lt;"&amp;I160)&gt;=35,"非后20%",IF(COUNTIFS($I$6:$I$179,"&lt;="&amp;I160)&gt;=35,"边界同分","严格后20%"))</x:f>
        <x:v>严格后20%</x:v>
      </x:c>
      <x:c r="V160" s="26" t="str">
        <x:v>NA</x:v>
      </x:c>
      <x:c r="W160" s="26" t="str">
        <x:v>NA</x:v>
      </x:c>
      <x:c r="X160" s="22" t="str">
        <x:v>["S0287"]</x:v>
      </x:c>
      <x:c r="Y160" s="22" t="str">
        <x:v>evidence/student_evidence.jsonl；student_key=2025秋:258918</x:v>
      </x:c>
      <x:c r="Z160" s="26" t="n">
        <x:f>IF(OR(B160="s3",B160="s6"),COUNTIFS($B$6:$B$179,B160,$K$6:$K$179,"&gt;"&amp;K160)+(COUNTIFS($B$6:$B$179,B160,$K$6:$K$179,K160)+1)/2,"NA")</x:f>
        <x:v>152.5</x:v>
      </x:c>
      <x:c r="AA160" s="26" t="n">
        <x:f>IF(OR(B160="s3",B160="s6"),COUNTIFS($B$6:$B$179,B160,$M$6:$M$179,"&gt;"&amp;M160)+(COUNTIFS($B$6:$B$179,B160,$M$6:$M$179,M160)+1)/2,"NA")</x:f>
        <x:v>150.5</x:v>
      </x:c>
      <x:c r="AB160" s="26" t="n">
        <x:f>IF(OR(B160="s3",B160="s6"),COUNTIFS($B$6:$B$179,B160,$O$6:$O$179,"&gt;"&amp;O160)+(COUNTIFS($B$6:$B$179,B160,$O$6:$O$179,O160)+1)/2,"NA")</x:f>
        <x:v>150.5</x:v>
      </x:c>
      <x:c r="AC160" s="26" t="n">
        <x:f>IF(OR(B160="s3",B160="s6"),COUNTIFS($B$6:$B$179,B160,$Q$6:$Q$179,"&gt;"&amp;Q160)+(COUNTIFS($B$6:$B$179,B160,$Q$6:$Q$179,Q160)+1)/2,"NA")</x:f>
        <x:v>152.5</x:v>
      </x:c>
    </x:row>
    <x:row r="161" ht="23" customHeight="1">
      <x:c r="A161" s="21" t="str">
        <x:v>2025秋:258923</x:v>
      </x:c>
      <x:c r="B161" s="22" t="str">
        <x:v>s3</x:v>
      </x:c>
      <x:c r="C161" s="24" t="n">
        <x:v>1</x:v>
      </x:c>
      <x:c r="D161" s="24" t="n">
        <x:v>1</x:v>
      </x:c>
      <x:c r="E161" s="29" t="n">
        <x:f>'指标计算'!K43</x:f>
        <x:v>0</x:v>
      </x:c>
      <x:c r="F161" s="29" t="n">
        <x:f>'指标计算'!L43</x:f>
        <x:v>0</x:v>
      </x:c>
      <x:c r="G161" s="29" t="n">
        <x:f>'指标计算'!M43</x:f>
        <x:v>0</x:v>
      </x:c>
      <x:c r="H161" s="29" t="n">
        <x:f>'指标计算'!N43</x:f>
        <x:v>0.5</x:v>
      </x:c>
      <x:c r="I161" s="30" t="n">
        <x:f>IF(COUNT('总览与权重'!$H$6:$K$6)=4,ROUND(100*SUMPRODUCT(E161:H161,'总览与权重'!$H$6:$K$6),12),"NA")</x:f>
        <x:v>15</x:v>
      </x:c>
      <x:c r="J161" s="30" t="n">
        <x:f>IF(ISNUMBER(I161),COUNTIFS($I$6:$I$179,"&gt;"&amp;I161)+(COUNTIFS($I$6:$I$179,I161)+1)/2,"NA")</x:f>
        <x:v>160</x:v>
      </x:c>
      <x:c r="K161" s="30" t="n">
        <x:f>IF(COUNT('总览与权重'!$H$7:$K$7)=4,ROUND(100*SUMPRODUCT(E161:H161,'总览与权重'!$H$7:$K$7),12),"NA")</x:f>
        <x:v>10</x:v>
      </x:c>
      <x:c r="L161" s="30" t="n">
        <x:f>IF(ISNUMBER(K161),COUNTIFS($K$6:$K$179,"&gt;"&amp;K161)+(COUNTIFS($K$6:$K$179,K161)+1)/2,"NA")</x:f>
        <x:v>162</x:v>
      </x:c>
      <x:c r="M161" s="30" t="n">
        <x:f>IF(COUNT('总览与权重'!$H$8:$K$8)=4,ROUND(100*SUMPRODUCT(E161:H161,'总览与权重'!$H$8:$K$8),12),"NA")</x:f>
        <x:v>17.5</x:v>
      </x:c>
      <x:c r="N161" s="30" t="n">
        <x:f>IF(ISNUMBER(M161),COUNTIFS($M$6:$M$179,"&gt;"&amp;M161)+(COUNTIFS($M$6:$M$179,M161)+1)/2,"NA")</x:f>
        <x:v>160</x:v>
      </x:c>
      <x:c r="O161" s="30" t="n">
        <x:f>IF(COUNT('总览与权重'!$H$9:$K$9)=4,ROUND(100*SUMPRODUCT(E161:H161,'总览与权重'!$H$9:$K$9),12),"NA")</x:f>
        <x:v>15</x:v>
      </x:c>
      <x:c r="P161" s="30" t="n">
        <x:f>IF(ISNUMBER(O161),COUNTIFS($O$6:$O$179,"&gt;"&amp;O161)+(COUNTIFS($O$6:$O$179,O161)+1)/2,"NA")</x:f>
        <x:v>160</x:v>
      </x:c>
      <x:c r="Q161" s="30" t="n">
        <x:f>IF(COUNT('总览与权重'!$H$10:$K$10)=4,ROUND(100*SUMPRODUCT(E161:H161,'总览与权重'!$H$10:$K$10),12),"NA")</x:f>
        <x:v>1.711982457757</x:v>
      </x:c>
      <x:c r="R161" s="30" t="n">
        <x:f>IF(ISNUMBER(Q161),COUNTIFS($Q$6:$Q$179,"&gt;"&amp;Q161)+(COUNTIFS($Q$6:$Q$179,Q161)+1)/2,"NA")</x:f>
        <x:v>162</x:v>
      </x:c>
      <x:c r="S161" s="31" t="n">
        <x:f>IF(OR(B161="s3",B161="s6"),COUNTIFS($B$6:$B$179,B161,$I$6:$I$179,"&gt;"&amp;I161)+(COUNTIFS($B$6:$B$179,B161,$I$6:$I$179,I161)+1)/2,"NA")</x:f>
        <x:v>150.5</x:v>
      </x:c>
      <x:c r="T161" s="26" t="str">
        <x:f>IF(COUNTIFS($I$6:$I$179,"&gt;"&amp;I161)&gt;=35,"非前20%",IF(COUNTIFS($I$6:$I$179,"&gt;="&amp;I161)&gt;=35,"边界同分","严格前20%"))</x:f>
        <x:v>非前20%</x:v>
      </x:c>
      <x:c r="U161" s="26" t="str">
        <x:f>IF(COUNTIFS($I$6:$I$179,"&lt;"&amp;I161)&gt;=35,"非后20%",IF(COUNTIFS($I$6:$I$179,"&lt;="&amp;I161)&gt;=35,"边界同分","严格后20%"))</x:f>
        <x:v>严格后20%</x:v>
      </x:c>
      <x:c r="V161" s="26" t="n">
        <x:f>'基线调整'!I139</x:f>
        <x:v>47.092313929888</x:v>
      </x:c>
      <x:c r="W161" s="26" t="n">
        <x:f>'基线调整'!J139</x:f>
        <x:v>136.5</x:v>
      </x:c>
      <x:c r="X161" s="22" t="str">
        <x:v>["S0120"]</x:v>
      </x:c>
      <x:c r="Y161" s="22" t="str">
        <x:v>evidence/student_evidence.jsonl；student_key=2025秋:258923</x:v>
      </x:c>
      <x:c r="Z161" s="26" t="n">
        <x:f>IF(OR(B161="s3",B161="s6"),COUNTIFS($B$6:$B$179,B161,$K$6:$K$179,"&gt;"&amp;K161)+(COUNTIFS($B$6:$B$179,B161,$K$6:$K$179,K161)+1)/2,"NA")</x:f>
        <x:v>152.5</x:v>
      </x:c>
      <x:c r="AA161" s="26" t="n">
        <x:f>IF(OR(B161="s3",B161="s6"),COUNTIFS($B$6:$B$179,B161,$M$6:$M$179,"&gt;"&amp;M161)+(COUNTIFS($B$6:$B$179,B161,$M$6:$M$179,M161)+1)/2,"NA")</x:f>
        <x:v>150.5</x:v>
      </x:c>
      <x:c r="AB161" s="26" t="n">
        <x:f>IF(OR(B161="s3",B161="s6"),COUNTIFS($B$6:$B$179,B161,$O$6:$O$179,"&gt;"&amp;O161)+(COUNTIFS($B$6:$B$179,B161,$O$6:$O$179,O161)+1)/2,"NA")</x:f>
        <x:v>150.5</x:v>
      </x:c>
      <x:c r="AC161" s="26" t="n">
        <x:f>IF(OR(B161="s3",B161="s6"),COUNTIFS($B$6:$B$179,B161,$Q$6:$Q$179,"&gt;"&amp;Q161)+(COUNTIFS($B$6:$B$179,B161,$Q$6:$Q$179,Q161)+1)/2,"NA")</x:f>
        <x:v>152.5</x:v>
      </x:c>
    </x:row>
    <x:row r="162" ht="23" customHeight="1">
      <x:c r="A162" s="21" t="str">
        <x:v>2025秋:258945</x:v>
      </x:c>
      <x:c r="B162" s="22" t="str">
        <x:v>s3</x:v>
      </x:c>
      <x:c r="C162" s="24" t="n">
        <x:v>1</x:v>
      </x:c>
      <x:c r="D162" s="24" t="n">
        <x:v>1</x:v>
      </x:c>
      <x:c r="E162" s="29" t="n">
        <x:f>'指标计算'!K51</x:f>
        <x:v>0</x:v>
      </x:c>
      <x:c r="F162" s="29" t="n">
        <x:f>'指标计算'!L51</x:f>
        <x:v>0</x:v>
      </x:c>
      <x:c r="G162" s="29" t="n">
        <x:f>'指标计算'!M51</x:f>
        <x:v>0</x:v>
      </x:c>
      <x:c r="H162" s="29" t="n">
        <x:f>'指标计算'!N51</x:f>
        <x:v>0.5</x:v>
      </x:c>
      <x:c r="I162" s="30" t="n">
        <x:f>IF(COUNT('总览与权重'!$H$6:$K$6)=4,ROUND(100*SUMPRODUCT(E162:H162,'总览与权重'!$H$6:$K$6),12),"NA")</x:f>
        <x:v>15</x:v>
      </x:c>
      <x:c r="J162" s="30" t="n">
        <x:f>IF(ISNUMBER(I162),COUNTIFS($I$6:$I$179,"&gt;"&amp;I162)+(COUNTIFS($I$6:$I$179,I162)+1)/2,"NA")</x:f>
        <x:v>160</x:v>
      </x:c>
      <x:c r="K162" s="30" t="n">
        <x:f>IF(COUNT('总览与权重'!$H$7:$K$7)=4,ROUND(100*SUMPRODUCT(E162:H162,'总览与权重'!$H$7:$K$7),12),"NA")</x:f>
        <x:v>10</x:v>
      </x:c>
      <x:c r="L162" s="30" t="n">
        <x:f>IF(ISNUMBER(K162),COUNTIFS($K$6:$K$179,"&gt;"&amp;K162)+(COUNTIFS($K$6:$K$179,K162)+1)/2,"NA")</x:f>
        <x:v>162</x:v>
      </x:c>
      <x:c r="M162" s="30" t="n">
        <x:f>IF(COUNT('总览与权重'!$H$8:$K$8)=4,ROUND(100*SUMPRODUCT(E162:H162,'总览与权重'!$H$8:$K$8),12),"NA")</x:f>
        <x:v>17.5</x:v>
      </x:c>
      <x:c r="N162" s="30" t="n">
        <x:f>IF(ISNUMBER(M162),COUNTIFS($M$6:$M$179,"&gt;"&amp;M162)+(COUNTIFS($M$6:$M$179,M162)+1)/2,"NA")</x:f>
        <x:v>160</x:v>
      </x:c>
      <x:c r="O162" s="30" t="n">
        <x:f>IF(COUNT('总览与权重'!$H$9:$K$9)=4,ROUND(100*SUMPRODUCT(E162:H162,'总览与权重'!$H$9:$K$9),12),"NA")</x:f>
        <x:v>15</x:v>
      </x:c>
      <x:c r="P162" s="30" t="n">
        <x:f>IF(ISNUMBER(O162),COUNTIFS($O$6:$O$179,"&gt;"&amp;O162)+(COUNTIFS($O$6:$O$179,O162)+1)/2,"NA")</x:f>
        <x:v>160</x:v>
      </x:c>
      <x:c r="Q162" s="30" t="n">
        <x:f>IF(COUNT('总览与权重'!$H$10:$K$10)=4,ROUND(100*SUMPRODUCT(E162:H162,'总览与权重'!$H$10:$K$10),12),"NA")</x:f>
        <x:v>1.711982457757</x:v>
      </x:c>
      <x:c r="R162" s="30" t="n">
        <x:f>IF(ISNUMBER(Q162),COUNTIFS($Q$6:$Q$179,"&gt;"&amp;Q162)+(COUNTIFS($Q$6:$Q$179,Q162)+1)/2,"NA")</x:f>
        <x:v>162</x:v>
      </x:c>
      <x:c r="S162" s="31" t="n">
        <x:f>IF(OR(B162="s3",B162="s6"),COUNTIFS($B$6:$B$179,B162,$I$6:$I$179,"&gt;"&amp;I162)+(COUNTIFS($B$6:$B$179,B162,$I$6:$I$179,I162)+1)/2,"NA")</x:f>
        <x:v>150.5</x:v>
      </x:c>
      <x:c r="T162" s="26" t="str">
        <x:f>IF(COUNTIFS($I$6:$I$179,"&gt;"&amp;I162)&gt;=35,"非前20%",IF(COUNTIFS($I$6:$I$179,"&gt;="&amp;I162)&gt;=35,"边界同分","严格前20%"))</x:f>
        <x:v>非前20%</x:v>
      </x:c>
      <x:c r="U162" s="26" t="str">
        <x:f>IF(COUNTIFS($I$6:$I$179,"&lt;"&amp;I162)&gt;=35,"非后20%",IF(COUNTIFS($I$6:$I$179,"&lt;="&amp;I162)&gt;=35,"边界同分","严格后20%"))</x:f>
        <x:v>严格后20%</x:v>
      </x:c>
      <x:c r="V162" s="26" t="str">
        <x:v>NA</x:v>
      </x:c>
      <x:c r="W162" s="26" t="str">
        <x:v>NA</x:v>
      </x:c>
      <x:c r="X162" s="22" t="str">
        <x:v>["S0048"]</x:v>
      </x:c>
      <x:c r="Y162" s="22" t="str">
        <x:v>evidence/student_evidence.jsonl；student_key=2025秋:258945</x:v>
      </x:c>
      <x:c r="Z162" s="26" t="n">
        <x:f>IF(OR(B162="s3",B162="s6"),COUNTIFS($B$6:$B$179,B162,$K$6:$K$179,"&gt;"&amp;K162)+(COUNTIFS($B$6:$B$179,B162,$K$6:$K$179,K162)+1)/2,"NA")</x:f>
        <x:v>152.5</x:v>
      </x:c>
      <x:c r="AA162" s="26" t="n">
        <x:f>IF(OR(B162="s3",B162="s6"),COUNTIFS($B$6:$B$179,B162,$M$6:$M$179,"&gt;"&amp;M162)+(COUNTIFS($B$6:$B$179,B162,$M$6:$M$179,M162)+1)/2,"NA")</x:f>
        <x:v>150.5</x:v>
      </x:c>
      <x:c r="AB162" s="26" t="n">
        <x:f>IF(OR(B162="s3",B162="s6"),COUNTIFS($B$6:$B$179,B162,$O$6:$O$179,"&gt;"&amp;O162)+(COUNTIFS($B$6:$B$179,B162,$O$6:$O$179,O162)+1)/2,"NA")</x:f>
        <x:v>150.5</x:v>
      </x:c>
      <x:c r="AC162" s="26" t="n">
        <x:f>IF(OR(B162="s3",B162="s6"),COUNTIFS($B$6:$B$179,B162,$Q$6:$Q$179,"&gt;"&amp;Q162)+(COUNTIFS($B$6:$B$179,B162,$Q$6:$Q$179,Q162)+1)/2,"NA")</x:f>
        <x:v>152.5</x:v>
      </x:c>
    </x:row>
    <x:row r="163" ht="23" customHeight="1">
      <x:c r="A163" s="21" t="str">
        <x:v>2025秋:259059</x:v>
      </x:c>
      <x:c r="B163" s="22" t="str">
        <x:v>s3</x:v>
      </x:c>
      <x:c r="C163" s="24" t="n">
        <x:v>1</x:v>
      </x:c>
      <x:c r="D163" s="24" t="n">
        <x:v>1</x:v>
      </x:c>
      <x:c r="E163" s="29" t="n">
        <x:f>'指标计算'!K72</x:f>
        <x:v>0</x:v>
      </x:c>
      <x:c r="F163" s="29" t="n">
        <x:f>'指标计算'!L72</x:f>
        <x:v>0</x:v>
      </x:c>
      <x:c r="G163" s="29" t="n">
        <x:f>'指标计算'!M72</x:f>
        <x:v>0</x:v>
      </x:c>
      <x:c r="H163" s="29" t="n">
        <x:f>'指标计算'!N72</x:f>
        <x:v>0.5</x:v>
      </x:c>
      <x:c r="I163" s="30" t="n">
        <x:f>IF(COUNT('总览与权重'!$H$6:$K$6)=4,ROUND(100*SUMPRODUCT(E163:H163,'总览与权重'!$H$6:$K$6),12),"NA")</x:f>
        <x:v>15</x:v>
      </x:c>
      <x:c r="J163" s="30" t="n">
        <x:f>IF(ISNUMBER(I163),COUNTIFS($I$6:$I$179,"&gt;"&amp;I163)+(COUNTIFS($I$6:$I$179,I163)+1)/2,"NA")</x:f>
        <x:v>160</x:v>
      </x:c>
      <x:c r="K163" s="30" t="n">
        <x:f>IF(COUNT('总览与权重'!$H$7:$K$7)=4,ROUND(100*SUMPRODUCT(E163:H163,'总览与权重'!$H$7:$K$7),12),"NA")</x:f>
        <x:v>10</x:v>
      </x:c>
      <x:c r="L163" s="30" t="n">
        <x:f>IF(ISNUMBER(K163),COUNTIFS($K$6:$K$179,"&gt;"&amp;K163)+(COUNTIFS($K$6:$K$179,K163)+1)/2,"NA")</x:f>
        <x:v>162</x:v>
      </x:c>
      <x:c r="M163" s="30" t="n">
        <x:f>IF(COUNT('总览与权重'!$H$8:$K$8)=4,ROUND(100*SUMPRODUCT(E163:H163,'总览与权重'!$H$8:$K$8),12),"NA")</x:f>
        <x:v>17.5</x:v>
      </x:c>
      <x:c r="N163" s="30" t="n">
        <x:f>IF(ISNUMBER(M163),COUNTIFS($M$6:$M$179,"&gt;"&amp;M163)+(COUNTIFS($M$6:$M$179,M163)+1)/2,"NA")</x:f>
        <x:v>160</x:v>
      </x:c>
      <x:c r="O163" s="30" t="n">
        <x:f>IF(COUNT('总览与权重'!$H$9:$K$9)=4,ROUND(100*SUMPRODUCT(E163:H163,'总览与权重'!$H$9:$K$9),12),"NA")</x:f>
        <x:v>15</x:v>
      </x:c>
      <x:c r="P163" s="30" t="n">
        <x:f>IF(ISNUMBER(O163),COUNTIFS($O$6:$O$179,"&gt;"&amp;O163)+(COUNTIFS($O$6:$O$179,O163)+1)/2,"NA")</x:f>
        <x:v>160</x:v>
      </x:c>
      <x:c r="Q163" s="30" t="n">
        <x:f>IF(COUNT('总览与权重'!$H$10:$K$10)=4,ROUND(100*SUMPRODUCT(E163:H163,'总览与权重'!$H$10:$K$10),12),"NA")</x:f>
        <x:v>1.711982457757</x:v>
      </x:c>
      <x:c r="R163" s="30" t="n">
        <x:f>IF(ISNUMBER(Q163),COUNTIFS($Q$6:$Q$179,"&gt;"&amp;Q163)+(COUNTIFS($Q$6:$Q$179,Q163)+1)/2,"NA")</x:f>
        <x:v>162</x:v>
      </x:c>
      <x:c r="S163" s="31" t="n">
        <x:f>IF(OR(B163="s3",B163="s6"),COUNTIFS($B$6:$B$179,B163,$I$6:$I$179,"&gt;"&amp;I163)+(COUNTIFS($B$6:$B$179,B163,$I$6:$I$179,I163)+1)/2,"NA")</x:f>
        <x:v>150.5</x:v>
      </x:c>
      <x:c r="T163" s="26" t="str">
        <x:f>IF(COUNTIFS($I$6:$I$179,"&gt;"&amp;I163)&gt;=35,"非前20%",IF(COUNTIFS($I$6:$I$179,"&gt;="&amp;I163)&gt;=35,"边界同分","严格前20%"))</x:f>
        <x:v>非前20%</x:v>
      </x:c>
      <x:c r="U163" s="26" t="str">
        <x:f>IF(COUNTIFS($I$6:$I$179,"&lt;"&amp;I163)&gt;=35,"非后20%",IF(COUNTIFS($I$6:$I$179,"&lt;="&amp;I163)&gt;=35,"边界同分","严格后20%"))</x:f>
        <x:v>严格后20%</x:v>
      </x:c>
      <x:c r="V163" s="26" t="n">
        <x:f>'基线调整'!I140</x:f>
        <x:v>47.092313929888</x:v>
      </x:c>
      <x:c r="W163" s="26" t="n">
        <x:f>'基线调整'!J140</x:f>
        <x:v>136.5</x:v>
      </x:c>
      <x:c r="X163" s="22" t="str">
        <x:v>["S0426"]</x:v>
      </x:c>
      <x:c r="Y163" s="22" t="str">
        <x:v>evidence/student_evidence.jsonl；student_key=2025秋:259059</x:v>
      </x:c>
      <x:c r="Z163" s="26" t="n">
        <x:f>IF(OR(B163="s3",B163="s6"),COUNTIFS($B$6:$B$179,B163,$K$6:$K$179,"&gt;"&amp;K163)+(COUNTIFS($B$6:$B$179,B163,$K$6:$K$179,K163)+1)/2,"NA")</x:f>
        <x:v>152.5</x:v>
      </x:c>
      <x:c r="AA163" s="26" t="n">
        <x:f>IF(OR(B163="s3",B163="s6"),COUNTIFS($B$6:$B$179,B163,$M$6:$M$179,"&gt;"&amp;M163)+(COUNTIFS($B$6:$B$179,B163,$M$6:$M$179,M163)+1)/2,"NA")</x:f>
        <x:v>150.5</x:v>
      </x:c>
      <x:c r="AB163" s="26" t="n">
        <x:f>IF(OR(B163="s3",B163="s6"),COUNTIFS($B$6:$B$179,B163,$O$6:$O$179,"&gt;"&amp;O163)+(COUNTIFS($B$6:$B$179,B163,$O$6:$O$179,O163)+1)/2,"NA")</x:f>
        <x:v>150.5</x:v>
      </x:c>
      <x:c r="AC163" s="26" t="n">
        <x:f>IF(OR(B163="s3",B163="s6"),COUNTIFS($B$6:$B$179,B163,$Q$6:$Q$179,"&gt;"&amp;Q163)+(COUNTIFS($B$6:$B$179,B163,$Q$6:$Q$179,Q163)+1)/2,"NA")</x:f>
        <x:v>152.5</x:v>
      </x:c>
    </x:row>
    <x:row r="164" ht="23" customHeight="1">
      <x:c r="A164" s="21" t="str">
        <x:v>2025秋:259106</x:v>
      </x:c>
      <x:c r="B164" s="22" t="str">
        <x:v>s3</x:v>
      </x:c>
      <x:c r="C164" s="24" t="n">
        <x:v>1</x:v>
      </x:c>
      <x:c r="D164" s="24" t="n">
        <x:v>1</x:v>
      </x:c>
      <x:c r="E164" s="29" t="n">
        <x:f>'指标计算'!K76</x:f>
        <x:v>0</x:v>
      </x:c>
      <x:c r="F164" s="29" t="n">
        <x:f>'指标计算'!L76</x:f>
        <x:v>0</x:v>
      </x:c>
      <x:c r="G164" s="29" t="n">
        <x:f>'指标计算'!M76</x:f>
        <x:v>0</x:v>
      </x:c>
      <x:c r="H164" s="29" t="n">
        <x:f>'指标计算'!N76</x:f>
        <x:v>0.5</x:v>
      </x:c>
      <x:c r="I164" s="30" t="n">
        <x:f>IF(COUNT('总览与权重'!$H$6:$K$6)=4,ROUND(100*SUMPRODUCT(E164:H164,'总览与权重'!$H$6:$K$6),12),"NA")</x:f>
        <x:v>15</x:v>
      </x:c>
      <x:c r="J164" s="30" t="n">
        <x:f>IF(ISNUMBER(I164),COUNTIFS($I$6:$I$179,"&gt;"&amp;I164)+(COUNTIFS($I$6:$I$179,I164)+1)/2,"NA")</x:f>
        <x:v>160</x:v>
      </x:c>
      <x:c r="K164" s="30" t="n">
        <x:f>IF(COUNT('总览与权重'!$H$7:$K$7)=4,ROUND(100*SUMPRODUCT(E164:H164,'总览与权重'!$H$7:$K$7),12),"NA")</x:f>
        <x:v>10</x:v>
      </x:c>
      <x:c r="L164" s="30" t="n">
        <x:f>IF(ISNUMBER(K164),COUNTIFS($K$6:$K$179,"&gt;"&amp;K164)+(COUNTIFS($K$6:$K$179,K164)+1)/2,"NA")</x:f>
        <x:v>162</x:v>
      </x:c>
      <x:c r="M164" s="30" t="n">
        <x:f>IF(COUNT('总览与权重'!$H$8:$K$8)=4,ROUND(100*SUMPRODUCT(E164:H164,'总览与权重'!$H$8:$K$8),12),"NA")</x:f>
        <x:v>17.5</x:v>
      </x:c>
      <x:c r="N164" s="30" t="n">
        <x:f>IF(ISNUMBER(M164),COUNTIFS($M$6:$M$179,"&gt;"&amp;M164)+(COUNTIFS($M$6:$M$179,M164)+1)/2,"NA")</x:f>
        <x:v>160</x:v>
      </x:c>
      <x:c r="O164" s="30" t="n">
        <x:f>IF(COUNT('总览与权重'!$H$9:$K$9)=4,ROUND(100*SUMPRODUCT(E164:H164,'总览与权重'!$H$9:$K$9),12),"NA")</x:f>
        <x:v>15</x:v>
      </x:c>
      <x:c r="P164" s="30" t="n">
        <x:f>IF(ISNUMBER(O164),COUNTIFS($O$6:$O$179,"&gt;"&amp;O164)+(COUNTIFS($O$6:$O$179,O164)+1)/2,"NA")</x:f>
        <x:v>160</x:v>
      </x:c>
      <x:c r="Q164" s="30" t="n">
        <x:f>IF(COUNT('总览与权重'!$H$10:$K$10)=4,ROUND(100*SUMPRODUCT(E164:H164,'总览与权重'!$H$10:$K$10),12),"NA")</x:f>
        <x:v>1.711982457757</x:v>
      </x:c>
      <x:c r="R164" s="30" t="n">
        <x:f>IF(ISNUMBER(Q164),COUNTIFS($Q$6:$Q$179,"&gt;"&amp;Q164)+(COUNTIFS($Q$6:$Q$179,Q164)+1)/2,"NA")</x:f>
        <x:v>162</x:v>
      </x:c>
      <x:c r="S164" s="31" t="n">
        <x:f>IF(OR(B164="s3",B164="s6"),COUNTIFS($B$6:$B$179,B164,$I$6:$I$179,"&gt;"&amp;I164)+(COUNTIFS($B$6:$B$179,B164,$I$6:$I$179,I164)+1)/2,"NA")</x:f>
        <x:v>150.5</x:v>
      </x:c>
      <x:c r="T164" s="26" t="str">
        <x:f>IF(COUNTIFS($I$6:$I$179,"&gt;"&amp;I164)&gt;=35,"非前20%",IF(COUNTIFS($I$6:$I$179,"&gt;="&amp;I164)&gt;=35,"边界同分","严格前20%"))</x:f>
        <x:v>非前20%</x:v>
      </x:c>
      <x:c r="U164" s="26" t="str">
        <x:f>IF(COUNTIFS($I$6:$I$179,"&lt;"&amp;I164)&gt;=35,"非后20%",IF(COUNTIFS($I$6:$I$179,"&lt;="&amp;I164)&gt;=35,"边界同分","严格后20%"))</x:f>
        <x:v>严格后20%</x:v>
      </x:c>
      <x:c r="V164" s="26" t="n">
        <x:f>'基线调整'!I141</x:f>
        <x:v>47.092313929888</x:v>
      </x:c>
      <x:c r="W164" s="26" t="n">
        <x:f>'基线调整'!J141</x:f>
        <x:v>136.5</x:v>
      </x:c>
      <x:c r="X164" s="22" t="str">
        <x:v>["S0005"]</x:v>
      </x:c>
      <x:c r="Y164" s="22" t="str">
        <x:v>evidence/student_evidence.jsonl；student_key=2025秋:259106</x:v>
      </x:c>
      <x:c r="Z164" s="26" t="n">
        <x:f>IF(OR(B164="s3",B164="s6"),COUNTIFS($B$6:$B$179,B164,$K$6:$K$179,"&gt;"&amp;K164)+(COUNTIFS($B$6:$B$179,B164,$K$6:$K$179,K164)+1)/2,"NA")</x:f>
        <x:v>152.5</x:v>
      </x:c>
      <x:c r="AA164" s="26" t="n">
        <x:f>IF(OR(B164="s3",B164="s6"),COUNTIFS($B$6:$B$179,B164,$M$6:$M$179,"&gt;"&amp;M164)+(COUNTIFS($B$6:$B$179,B164,$M$6:$M$179,M164)+1)/2,"NA")</x:f>
        <x:v>150.5</x:v>
      </x:c>
      <x:c r="AB164" s="26" t="n">
        <x:f>IF(OR(B164="s3",B164="s6"),COUNTIFS($B$6:$B$179,B164,$O$6:$O$179,"&gt;"&amp;O164)+(COUNTIFS($B$6:$B$179,B164,$O$6:$O$179,O164)+1)/2,"NA")</x:f>
        <x:v>150.5</x:v>
      </x:c>
      <x:c r="AC164" s="26" t="n">
        <x:f>IF(OR(B164="s3",B164="s6"),COUNTIFS($B$6:$B$179,B164,$Q$6:$Q$179,"&gt;"&amp;Q164)+(COUNTIFS($B$6:$B$179,B164,$Q$6:$Q$179,Q164)+1)/2,"NA")</x:f>
        <x:v>152.5</x:v>
      </x:c>
    </x:row>
    <x:row r="165" ht="23" customHeight="1">
      <x:c r="A165" s="21" t="str">
        <x:v>2025秋:259315</x:v>
      </x:c>
      <x:c r="B165" s="22" t="str">
        <x:v>s3</x:v>
      </x:c>
      <x:c r="C165" s="24" t="n">
        <x:v>1</x:v>
      </x:c>
      <x:c r="D165" s="24" t="n">
        <x:v>1</x:v>
      </x:c>
      <x:c r="E165" s="29" t="n">
        <x:f>'指标计算'!K80</x:f>
        <x:v>0</x:v>
      </x:c>
      <x:c r="F165" s="29" t="n">
        <x:f>'指标计算'!L80</x:f>
        <x:v>0</x:v>
      </x:c>
      <x:c r="G165" s="29" t="n">
        <x:f>'指标计算'!M80</x:f>
        <x:v>0</x:v>
      </x:c>
      <x:c r="H165" s="29" t="n">
        <x:f>'指标计算'!N80</x:f>
        <x:v>0.5</x:v>
      </x:c>
      <x:c r="I165" s="30" t="n">
        <x:f>IF(COUNT('总览与权重'!$H$6:$K$6)=4,ROUND(100*SUMPRODUCT(E165:H165,'总览与权重'!$H$6:$K$6),12),"NA")</x:f>
        <x:v>15</x:v>
      </x:c>
      <x:c r="J165" s="30" t="n">
        <x:f>IF(ISNUMBER(I165),COUNTIFS($I$6:$I$179,"&gt;"&amp;I165)+(COUNTIFS($I$6:$I$179,I165)+1)/2,"NA")</x:f>
        <x:v>160</x:v>
      </x:c>
      <x:c r="K165" s="30" t="n">
        <x:f>IF(COUNT('总览与权重'!$H$7:$K$7)=4,ROUND(100*SUMPRODUCT(E165:H165,'总览与权重'!$H$7:$K$7),12),"NA")</x:f>
        <x:v>10</x:v>
      </x:c>
      <x:c r="L165" s="30" t="n">
        <x:f>IF(ISNUMBER(K165),COUNTIFS($K$6:$K$179,"&gt;"&amp;K165)+(COUNTIFS($K$6:$K$179,K165)+1)/2,"NA")</x:f>
        <x:v>162</x:v>
      </x:c>
      <x:c r="M165" s="30" t="n">
        <x:f>IF(COUNT('总览与权重'!$H$8:$K$8)=4,ROUND(100*SUMPRODUCT(E165:H165,'总览与权重'!$H$8:$K$8),12),"NA")</x:f>
        <x:v>17.5</x:v>
      </x:c>
      <x:c r="N165" s="30" t="n">
        <x:f>IF(ISNUMBER(M165),COUNTIFS($M$6:$M$179,"&gt;"&amp;M165)+(COUNTIFS($M$6:$M$179,M165)+1)/2,"NA")</x:f>
        <x:v>160</x:v>
      </x:c>
      <x:c r="O165" s="30" t="n">
        <x:f>IF(COUNT('总览与权重'!$H$9:$K$9)=4,ROUND(100*SUMPRODUCT(E165:H165,'总览与权重'!$H$9:$K$9),12),"NA")</x:f>
        <x:v>15</x:v>
      </x:c>
      <x:c r="P165" s="30" t="n">
        <x:f>IF(ISNUMBER(O165),COUNTIFS($O$6:$O$179,"&gt;"&amp;O165)+(COUNTIFS($O$6:$O$179,O165)+1)/2,"NA")</x:f>
        <x:v>160</x:v>
      </x:c>
      <x:c r="Q165" s="30" t="n">
        <x:f>IF(COUNT('总览与权重'!$H$10:$K$10)=4,ROUND(100*SUMPRODUCT(E165:H165,'总览与权重'!$H$10:$K$10),12),"NA")</x:f>
        <x:v>1.711982457757</x:v>
      </x:c>
      <x:c r="R165" s="30" t="n">
        <x:f>IF(ISNUMBER(Q165),COUNTIFS($Q$6:$Q$179,"&gt;"&amp;Q165)+(COUNTIFS($Q$6:$Q$179,Q165)+1)/2,"NA")</x:f>
        <x:v>162</x:v>
      </x:c>
      <x:c r="S165" s="31" t="n">
        <x:f>IF(OR(B165="s3",B165="s6"),COUNTIFS($B$6:$B$179,B165,$I$6:$I$179,"&gt;"&amp;I165)+(COUNTIFS($B$6:$B$179,B165,$I$6:$I$179,I165)+1)/2,"NA")</x:f>
        <x:v>150.5</x:v>
      </x:c>
      <x:c r="T165" s="26" t="str">
        <x:f>IF(COUNTIFS($I$6:$I$179,"&gt;"&amp;I165)&gt;=35,"非前20%",IF(COUNTIFS($I$6:$I$179,"&gt;="&amp;I165)&gt;=35,"边界同分","严格前20%"))</x:f>
        <x:v>非前20%</x:v>
      </x:c>
      <x:c r="U165" s="26" t="str">
        <x:f>IF(COUNTIFS($I$6:$I$179,"&lt;"&amp;I165)&gt;=35,"非后20%",IF(COUNTIFS($I$6:$I$179,"&lt;="&amp;I165)&gt;=35,"边界同分","严格后20%"))</x:f>
        <x:v>严格后20%</x:v>
      </x:c>
      <x:c r="V165" s="26" t="n">
        <x:f>'基线调整'!I136</x:f>
        <x:v>47.494944055134</x:v>
      </x:c>
      <x:c r="W165" s="26" t="n">
        <x:f>'基线调整'!J136</x:f>
        <x:v>130.5</x:v>
      </x:c>
      <x:c r="X165" s="22" t="str">
        <x:v>["S0405"]</x:v>
      </x:c>
      <x:c r="Y165" s="22" t="str">
        <x:v>evidence/student_evidence.jsonl；student_key=2025秋:259315</x:v>
      </x:c>
      <x:c r="Z165" s="26" t="n">
        <x:f>IF(OR(B165="s3",B165="s6"),COUNTIFS($B$6:$B$179,B165,$K$6:$K$179,"&gt;"&amp;K165)+(COUNTIFS($B$6:$B$179,B165,$K$6:$K$179,K165)+1)/2,"NA")</x:f>
        <x:v>152.5</x:v>
      </x:c>
      <x:c r="AA165" s="26" t="n">
        <x:f>IF(OR(B165="s3",B165="s6"),COUNTIFS($B$6:$B$179,B165,$M$6:$M$179,"&gt;"&amp;M165)+(COUNTIFS($B$6:$B$179,B165,$M$6:$M$179,M165)+1)/2,"NA")</x:f>
        <x:v>150.5</x:v>
      </x:c>
      <x:c r="AB165" s="26" t="n">
        <x:f>IF(OR(B165="s3",B165="s6"),COUNTIFS($B$6:$B$179,B165,$O$6:$O$179,"&gt;"&amp;O165)+(COUNTIFS($B$6:$B$179,B165,$O$6:$O$179,O165)+1)/2,"NA")</x:f>
        <x:v>150.5</x:v>
      </x:c>
      <x:c r="AC165" s="26" t="n">
        <x:f>IF(OR(B165="s3",B165="s6"),COUNTIFS($B$6:$B$179,B165,$Q$6:$Q$179,"&gt;"&amp;Q165)+(COUNTIFS($B$6:$B$179,B165,$Q$6:$Q$179,Q165)+1)/2,"NA")</x:f>
        <x:v>152.5</x:v>
      </x:c>
    </x:row>
    <x:row r="166" ht="23" customHeight="1">
      <x:c r="A166" s="21" t="str">
        <x:v>2025秋:259346</x:v>
      </x:c>
      <x:c r="B166" s="22" t="str">
        <x:v>s3</x:v>
      </x:c>
      <x:c r="C166" s="24" t="n">
        <x:v>1</x:v>
      </x:c>
      <x:c r="D166" s="24" t="n">
        <x:v>1</x:v>
      </x:c>
      <x:c r="E166" s="29" t="n">
        <x:f>'指标计算'!K94</x:f>
        <x:v>0</x:v>
      </x:c>
      <x:c r="F166" s="29" t="n">
        <x:f>'指标计算'!L94</x:f>
        <x:v>0</x:v>
      </x:c>
      <x:c r="G166" s="29" t="n">
        <x:f>'指标计算'!M94</x:f>
        <x:v>0</x:v>
      </x:c>
      <x:c r="H166" s="29" t="n">
        <x:f>'指标计算'!N94</x:f>
        <x:v>0.5</x:v>
      </x:c>
      <x:c r="I166" s="30" t="n">
        <x:f>IF(COUNT('总览与权重'!$H$6:$K$6)=4,ROUND(100*SUMPRODUCT(E166:H166,'总览与权重'!$H$6:$K$6),12),"NA")</x:f>
        <x:v>15</x:v>
      </x:c>
      <x:c r="J166" s="30" t="n">
        <x:f>IF(ISNUMBER(I166),COUNTIFS($I$6:$I$179,"&gt;"&amp;I166)+(COUNTIFS($I$6:$I$179,I166)+1)/2,"NA")</x:f>
        <x:v>160</x:v>
      </x:c>
      <x:c r="K166" s="30" t="n">
        <x:f>IF(COUNT('总览与权重'!$H$7:$K$7)=4,ROUND(100*SUMPRODUCT(E166:H166,'总览与权重'!$H$7:$K$7),12),"NA")</x:f>
        <x:v>10</x:v>
      </x:c>
      <x:c r="L166" s="30" t="n">
        <x:f>IF(ISNUMBER(K166),COUNTIFS($K$6:$K$179,"&gt;"&amp;K166)+(COUNTIFS($K$6:$K$179,K166)+1)/2,"NA")</x:f>
        <x:v>162</x:v>
      </x:c>
      <x:c r="M166" s="30" t="n">
        <x:f>IF(COUNT('总览与权重'!$H$8:$K$8)=4,ROUND(100*SUMPRODUCT(E166:H166,'总览与权重'!$H$8:$K$8),12),"NA")</x:f>
        <x:v>17.5</x:v>
      </x:c>
      <x:c r="N166" s="30" t="n">
        <x:f>IF(ISNUMBER(M166),COUNTIFS($M$6:$M$179,"&gt;"&amp;M166)+(COUNTIFS($M$6:$M$179,M166)+1)/2,"NA")</x:f>
        <x:v>160</x:v>
      </x:c>
      <x:c r="O166" s="30" t="n">
        <x:f>IF(COUNT('总览与权重'!$H$9:$K$9)=4,ROUND(100*SUMPRODUCT(E166:H166,'总览与权重'!$H$9:$K$9),12),"NA")</x:f>
        <x:v>15</x:v>
      </x:c>
      <x:c r="P166" s="30" t="n">
        <x:f>IF(ISNUMBER(O166),COUNTIFS($O$6:$O$179,"&gt;"&amp;O166)+(COUNTIFS($O$6:$O$179,O166)+1)/2,"NA")</x:f>
        <x:v>160</x:v>
      </x:c>
      <x:c r="Q166" s="30" t="n">
        <x:f>IF(COUNT('总览与权重'!$H$10:$K$10)=4,ROUND(100*SUMPRODUCT(E166:H166,'总览与权重'!$H$10:$K$10),12),"NA")</x:f>
        <x:v>1.711982457757</x:v>
      </x:c>
      <x:c r="R166" s="30" t="n">
        <x:f>IF(ISNUMBER(Q166),COUNTIFS($Q$6:$Q$179,"&gt;"&amp;Q166)+(COUNTIFS($Q$6:$Q$179,Q166)+1)/2,"NA")</x:f>
        <x:v>162</x:v>
      </x:c>
      <x:c r="S166" s="31" t="n">
        <x:f>IF(OR(B166="s3",B166="s6"),COUNTIFS($B$6:$B$179,B166,$I$6:$I$179,"&gt;"&amp;I166)+(COUNTIFS($B$6:$B$179,B166,$I$6:$I$179,I166)+1)/2,"NA")</x:f>
        <x:v>150.5</x:v>
      </x:c>
      <x:c r="T166" s="26" t="str">
        <x:f>IF(COUNTIFS($I$6:$I$179,"&gt;"&amp;I166)&gt;=35,"非前20%",IF(COUNTIFS($I$6:$I$179,"&gt;="&amp;I166)&gt;=35,"边界同分","严格前20%"))</x:f>
        <x:v>非前20%</x:v>
      </x:c>
      <x:c r="U166" s="26" t="str">
        <x:f>IF(COUNTIFS($I$6:$I$179,"&lt;"&amp;I166)&gt;=35,"非后20%",IF(COUNTIFS($I$6:$I$179,"&lt;="&amp;I166)&gt;=35,"边界同分","严格后20%"))</x:f>
        <x:v>严格后20%</x:v>
      </x:c>
      <x:c r="V166" s="26" t="n">
        <x:f>'基线调整'!I142</x:f>
        <x:v>47.092313929888</x:v>
      </x:c>
      <x:c r="W166" s="26" t="n">
        <x:f>'基线调整'!J142</x:f>
        <x:v>136.5</x:v>
      </x:c>
      <x:c r="X166" s="22" t="str">
        <x:v>["S0672"]</x:v>
      </x:c>
      <x:c r="Y166" s="22" t="str">
        <x:v>evidence/student_evidence.jsonl；student_key=2025秋:259346</x:v>
      </x:c>
      <x:c r="Z166" s="26" t="n">
        <x:f>IF(OR(B166="s3",B166="s6"),COUNTIFS($B$6:$B$179,B166,$K$6:$K$179,"&gt;"&amp;K166)+(COUNTIFS($B$6:$B$179,B166,$K$6:$K$179,K166)+1)/2,"NA")</x:f>
        <x:v>152.5</x:v>
      </x:c>
      <x:c r="AA166" s="26" t="n">
        <x:f>IF(OR(B166="s3",B166="s6"),COUNTIFS($B$6:$B$179,B166,$M$6:$M$179,"&gt;"&amp;M166)+(COUNTIFS($B$6:$B$179,B166,$M$6:$M$179,M166)+1)/2,"NA")</x:f>
        <x:v>150.5</x:v>
      </x:c>
      <x:c r="AB166" s="26" t="n">
        <x:f>IF(OR(B166="s3",B166="s6"),COUNTIFS($B$6:$B$179,B166,$O$6:$O$179,"&gt;"&amp;O166)+(COUNTIFS($B$6:$B$179,B166,$O$6:$O$179,O166)+1)/2,"NA")</x:f>
        <x:v>150.5</x:v>
      </x:c>
      <x:c r="AC166" s="26" t="n">
        <x:f>IF(OR(B166="s3",B166="s6"),COUNTIFS($B$6:$B$179,B166,$Q$6:$Q$179,"&gt;"&amp;Q166)+(COUNTIFS($B$6:$B$179,B166,$Q$6:$Q$179,Q166)+1)/2,"NA")</x:f>
        <x:v>152.5</x:v>
      </x:c>
    </x:row>
    <x:row r="167" ht="23" customHeight="1">
      <x:c r="A167" s="21" t="str">
        <x:v>2025秋:259405</x:v>
      </x:c>
      <x:c r="B167" s="22" t="str">
        <x:v>s3</x:v>
      </x:c>
      <x:c r="C167" s="24" t="n">
        <x:v>1</x:v>
      </x:c>
      <x:c r="D167" s="24" t="n">
        <x:v>1</x:v>
      </x:c>
      <x:c r="E167" s="29" t="n">
        <x:f>'指标计算'!K99</x:f>
        <x:v>0</x:v>
      </x:c>
      <x:c r="F167" s="29" t="n">
        <x:f>'指标计算'!L99</x:f>
        <x:v>0</x:v>
      </x:c>
      <x:c r="G167" s="29" t="n">
        <x:f>'指标计算'!M99</x:f>
        <x:v>0</x:v>
      </x:c>
      <x:c r="H167" s="29" t="n">
        <x:f>'指标计算'!N99</x:f>
        <x:v>0.5</x:v>
      </x:c>
      <x:c r="I167" s="30" t="n">
        <x:f>IF(COUNT('总览与权重'!$H$6:$K$6)=4,ROUND(100*SUMPRODUCT(E167:H167,'总览与权重'!$H$6:$K$6),12),"NA")</x:f>
        <x:v>15</x:v>
      </x:c>
      <x:c r="J167" s="30" t="n">
        <x:f>IF(ISNUMBER(I167),COUNTIFS($I$6:$I$179,"&gt;"&amp;I167)+(COUNTIFS($I$6:$I$179,I167)+1)/2,"NA")</x:f>
        <x:v>160</x:v>
      </x:c>
      <x:c r="K167" s="30" t="n">
        <x:f>IF(COUNT('总览与权重'!$H$7:$K$7)=4,ROUND(100*SUMPRODUCT(E167:H167,'总览与权重'!$H$7:$K$7),12),"NA")</x:f>
        <x:v>10</x:v>
      </x:c>
      <x:c r="L167" s="30" t="n">
        <x:f>IF(ISNUMBER(K167),COUNTIFS($K$6:$K$179,"&gt;"&amp;K167)+(COUNTIFS($K$6:$K$179,K167)+1)/2,"NA")</x:f>
        <x:v>162</x:v>
      </x:c>
      <x:c r="M167" s="30" t="n">
        <x:f>IF(COUNT('总览与权重'!$H$8:$K$8)=4,ROUND(100*SUMPRODUCT(E167:H167,'总览与权重'!$H$8:$K$8),12),"NA")</x:f>
        <x:v>17.5</x:v>
      </x:c>
      <x:c r="N167" s="30" t="n">
        <x:f>IF(ISNUMBER(M167),COUNTIFS($M$6:$M$179,"&gt;"&amp;M167)+(COUNTIFS($M$6:$M$179,M167)+1)/2,"NA")</x:f>
        <x:v>160</x:v>
      </x:c>
      <x:c r="O167" s="30" t="n">
        <x:f>IF(COUNT('总览与权重'!$H$9:$K$9)=4,ROUND(100*SUMPRODUCT(E167:H167,'总览与权重'!$H$9:$K$9),12),"NA")</x:f>
        <x:v>15</x:v>
      </x:c>
      <x:c r="P167" s="30" t="n">
        <x:f>IF(ISNUMBER(O167),COUNTIFS($O$6:$O$179,"&gt;"&amp;O167)+(COUNTIFS($O$6:$O$179,O167)+1)/2,"NA")</x:f>
        <x:v>160</x:v>
      </x:c>
      <x:c r="Q167" s="30" t="n">
        <x:f>IF(COUNT('总览与权重'!$H$10:$K$10)=4,ROUND(100*SUMPRODUCT(E167:H167,'总览与权重'!$H$10:$K$10),12),"NA")</x:f>
        <x:v>1.711982457757</x:v>
      </x:c>
      <x:c r="R167" s="30" t="n">
        <x:f>IF(ISNUMBER(Q167),COUNTIFS($Q$6:$Q$179,"&gt;"&amp;Q167)+(COUNTIFS($Q$6:$Q$179,Q167)+1)/2,"NA")</x:f>
        <x:v>162</x:v>
      </x:c>
      <x:c r="S167" s="31" t="n">
        <x:f>IF(OR(B167="s3",B167="s6"),COUNTIFS($B$6:$B$179,B167,$I$6:$I$179,"&gt;"&amp;I167)+(COUNTIFS($B$6:$B$179,B167,$I$6:$I$179,I167)+1)/2,"NA")</x:f>
        <x:v>150.5</x:v>
      </x:c>
      <x:c r="T167" s="26" t="str">
        <x:f>IF(COUNTIFS($I$6:$I$179,"&gt;"&amp;I167)&gt;=35,"非前20%",IF(COUNTIFS($I$6:$I$179,"&gt;="&amp;I167)&gt;=35,"边界同分","严格前20%"))</x:f>
        <x:v>非前20%</x:v>
      </x:c>
      <x:c r="U167" s="26" t="str">
        <x:f>IF(COUNTIFS($I$6:$I$179,"&lt;"&amp;I167)&gt;=35,"非后20%",IF(COUNTIFS($I$6:$I$179,"&lt;="&amp;I167)&gt;=35,"边界同分","严格后20%"))</x:f>
        <x:v>严格后20%</x:v>
      </x:c>
      <x:c r="V167" s="26" t="str">
        <x:v>NA</x:v>
      </x:c>
      <x:c r="W167" s="26" t="str">
        <x:v>NA</x:v>
      </x:c>
      <x:c r="X167" s="22" t="str">
        <x:v>["S0219"]</x:v>
      </x:c>
      <x:c r="Y167" s="22" t="str">
        <x:v>evidence/student_evidence.jsonl；student_key=2025秋:259405</x:v>
      </x:c>
      <x:c r="Z167" s="26" t="n">
        <x:f>IF(OR(B167="s3",B167="s6"),COUNTIFS($B$6:$B$179,B167,$K$6:$K$179,"&gt;"&amp;K167)+(COUNTIFS($B$6:$B$179,B167,$K$6:$K$179,K167)+1)/2,"NA")</x:f>
        <x:v>152.5</x:v>
      </x:c>
      <x:c r="AA167" s="26" t="n">
        <x:f>IF(OR(B167="s3",B167="s6"),COUNTIFS($B$6:$B$179,B167,$M$6:$M$179,"&gt;"&amp;M167)+(COUNTIFS($B$6:$B$179,B167,$M$6:$M$179,M167)+1)/2,"NA")</x:f>
        <x:v>150.5</x:v>
      </x:c>
      <x:c r="AB167" s="26" t="n">
        <x:f>IF(OR(B167="s3",B167="s6"),COUNTIFS($B$6:$B$179,B167,$O$6:$O$179,"&gt;"&amp;O167)+(COUNTIFS($B$6:$B$179,B167,$O$6:$O$179,O167)+1)/2,"NA")</x:f>
        <x:v>150.5</x:v>
      </x:c>
      <x:c r="AC167" s="26" t="n">
        <x:f>IF(OR(B167="s3",B167="s6"),COUNTIFS($B$6:$B$179,B167,$Q$6:$Q$179,"&gt;"&amp;Q167)+(COUNTIFS($B$6:$B$179,B167,$Q$6:$Q$179,Q167)+1)/2,"NA")</x:f>
        <x:v>152.5</x:v>
      </x:c>
    </x:row>
    <x:row r="168" ht="23" customHeight="1">
      <x:c r="A168" s="21" t="str">
        <x:v>2025秋:259422</x:v>
      </x:c>
      <x:c r="B168" s="22" t="str">
        <x:v>s3</x:v>
      </x:c>
      <x:c r="C168" s="24" t="n">
        <x:v>1</x:v>
      </x:c>
      <x:c r="D168" s="24" t="n">
        <x:v>1</x:v>
      </x:c>
      <x:c r="E168" s="29" t="n">
        <x:f>'指标计算'!K102</x:f>
        <x:v>0</x:v>
      </x:c>
      <x:c r="F168" s="29" t="n">
        <x:f>'指标计算'!L102</x:f>
        <x:v>0</x:v>
      </x:c>
      <x:c r="G168" s="29" t="n">
        <x:f>'指标计算'!M102</x:f>
        <x:v>0</x:v>
      </x:c>
      <x:c r="H168" s="29" t="n">
        <x:f>'指标计算'!N102</x:f>
        <x:v>0.5</x:v>
      </x:c>
      <x:c r="I168" s="30" t="n">
        <x:f>IF(COUNT('总览与权重'!$H$6:$K$6)=4,ROUND(100*SUMPRODUCT(E168:H168,'总览与权重'!$H$6:$K$6),12),"NA")</x:f>
        <x:v>15</x:v>
      </x:c>
      <x:c r="J168" s="30" t="n">
        <x:f>IF(ISNUMBER(I168),COUNTIFS($I$6:$I$179,"&gt;"&amp;I168)+(COUNTIFS($I$6:$I$179,I168)+1)/2,"NA")</x:f>
        <x:v>160</x:v>
      </x:c>
      <x:c r="K168" s="30" t="n">
        <x:f>IF(COUNT('总览与权重'!$H$7:$K$7)=4,ROUND(100*SUMPRODUCT(E168:H168,'总览与权重'!$H$7:$K$7),12),"NA")</x:f>
        <x:v>10</x:v>
      </x:c>
      <x:c r="L168" s="30" t="n">
        <x:f>IF(ISNUMBER(K168),COUNTIFS($K$6:$K$179,"&gt;"&amp;K168)+(COUNTIFS($K$6:$K$179,K168)+1)/2,"NA")</x:f>
        <x:v>162</x:v>
      </x:c>
      <x:c r="M168" s="30" t="n">
        <x:f>IF(COUNT('总览与权重'!$H$8:$K$8)=4,ROUND(100*SUMPRODUCT(E168:H168,'总览与权重'!$H$8:$K$8),12),"NA")</x:f>
        <x:v>17.5</x:v>
      </x:c>
      <x:c r="N168" s="30" t="n">
        <x:f>IF(ISNUMBER(M168),COUNTIFS($M$6:$M$179,"&gt;"&amp;M168)+(COUNTIFS($M$6:$M$179,M168)+1)/2,"NA")</x:f>
        <x:v>160</x:v>
      </x:c>
      <x:c r="O168" s="30" t="n">
        <x:f>IF(COUNT('总览与权重'!$H$9:$K$9)=4,ROUND(100*SUMPRODUCT(E168:H168,'总览与权重'!$H$9:$K$9),12),"NA")</x:f>
        <x:v>15</x:v>
      </x:c>
      <x:c r="P168" s="30" t="n">
        <x:f>IF(ISNUMBER(O168),COUNTIFS($O$6:$O$179,"&gt;"&amp;O168)+(COUNTIFS($O$6:$O$179,O168)+1)/2,"NA")</x:f>
        <x:v>160</x:v>
      </x:c>
      <x:c r="Q168" s="30" t="n">
        <x:f>IF(COUNT('总览与权重'!$H$10:$K$10)=4,ROUND(100*SUMPRODUCT(E168:H168,'总览与权重'!$H$10:$K$10),12),"NA")</x:f>
        <x:v>1.711982457757</x:v>
      </x:c>
      <x:c r="R168" s="30" t="n">
        <x:f>IF(ISNUMBER(Q168),COUNTIFS($Q$6:$Q$179,"&gt;"&amp;Q168)+(COUNTIFS($Q$6:$Q$179,Q168)+1)/2,"NA")</x:f>
        <x:v>162</x:v>
      </x:c>
      <x:c r="S168" s="31" t="n">
        <x:f>IF(OR(B168="s3",B168="s6"),COUNTIFS($B$6:$B$179,B168,$I$6:$I$179,"&gt;"&amp;I168)+(COUNTIFS($B$6:$B$179,B168,$I$6:$I$179,I168)+1)/2,"NA")</x:f>
        <x:v>150.5</x:v>
      </x:c>
      <x:c r="T168" s="26" t="str">
        <x:f>IF(COUNTIFS($I$6:$I$179,"&gt;"&amp;I168)&gt;=35,"非前20%",IF(COUNTIFS($I$6:$I$179,"&gt;="&amp;I168)&gt;=35,"边界同分","严格前20%"))</x:f>
        <x:v>非前20%</x:v>
      </x:c>
      <x:c r="U168" s="26" t="str">
        <x:f>IF(COUNTIFS($I$6:$I$179,"&lt;"&amp;I168)&gt;=35,"非后20%",IF(COUNTIFS($I$6:$I$179,"&lt;="&amp;I168)&gt;=35,"边界同分","严格后20%"))</x:f>
        <x:v>严格后20%</x:v>
      </x:c>
      <x:c r="V168" s="26" t="n">
        <x:f>'基线调整'!I137</x:f>
        <x:v>47.092916556433</x:v>
      </x:c>
      <x:c r="W168" s="26" t="n">
        <x:f>'基线调整'!J137</x:f>
        <x:v>132</x:v>
      </x:c>
      <x:c r="X168" s="22" t="str">
        <x:v>["S0421"]</x:v>
      </x:c>
      <x:c r="Y168" s="22" t="str">
        <x:v>evidence/student_evidence.jsonl；student_key=2025秋:259422</x:v>
      </x:c>
      <x:c r="Z168" s="26" t="n">
        <x:f>IF(OR(B168="s3",B168="s6"),COUNTIFS($B$6:$B$179,B168,$K$6:$K$179,"&gt;"&amp;K168)+(COUNTIFS($B$6:$B$179,B168,$K$6:$K$179,K168)+1)/2,"NA")</x:f>
        <x:v>152.5</x:v>
      </x:c>
      <x:c r="AA168" s="26" t="n">
        <x:f>IF(OR(B168="s3",B168="s6"),COUNTIFS($B$6:$B$179,B168,$M$6:$M$179,"&gt;"&amp;M168)+(COUNTIFS($B$6:$B$179,B168,$M$6:$M$179,M168)+1)/2,"NA")</x:f>
        <x:v>150.5</x:v>
      </x:c>
      <x:c r="AB168" s="26" t="n">
        <x:f>IF(OR(B168="s3",B168="s6"),COUNTIFS($B$6:$B$179,B168,$O$6:$O$179,"&gt;"&amp;O168)+(COUNTIFS($B$6:$B$179,B168,$O$6:$O$179,O168)+1)/2,"NA")</x:f>
        <x:v>150.5</x:v>
      </x:c>
      <x:c r="AC168" s="26" t="n">
        <x:f>IF(OR(B168="s3",B168="s6"),COUNTIFS($B$6:$B$179,B168,$Q$6:$Q$179,"&gt;"&amp;Q168)+(COUNTIFS($B$6:$B$179,B168,$Q$6:$Q$179,Q168)+1)/2,"NA")</x:f>
        <x:v>152.5</x:v>
      </x:c>
    </x:row>
    <x:row r="169" ht="23" customHeight="1">
      <x:c r="A169" s="21" t="str">
        <x:v>2025秋:259927</x:v>
      </x:c>
      <x:c r="B169" s="22" t="str">
        <x:v>s3</x:v>
      </x:c>
      <x:c r="C169" s="24" t="n">
        <x:v>1</x:v>
      </x:c>
      <x:c r="D169" s="24" t="n">
        <x:v>1</x:v>
      </x:c>
      <x:c r="E169" s="29" t="n">
        <x:f>'指标计算'!K128</x:f>
        <x:v>0</x:v>
      </x:c>
      <x:c r="F169" s="29" t="n">
        <x:f>'指标计算'!L128</x:f>
        <x:v>0</x:v>
      </x:c>
      <x:c r="G169" s="29" t="n">
        <x:f>'指标计算'!M128</x:f>
        <x:v>0</x:v>
      </x:c>
      <x:c r="H169" s="29" t="n">
        <x:f>'指标计算'!N128</x:f>
        <x:v>0.5</x:v>
      </x:c>
      <x:c r="I169" s="30" t="n">
        <x:f>IF(COUNT('总览与权重'!$H$6:$K$6)=4,ROUND(100*SUMPRODUCT(E169:H169,'总览与权重'!$H$6:$K$6),12),"NA")</x:f>
        <x:v>15</x:v>
      </x:c>
      <x:c r="J169" s="30" t="n">
        <x:f>IF(ISNUMBER(I169),COUNTIFS($I$6:$I$179,"&gt;"&amp;I169)+(COUNTIFS($I$6:$I$179,I169)+1)/2,"NA")</x:f>
        <x:v>160</x:v>
      </x:c>
      <x:c r="K169" s="30" t="n">
        <x:f>IF(COUNT('总览与权重'!$H$7:$K$7)=4,ROUND(100*SUMPRODUCT(E169:H169,'总览与权重'!$H$7:$K$7),12),"NA")</x:f>
        <x:v>10</x:v>
      </x:c>
      <x:c r="L169" s="30" t="n">
        <x:f>IF(ISNUMBER(K169),COUNTIFS($K$6:$K$179,"&gt;"&amp;K169)+(COUNTIFS($K$6:$K$179,K169)+1)/2,"NA")</x:f>
        <x:v>162</x:v>
      </x:c>
      <x:c r="M169" s="30" t="n">
        <x:f>IF(COUNT('总览与权重'!$H$8:$K$8)=4,ROUND(100*SUMPRODUCT(E169:H169,'总览与权重'!$H$8:$K$8),12),"NA")</x:f>
        <x:v>17.5</x:v>
      </x:c>
      <x:c r="N169" s="30" t="n">
        <x:f>IF(ISNUMBER(M169),COUNTIFS($M$6:$M$179,"&gt;"&amp;M169)+(COUNTIFS($M$6:$M$179,M169)+1)/2,"NA")</x:f>
        <x:v>160</x:v>
      </x:c>
      <x:c r="O169" s="30" t="n">
        <x:f>IF(COUNT('总览与权重'!$H$9:$K$9)=4,ROUND(100*SUMPRODUCT(E169:H169,'总览与权重'!$H$9:$K$9),12),"NA")</x:f>
        <x:v>15</x:v>
      </x:c>
      <x:c r="P169" s="30" t="n">
        <x:f>IF(ISNUMBER(O169),COUNTIFS($O$6:$O$179,"&gt;"&amp;O169)+(COUNTIFS($O$6:$O$179,O169)+1)/2,"NA")</x:f>
        <x:v>160</x:v>
      </x:c>
      <x:c r="Q169" s="30" t="n">
        <x:f>IF(COUNT('总览与权重'!$H$10:$K$10)=4,ROUND(100*SUMPRODUCT(E169:H169,'总览与权重'!$H$10:$K$10),12),"NA")</x:f>
        <x:v>1.711982457757</x:v>
      </x:c>
      <x:c r="R169" s="30" t="n">
        <x:f>IF(ISNUMBER(Q169),COUNTIFS($Q$6:$Q$179,"&gt;"&amp;Q169)+(COUNTIFS($Q$6:$Q$179,Q169)+1)/2,"NA")</x:f>
        <x:v>162</x:v>
      </x:c>
      <x:c r="S169" s="31" t="n">
        <x:f>IF(OR(B169="s3",B169="s6"),COUNTIFS($B$6:$B$179,B169,$I$6:$I$179,"&gt;"&amp;I169)+(COUNTIFS($B$6:$B$179,B169,$I$6:$I$179,I169)+1)/2,"NA")</x:f>
        <x:v>150.5</x:v>
      </x:c>
      <x:c r="T169" s="26" t="str">
        <x:f>IF(COUNTIFS($I$6:$I$179,"&gt;"&amp;I169)&gt;=35,"非前20%",IF(COUNTIFS($I$6:$I$179,"&gt;="&amp;I169)&gt;=35,"边界同分","严格前20%"))</x:f>
        <x:v>非前20%</x:v>
      </x:c>
      <x:c r="U169" s="26" t="str">
        <x:f>IF(COUNTIFS($I$6:$I$179,"&lt;"&amp;I169)&gt;=35,"非后20%",IF(COUNTIFS($I$6:$I$179,"&lt;="&amp;I169)&gt;=35,"边界同分","严格后20%"))</x:f>
        <x:v>严格后20%</x:v>
      </x:c>
      <x:c r="V169" s="26" t="str">
        <x:v>NA</x:v>
      </x:c>
      <x:c r="W169" s="26" t="str">
        <x:v>NA</x:v>
      </x:c>
      <x:c r="X169" s="22" t="str">
        <x:v>["S0271"]</x:v>
      </x:c>
      <x:c r="Y169" s="22" t="str">
        <x:v>evidence/student_evidence.jsonl；student_key=2025秋:259927</x:v>
      </x:c>
      <x:c r="Z169" s="26" t="n">
        <x:f>IF(OR(B169="s3",B169="s6"),COUNTIFS($B$6:$B$179,B169,$K$6:$K$179,"&gt;"&amp;K169)+(COUNTIFS($B$6:$B$179,B169,$K$6:$K$179,K169)+1)/2,"NA")</x:f>
        <x:v>152.5</x:v>
      </x:c>
      <x:c r="AA169" s="26" t="n">
        <x:f>IF(OR(B169="s3",B169="s6"),COUNTIFS($B$6:$B$179,B169,$M$6:$M$179,"&gt;"&amp;M169)+(COUNTIFS($B$6:$B$179,B169,$M$6:$M$179,M169)+1)/2,"NA")</x:f>
        <x:v>150.5</x:v>
      </x:c>
      <x:c r="AB169" s="26" t="n">
        <x:f>IF(OR(B169="s3",B169="s6"),COUNTIFS($B$6:$B$179,B169,$O$6:$O$179,"&gt;"&amp;O169)+(COUNTIFS($B$6:$B$179,B169,$O$6:$O$179,O169)+1)/2,"NA")</x:f>
        <x:v>150.5</x:v>
      </x:c>
      <x:c r="AC169" s="26" t="n">
        <x:f>IF(OR(B169="s3",B169="s6"),COUNTIFS($B$6:$B$179,B169,$Q$6:$Q$179,"&gt;"&amp;Q169)+(COUNTIFS($B$6:$B$179,B169,$Q$6:$Q$179,Q169)+1)/2,"NA")</x:f>
        <x:v>152.5</x:v>
      </x:c>
    </x:row>
    <x:row r="170" ht="23" customHeight="1">
      <x:c r="A170" s="21" t="str">
        <x:v>2025秋:259958</x:v>
      </x:c>
      <x:c r="B170" s="22" t="str">
        <x:v>s3</x:v>
      </x:c>
      <x:c r="C170" s="24" t="n">
        <x:v>1</x:v>
      </x:c>
      <x:c r="D170" s="24" t="n">
        <x:v>1</x:v>
      </x:c>
      <x:c r="E170" s="29" t="n">
        <x:f>'指标计算'!K131</x:f>
        <x:v>0</x:v>
      </x:c>
      <x:c r="F170" s="29" t="n">
        <x:f>'指标计算'!L131</x:f>
        <x:v>0</x:v>
      </x:c>
      <x:c r="G170" s="29" t="n">
        <x:f>'指标计算'!M131</x:f>
        <x:v>0</x:v>
      </x:c>
      <x:c r="H170" s="29" t="n">
        <x:f>'指标计算'!N131</x:f>
        <x:v>0.5</x:v>
      </x:c>
      <x:c r="I170" s="30" t="n">
        <x:f>IF(COUNT('总览与权重'!$H$6:$K$6)=4,ROUND(100*SUMPRODUCT(E170:H170,'总览与权重'!$H$6:$K$6),12),"NA")</x:f>
        <x:v>15</x:v>
      </x:c>
      <x:c r="J170" s="30" t="n">
        <x:f>IF(ISNUMBER(I170),COUNTIFS($I$6:$I$179,"&gt;"&amp;I170)+(COUNTIFS($I$6:$I$179,I170)+1)/2,"NA")</x:f>
        <x:v>160</x:v>
      </x:c>
      <x:c r="K170" s="30" t="n">
        <x:f>IF(COUNT('总览与权重'!$H$7:$K$7)=4,ROUND(100*SUMPRODUCT(E170:H170,'总览与权重'!$H$7:$K$7),12),"NA")</x:f>
        <x:v>10</x:v>
      </x:c>
      <x:c r="L170" s="30" t="n">
        <x:f>IF(ISNUMBER(K170),COUNTIFS($K$6:$K$179,"&gt;"&amp;K170)+(COUNTIFS($K$6:$K$179,K170)+1)/2,"NA")</x:f>
        <x:v>162</x:v>
      </x:c>
      <x:c r="M170" s="30" t="n">
        <x:f>IF(COUNT('总览与权重'!$H$8:$K$8)=4,ROUND(100*SUMPRODUCT(E170:H170,'总览与权重'!$H$8:$K$8),12),"NA")</x:f>
        <x:v>17.5</x:v>
      </x:c>
      <x:c r="N170" s="30" t="n">
        <x:f>IF(ISNUMBER(M170),COUNTIFS($M$6:$M$179,"&gt;"&amp;M170)+(COUNTIFS($M$6:$M$179,M170)+1)/2,"NA")</x:f>
        <x:v>160</x:v>
      </x:c>
      <x:c r="O170" s="30" t="n">
        <x:f>IF(COUNT('总览与权重'!$H$9:$K$9)=4,ROUND(100*SUMPRODUCT(E170:H170,'总览与权重'!$H$9:$K$9),12),"NA")</x:f>
        <x:v>15</x:v>
      </x:c>
      <x:c r="P170" s="30" t="n">
        <x:f>IF(ISNUMBER(O170),COUNTIFS($O$6:$O$179,"&gt;"&amp;O170)+(COUNTIFS($O$6:$O$179,O170)+1)/2,"NA")</x:f>
        <x:v>160</x:v>
      </x:c>
      <x:c r="Q170" s="30" t="n">
        <x:f>IF(COUNT('总览与权重'!$H$10:$K$10)=4,ROUND(100*SUMPRODUCT(E170:H170,'总览与权重'!$H$10:$K$10),12),"NA")</x:f>
        <x:v>1.711982457757</x:v>
      </x:c>
      <x:c r="R170" s="30" t="n">
        <x:f>IF(ISNUMBER(Q170),COUNTIFS($Q$6:$Q$179,"&gt;"&amp;Q170)+(COUNTIFS($Q$6:$Q$179,Q170)+1)/2,"NA")</x:f>
        <x:v>162</x:v>
      </x:c>
      <x:c r="S170" s="31" t="n">
        <x:f>IF(OR(B170="s3",B170="s6"),COUNTIFS($B$6:$B$179,B170,$I$6:$I$179,"&gt;"&amp;I170)+(COUNTIFS($B$6:$B$179,B170,$I$6:$I$179,I170)+1)/2,"NA")</x:f>
        <x:v>150.5</x:v>
      </x:c>
      <x:c r="T170" s="26" t="str">
        <x:f>IF(COUNTIFS($I$6:$I$179,"&gt;"&amp;I170)&gt;=35,"非前20%",IF(COUNTIFS($I$6:$I$179,"&gt;="&amp;I170)&gt;=35,"边界同分","严格前20%"))</x:f>
        <x:v>非前20%</x:v>
      </x:c>
      <x:c r="U170" s="26" t="str">
        <x:f>IF(COUNTIFS($I$6:$I$179,"&lt;"&amp;I170)&gt;=35,"非后20%",IF(COUNTIFS($I$6:$I$179,"&lt;="&amp;I170)&gt;=35,"边界同分","严格后20%"))</x:f>
        <x:v>严格后20%</x:v>
      </x:c>
      <x:c r="V170" s="26" t="n">
        <x:f>'基线调整'!I132</x:f>
        <x:v>49.056346488689</x:v>
      </x:c>
      <x:c r="W170" s="26" t="n">
        <x:f>'基线调整'!J132</x:f>
        <x:v>127</x:v>
      </x:c>
      <x:c r="X170" s="22" t="str">
        <x:v>["S0183"]</x:v>
      </x:c>
      <x:c r="Y170" s="22" t="str">
        <x:v>evidence/student_evidence.jsonl；student_key=2025秋:259958</x:v>
      </x:c>
      <x:c r="Z170" s="26" t="n">
        <x:f>IF(OR(B170="s3",B170="s6"),COUNTIFS($B$6:$B$179,B170,$K$6:$K$179,"&gt;"&amp;K170)+(COUNTIFS($B$6:$B$179,B170,$K$6:$K$179,K170)+1)/2,"NA")</x:f>
        <x:v>152.5</x:v>
      </x:c>
      <x:c r="AA170" s="26" t="n">
        <x:f>IF(OR(B170="s3",B170="s6"),COUNTIFS($B$6:$B$179,B170,$M$6:$M$179,"&gt;"&amp;M170)+(COUNTIFS($B$6:$B$179,B170,$M$6:$M$179,M170)+1)/2,"NA")</x:f>
        <x:v>150.5</x:v>
      </x:c>
      <x:c r="AB170" s="26" t="n">
        <x:f>IF(OR(B170="s3",B170="s6"),COUNTIFS($B$6:$B$179,B170,$O$6:$O$179,"&gt;"&amp;O170)+(COUNTIFS($B$6:$B$179,B170,$O$6:$O$179,O170)+1)/2,"NA")</x:f>
        <x:v>150.5</x:v>
      </x:c>
      <x:c r="AC170" s="26" t="n">
        <x:f>IF(OR(B170="s3",B170="s6"),COUNTIFS($B$6:$B$179,B170,$Q$6:$Q$179,"&gt;"&amp;Q170)+(COUNTIFS($B$6:$B$179,B170,$Q$6:$Q$179,Q170)+1)/2,"NA")</x:f>
        <x:v>152.5</x:v>
      </x:c>
    </x:row>
    <x:row r="171" ht="23" customHeight="1">
      <x:c r="A171" s="21" t="str">
        <x:v>2025秋:25A171</x:v>
      </x:c>
      <x:c r="B171" s="22" t="str">
        <x:v>s3</x:v>
      </x:c>
      <x:c r="C171" s="24" t="n">
        <x:v>1</x:v>
      </x:c>
      <x:c r="D171" s="24" t="n">
        <x:v>1</x:v>
      </x:c>
      <x:c r="E171" s="29" t="n">
        <x:f>'指标计算'!K140</x:f>
        <x:v>0</x:v>
      </x:c>
      <x:c r="F171" s="29" t="n">
        <x:f>'指标计算'!L140</x:f>
        <x:v>0</x:v>
      </x:c>
      <x:c r="G171" s="29" t="n">
        <x:f>'指标计算'!M140</x:f>
        <x:v>0</x:v>
      </x:c>
      <x:c r="H171" s="29" t="n">
        <x:f>'指标计算'!N140</x:f>
        <x:v>0.5</x:v>
      </x:c>
      <x:c r="I171" s="30" t="n">
        <x:f>IF(COUNT('总览与权重'!$H$6:$K$6)=4,ROUND(100*SUMPRODUCT(E171:H171,'总览与权重'!$H$6:$K$6),12),"NA")</x:f>
        <x:v>15</x:v>
      </x:c>
      <x:c r="J171" s="30" t="n">
        <x:f>IF(ISNUMBER(I171),COUNTIFS($I$6:$I$179,"&gt;"&amp;I171)+(COUNTIFS($I$6:$I$179,I171)+1)/2,"NA")</x:f>
        <x:v>160</x:v>
      </x:c>
      <x:c r="K171" s="30" t="n">
        <x:f>IF(COUNT('总览与权重'!$H$7:$K$7)=4,ROUND(100*SUMPRODUCT(E171:H171,'总览与权重'!$H$7:$K$7),12),"NA")</x:f>
        <x:v>10</x:v>
      </x:c>
      <x:c r="L171" s="30" t="n">
        <x:f>IF(ISNUMBER(K171),COUNTIFS($K$6:$K$179,"&gt;"&amp;K171)+(COUNTIFS($K$6:$K$179,K171)+1)/2,"NA")</x:f>
        <x:v>162</x:v>
      </x:c>
      <x:c r="M171" s="30" t="n">
        <x:f>IF(COUNT('总览与权重'!$H$8:$K$8)=4,ROUND(100*SUMPRODUCT(E171:H171,'总览与权重'!$H$8:$K$8),12),"NA")</x:f>
        <x:v>17.5</x:v>
      </x:c>
      <x:c r="N171" s="30" t="n">
        <x:f>IF(ISNUMBER(M171),COUNTIFS($M$6:$M$179,"&gt;"&amp;M171)+(COUNTIFS($M$6:$M$179,M171)+1)/2,"NA")</x:f>
        <x:v>160</x:v>
      </x:c>
      <x:c r="O171" s="30" t="n">
        <x:f>IF(COUNT('总览与权重'!$H$9:$K$9)=4,ROUND(100*SUMPRODUCT(E171:H171,'总览与权重'!$H$9:$K$9),12),"NA")</x:f>
        <x:v>15</x:v>
      </x:c>
      <x:c r="P171" s="30" t="n">
        <x:f>IF(ISNUMBER(O171),COUNTIFS($O$6:$O$179,"&gt;"&amp;O171)+(COUNTIFS($O$6:$O$179,O171)+1)/2,"NA")</x:f>
        <x:v>160</x:v>
      </x:c>
      <x:c r="Q171" s="30" t="n">
        <x:f>IF(COUNT('总览与权重'!$H$10:$K$10)=4,ROUND(100*SUMPRODUCT(E171:H171,'总览与权重'!$H$10:$K$10),12),"NA")</x:f>
        <x:v>1.711982457757</x:v>
      </x:c>
      <x:c r="R171" s="30" t="n">
        <x:f>IF(ISNUMBER(Q171),COUNTIFS($Q$6:$Q$179,"&gt;"&amp;Q171)+(COUNTIFS($Q$6:$Q$179,Q171)+1)/2,"NA")</x:f>
        <x:v>162</x:v>
      </x:c>
      <x:c r="S171" s="31" t="n">
        <x:f>IF(OR(B171="s3",B171="s6"),COUNTIFS($B$6:$B$179,B171,$I$6:$I$179,"&gt;"&amp;I171)+(COUNTIFS($B$6:$B$179,B171,$I$6:$I$179,I171)+1)/2,"NA")</x:f>
        <x:v>150.5</x:v>
      </x:c>
      <x:c r="T171" s="26" t="str">
        <x:f>IF(COUNTIFS($I$6:$I$179,"&gt;"&amp;I171)&gt;=35,"非前20%",IF(COUNTIFS($I$6:$I$179,"&gt;="&amp;I171)&gt;=35,"边界同分","严格前20%"))</x:f>
        <x:v>非前20%</x:v>
      </x:c>
      <x:c r="U171" s="26" t="str">
        <x:f>IF(COUNTIFS($I$6:$I$179,"&lt;"&amp;I171)&gt;=35,"非后20%",IF(COUNTIFS($I$6:$I$179,"&lt;="&amp;I171)&gt;=35,"边界同分","严格后20%"))</x:f>
        <x:v>严格后20%</x:v>
      </x:c>
      <x:c r="V171" s="26" t="n">
        <x:f>'基线调整'!I133</x:f>
        <x:v>48.026574811664</x:v>
      </x:c>
      <x:c r="W171" s="26" t="n">
        <x:f>'基线调整'!J133</x:f>
        <x:v>128</x:v>
      </x:c>
      <x:c r="X171" s="22" t="str">
        <x:v>["S0258"]</x:v>
      </x:c>
      <x:c r="Y171" s="22" t="str">
        <x:v>evidence/student_evidence.jsonl；student_key=2025秋:25A171</x:v>
      </x:c>
      <x:c r="Z171" s="26" t="n">
        <x:f>IF(OR(B171="s3",B171="s6"),COUNTIFS($B$6:$B$179,B171,$K$6:$K$179,"&gt;"&amp;K171)+(COUNTIFS($B$6:$B$179,B171,$K$6:$K$179,K171)+1)/2,"NA")</x:f>
        <x:v>152.5</x:v>
      </x:c>
      <x:c r="AA171" s="26" t="n">
        <x:f>IF(OR(B171="s3",B171="s6"),COUNTIFS($B$6:$B$179,B171,$M$6:$M$179,"&gt;"&amp;M171)+(COUNTIFS($B$6:$B$179,B171,$M$6:$M$179,M171)+1)/2,"NA")</x:f>
        <x:v>150.5</x:v>
      </x:c>
      <x:c r="AB171" s="26" t="n">
        <x:f>IF(OR(B171="s3",B171="s6"),COUNTIFS($B$6:$B$179,B171,$O$6:$O$179,"&gt;"&amp;O171)+(COUNTIFS($B$6:$B$179,B171,$O$6:$O$179,O171)+1)/2,"NA")</x:f>
        <x:v>150.5</x:v>
      </x:c>
      <x:c r="AC171" s="26" t="n">
        <x:f>IF(OR(B171="s3",B171="s6"),COUNTIFS($B$6:$B$179,B171,$Q$6:$Q$179,"&gt;"&amp;Q171)+(COUNTIFS($B$6:$B$179,B171,$Q$6:$Q$179,Q171)+1)/2,"NA")</x:f>
        <x:v>152.5</x:v>
      </x:c>
    </x:row>
    <x:row r="172" ht="23" customHeight="1">
      <x:c r="A172" s="21" t="str">
        <x:v>2026春:250845</x:v>
      </x:c>
      <x:c r="B172" s="22" t="str">
        <x:v>s6</x:v>
      </x:c>
      <x:c r="C172" s="24" t="n">
        <x:v>1</x:v>
      </x:c>
      <x:c r="D172" s="24" t="n">
        <x:v>1</x:v>
      </x:c>
      <x:c r="E172" s="29" t="n">
        <x:f>'指标计算'!K144</x:f>
        <x:v>0</x:v>
      </x:c>
      <x:c r="F172" s="29" t="n">
        <x:f>'指标计算'!L144</x:f>
        <x:v>0</x:v>
      </x:c>
      <x:c r="G172" s="29" t="n">
        <x:f>'指标计算'!M144</x:f>
        <x:v>0</x:v>
      </x:c>
      <x:c r="H172" s="29" t="n">
        <x:f>'指标计算'!N144</x:f>
        <x:v>0.5</x:v>
      </x:c>
      <x:c r="I172" s="30" t="n">
        <x:f>IF(COUNT('总览与权重'!$H$6:$K$6)=4,ROUND(100*SUMPRODUCT(E172:H172,'总览与权重'!$H$6:$K$6),12),"NA")</x:f>
        <x:v>15</x:v>
      </x:c>
      <x:c r="J172" s="30" t="n">
        <x:f>IF(ISNUMBER(I172),COUNTIFS($I$6:$I$179,"&gt;"&amp;I172)+(COUNTIFS($I$6:$I$179,I172)+1)/2,"NA")</x:f>
        <x:v>160</x:v>
      </x:c>
      <x:c r="K172" s="30" t="n">
        <x:f>IF(COUNT('总览与权重'!$H$7:$K$7)=4,ROUND(100*SUMPRODUCT(E172:H172,'总览与权重'!$H$7:$K$7),12),"NA")</x:f>
        <x:v>10</x:v>
      </x:c>
      <x:c r="L172" s="30" t="n">
        <x:f>IF(ISNUMBER(K172),COUNTIFS($K$6:$K$179,"&gt;"&amp;K172)+(COUNTIFS($K$6:$K$179,K172)+1)/2,"NA")</x:f>
        <x:v>162</x:v>
      </x:c>
      <x:c r="M172" s="30" t="n">
        <x:f>IF(COUNT('总览与权重'!$H$8:$K$8)=4,ROUND(100*SUMPRODUCT(E172:H172,'总览与权重'!$H$8:$K$8),12),"NA")</x:f>
        <x:v>17.5</x:v>
      </x:c>
      <x:c r="N172" s="30" t="n">
        <x:f>IF(ISNUMBER(M172),COUNTIFS($M$6:$M$179,"&gt;"&amp;M172)+(COUNTIFS($M$6:$M$179,M172)+1)/2,"NA")</x:f>
        <x:v>160</x:v>
      </x:c>
      <x:c r="O172" s="30" t="n">
        <x:f>IF(COUNT('总览与权重'!$H$9:$K$9)=4,ROUND(100*SUMPRODUCT(E172:H172,'总览与权重'!$H$9:$K$9),12),"NA")</x:f>
        <x:v>15</x:v>
      </x:c>
      <x:c r="P172" s="30" t="n">
        <x:f>IF(ISNUMBER(O172),COUNTIFS($O$6:$O$179,"&gt;"&amp;O172)+(COUNTIFS($O$6:$O$179,O172)+1)/2,"NA")</x:f>
        <x:v>160</x:v>
      </x:c>
      <x:c r="Q172" s="30" t="n">
        <x:f>IF(COUNT('总览与权重'!$H$10:$K$10)=4,ROUND(100*SUMPRODUCT(E172:H172,'总览与权重'!$H$10:$K$10),12),"NA")</x:f>
        <x:v>1.711982457757</x:v>
      </x:c>
      <x:c r="R172" s="30" t="n">
        <x:f>IF(ISNUMBER(Q172),COUNTIFS($Q$6:$Q$179,"&gt;"&amp;Q172)+(COUNTIFS($Q$6:$Q$179,Q172)+1)/2,"NA")</x:f>
        <x:v>162</x:v>
      </x:c>
      <x:c r="S172" s="31" t="n">
        <x:f>IF(OR(B172="s3",B172="s6"),COUNTIFS($B$6:$B$179,B172,$I$6:$I$179,"&gt;"&amp;I172)+(COUNTIFS($B$6:$B$179,B172,$I$6:$I$179,I172)+1)/2,"NA")</x:f>
        <x:v>9</x:v>
      </x:c>
      <x:c r="T172" s="26" t="str">
        <x:f>IF(COUNTIFS($I$6:$I$179,"&gt;"&amp;I172)&gt;=35,"非前20%",IF(COUNTIFS($I$6:$I$179,"&gt;="&amp;I172)&gt;=35,"边界同分","严格前20%"))</x:f>
        <x:v>非前20%</x:v>
      </x:c>
      <x:c r="U172" s="26" t="str">
        <x:f>IF(COUNTIFS($I$6:$I$179,"&lt;"&amp;I172)&gt;=35,"非后20%",IF(COUNTIFS($I$6:$I$179,"&lt;="&amp;I172)&gt;=35,"边界同分","严格后20%"))</x:f>
        <x:v>严格后20%</x:v>
      </x:c>
      <x:c r="V172" s="26" t="n">
        <x:f>'基线调整'!I148</x:f>
        <x:v>46.648571428571</x:v>
      </x:c>
      <x:c r="W172" s="26" t="n">
        <x:f>'基线调整'!J148</x:f>
        <x:v>143</x:v>
      </x:c>
      <x:c r="X172" s="22" t="str">
        <x:v>["S0825"]</x:v>
      </x:c>
      <x:c r="Y172" s="22" t="str">
        <x:v>evidence/student_evidence.jsonl；student_key=2026春:250845</x:v>
      </x:c>
      <x:c r="Z172" s="26" t="n">
        <x:f>IF(OR(B172="s3",B172="s6"),COUNTIFS($B$6:$B$179,B172,$K$6:$K$179,"&gt;"&amp;K172)+(COUNTIFS($B$6:$B$179,B172,$K$6:$K$179,K172)+1)/2,"NA")</x:f>
        <x:v>9</x:v>
      </x:c>
      <x:c r="AA172" s="26" t="n">
        <x:f>IF(OR(B172="s3",B172="s6"),COUNTIFS($B$6:$B$179,B172,$M$6:$M$179,"&gt;"&amp;M172)+(COUNTIFS($B$6:$B$179,B172,$M$6:$M$179,M172)+1)/2,"NA")</x:f>
        <x:v>9</x:v>
      </x:c>
      <x:c r="AB172" s="26" t="n">
        <x:f>IF(OR(B172="s3",B172="s6"),COUNTIFS($B$6:$B$179,B172,$O$6:$O$179,"&gt;"&amp;O172)+(COUNTIFS($B$6:$B$179,B172,$O$6:$O$179,O172)+1)/2,"NA")</x:f>
        <x:v>9</x:v>
      </x:c>
      <x:c r="AC172" s="26" t="n">
        <x:f>IF(OR(B172="s3",B172="s6"),COUNTIFS($B$6:$B$179,B172,$Q$6:$Q$179,"&gt;"&amp;Q172)+(COUNTIFS($B$6:$B$179,B172,$Q$6:$Q$179,Q172)+1)/2,"NA")</x:f>
        <x:v>9</x:v>
      </x:c>
    </x:row>
    <x:row r="173" ht="23" customHeight="1">
      <x:c r="A173" s="21" t="str">
        <x:v>2026春:258955</x:v>
      </x:c>
      <x:c r="B173" s="22" t="str">
        <x:v>s3</x:v>
      </x:c>
      <x:c r="C173" s="24" t="n">
        <x:v>1</x:v>
      </x:c>
      <x:c r="D173" s="24" t="n">
        <x:v>1</x:v>
      </x:c>
      <x:c r="E173" s="29" t="n">
        <x:f>'指标计算'!K146</x:f>
        <x:v>0</x:v>
      </x:c>
      <x:c r="F173" s="29" t="n">
        <x:f>'指标计算'!L146</x:f>
        <x:v>0</x:v>
      </x:c>
      <x:c r="G173" s="29" t="n">
        <x:f>'指标计算'!M146</x:f>
        <x:v>0</x:v>
      </x:c>
      <x:c r="H173" s="29" t="n">
        <x:f>'指标计算'!N146</x:f>
        <x:v>0.5</x:v>
      </x:c>
      <x:c r="I173" s="30" t="n">
        <x:f>IF(COUNT('总览与权重'!$H$6:$K$6)=4,ROUND(100*SUMPRODUCT(E173:H173,'总览与权重'!$H$6:$K$6),12),"NA")</x:f>
        <x:v>15</x:v>
      </x:c>
      <x:c r="J173" s="30" t="n">
        <x:f>IF(ISNUMBER(I173),COUNTIFS($I$6:$I$179,"&gt;"&amp;I173)+(COUNTIFS($I$6:$I$179,I173)+1)/2,"NA")</x:f>
        <x:v>160</x:v>
      </x:c>
      <x:c r="K173" s="30" t="n">
        <x:f>IF(COUNT('总览与权重'!$H$7:$K$7)=4,ROUND(100*SUMPRODUCT(E173:H173,'总览与权重'!$H$7:$K$7),12),"NA")</x:f>
        <x:v>10</x:v>
      </x:c>
      <x:c r="L173" s="30" t="n">
        <x:f>IF(ISNUMBER(K173),COUNTIFS($K$6:$K$179,"&gt;"&amp;K173)+(COUNTIFS($K$6:$K$179,K173)+1)/2,"NA")</x:f>
        <x:v>162</x:v>
      </x:c>
      <x:c r="M173" s="30" t="n">
        <x:f>IF(COUNT('总览与权重'!$H$8:$K$8)=4,ROUND(100*SUMPRODUCT(E173:H173,'总览与权重'!$H$8:$K$8),12),"NA")</x:f>
        <x:v>17.5</x:v>
      </x:c>
      <x:c r="N173" s="30" t="n">
        <x:f>IF(ISNUMBER(M173),COUNTIFS($M$6:$M$179,"&gt;"&amp;M173)+(COUNTIFS($M$6:$M$179,M173)+1)/2,"NA")</x:f>
        <x:v>160</x:v>
      </x:c>
      <x:c r="O173" s="30" t="n">
        <x:f>IF(COUNT('总览与权重'!$H$9:$K$9)=4,ROUND(100*SUMPRODUCT(E173:H173,'总览与权重'!$H$9:$K$9),12),"NA")</x:f>
        <x:v>15</x:v>
      </x:c>
      <x:c r="P173" s="30" t="n">
        <x:f>IF(ISNUMBER(O173),COUNTIFS($O$6:$O$179,"&gt;"&amp;O173)+(COUNTIFS($O$6:$O$179,O173)+1)/2,"NA")</x:f>
        <x:v>160</x:v>
      </x:c>
      <x:c r="Q173" s="30" t="n">
        <x:f>IF(COUNT('总览与权重'!$H$10:$K$10)=4,ROUND(100*SUMPRODUCT(E173:H173,'总览与权重'!$H$10:$K$10),12),"NA")</x:f>
        <x:v>1.711982457757</x:v>
      </x:c>
      <x:c r="R173" s="30" t="n">
        <x:f>IF(ISNUMBER(Q173),COUNTIFS($Q$6:$Q$179,"&gt;"&amp;Q173)+(COUNTIFS($Q$6:$Q$179,Q173)+1)/2,"NA")</x:f>
        <x:v>162</x:v>
      </x:c>
      <x:c r="S173" s="31" t="n">
        <x:f>IF(OR(B173="s3",B173="s6"),COUNTIFS($B$6:$B$179,B173,$I$6:$I$179,"&gt;"&amp;I173)+(COUNTIFS($B$6:$B$179,B173,$I$6:$I$179,I173)+1)/2,"NA")</x:f>
        <x:v>150.5</x:v>
      </x:c>
      <x:c r="T173" s="26" t="str">
        <x:f>IF(COUNTIFS($I$6:$I$179,"&gt;"&amp;I173)&gt;=35,"非前20%",IF(COUNTIFS($I$6:$I$179,"&gt;="&amp;I173)&gt;=35,"边界同分","严格前20%"))</x:f>
        <x:v>非前20%</x:v>
      </x:c>
      <x:c r="U173" s="26" t="str">
        <x:f>IF(COUNTIFS($I$6:$I$179,"&lt;"&amp;I173)&gt;=35,"非后20%",IF(COUNTIFS($I$6:$I$179,"&lt;="&amp;I173)&gt;=35,"边界同分","严格后20%"))</x:f>
        <x:v>严格后20%</x:v>
      </x:c>
      <x:c r="V173" s="26" t="n">
        <x:f>'基线调整'!I143</x:f>
        <x:v>47.092313929888</x:v>
      </x:c>
      <x:c r="W173" s="26" t="n">
        <x:f>'基线调整'!J143</x:f>
        <x:v>136.5</x:v>
      </x:c>
      <x:c r="X173" s="22" t="str">
        <x:v>["S0838"]</x:v>
      </x:c>
      <x:c r="Y173" s="22" t="str">
        <x:v>evidence/student_evidence.jsonl；student_key=2026春:258955</x:v>
      </x:c>
      <x:c r="Z173" s="26" t="n">
        <x:f>IF(OR(B173="s3",B173="s6"),COUNTIFS($B$6:$B$179,B173,$K$6:$K$179,"&gt;"&amp;K173)+(COUNTIFS($B$6:$B$179,B173,$K$6:$K$179,K173)+1)/2,"NA")</x:f>
        <x:v>152.5</x:v>
      </x:c>
      <x:c r="AA173" s="26" t="n">
        <x:f>IF(OR(B173="s3",B173="s6"),COUNTIFS($B$6:$B$179,B173,$M$6:$M$179,"&gt;"&amp;M173)+(COUNTIFS($B$6:$B$179,B173,$M$6:$M$179,M173)+1)/2,"NA")</x:f>
        <x:v>150.5</x:v>
      </x:c>
      <x:c r="AB173" s="26" t="n">
        <x:f>IF(OR(B173="s3",B173="s6"),COUNTIFS($B$6:$B$179,B173,$O$6:$O$179,"&gt;"&amp;O173)+(COUNTIFS($B$6:$B$179,B173,$O$6:$O$179,O173)+1)/2,"NA")</x:f>
        <x:v>150.5</x:v>
      </x:c>
      <x:c r="AC173" s="26" t="n">
        <x:f>IF(OR(B173="s3",B173="s6"),COUNTIFS($B$6:$B$179,B173,$Q$6:$Q$179,"&gt;"&amp;Q173)+(COUNTIFS($B$6:$B$179,B173,$Q$6:$Q$179,Q173)+1)/2,"NA")</x:f>
        <x:v>152.5</x:v>
      </x:c>
    </x:row>
    <x:row r="174" ht="23" customHeight="1">
      <x:c r="A174" s="21" t="str">
        <x:v>2026春:268176</x:v>
      </x:c>
      <x:c r="B174" s="22" t="str">
        <x:v>s3</x:v>
      </x:c>
      <x:c r="C174" s="24" t="n">
        <x:v>1</x:v>
      </x:c>
      <x:c r="D174" s="24" t="n">
        <x:v>1</x:v>
      </x:c>
      <x:c r="E174" s="29" t="n">
        <x:f>'指标计算'!K164</x:f>
        <x:v>0</x:v>
      </x:c>
      <x:c r="F174" s="29" t="n">
        <x:f>'指标计算'!L164</x:f>
        <x:v>0</x:v>
      </x:c>
      <x:c r="G174" s="29" t="n">
        <x:f>'指标计算'!M164</x:f>
        <x:v>0</x:v>
      </x:c>
      <x:c r="H174" s="29" t="n">
        <x:f>'指标计算'!N164</x:f>
        <x:v>0.5</x:v>
      </x:c>
      <x:c r="I174" s="30" t="n">
        <x:f>IF(COUNT('总览与权重'!$H$6:$K$6)=4,ROUND(100*SUMPRODUCT(E174:H174,'总览与权重'!$H$6:$K$6),12),"NA")</x:f>
        <x:v>15</x:v>
      </x:c>
      <x:c r="J174" s="30" t="n">
        <x:f>IF(ISNUMBER(I174),COUNTIFS($I$6:$I$179,"&gt;"&amp;I174)+(COUNTIFS($I$6:$I$179,I174)+1)/2,"NA")</x:f>
        <x:v>160</x:v>
      </x:c>
      <x:c r="K174" s="30" t="n">
        <x:f>IF(COUNT('总览与权重'!$H$7:$K$7)=4,ROUND(100*SUMPRODUCT(E174:H174,'总览与权重'!$H$7:$K$7),12),"NA")</x:f>
        <x:v>10</x:v>
      </x:c>
      <x:c r="L174" s="30" t="n">
        <x:f>IF(ISNUMBER(K174),COUNTIFS($K$6:$K$179,"&gt;"&amp;K174)+(COUNTIFS($K$6:$K$179,K174)+1)/2,"NA")</x:f>
        <x:v>162</x:v>
      </x:c>
      <x:c r="M174" s="30" t="n">
        <x:f>IF(COUNT('总览与权重'!$H$8:$K$8)=4,ROUND(100*SUMPRODUCT(E174:H174,'总览与权重'!$H$8:$K$8),12),"NA")</x:f>
        <x:v>17.5</x:v>
      </x:c>
      <x:c r="N174" s="30" t="n">
        <x:f>IF(ISNUMBER(M174),COUNTIFS($M$6:$M$179,"&gt;"&amp;M174)+(COUNTIFS($M$6:$M$179,M174)+1)/2,"NA")</x:f>
        <x:v>160</x:v>
      </x:c>
      <x:c r="O174" s="30" t="n">
        <x:f>IF(COUNT('总览与权重'!$H$9:$K$9)=4,ROUND(100*SUMPRODUCT(E174:H174,'总览与权重'!$H$9:$K$9),12),"NA")</x:f>
        <x:v>15</x:v>
      </x:c>
      <x:c r="P174" s="30" t="n">
        <x:f>IF(ISNUMBER(O174),COUNTIFS($O$6:$O$179,"&gt;"&amp;O174)+(COUNTIFS($O$6:$O$179,O174)+1)/2,"NA")</x:f>
        <x:v>160</x:v>
      </x:c>
      <x:c r="Q174" s="30" t="n">
        <x:f>IF(COUNT('总览与权重'!$H$10:$K$10)=4,ROUND(100*SUMPRODUCT(E174:H174,'总览与权重'!$H$10:$K$10),12),"NA")</x:f>
        <x:v>1.711982457757</x:v>
      </x:c>
      <x:c r="R174" s="30" t="n">
        <x:f>IF(ISNUMBER(Q174),COUNTIFS($Q$6:$Q$179,"&gt;"&amp;Q174)+(COUNTIFS($Q$6:$Q$179,Q174)+1)/2,"NA")</x:f>
        <x:v>162</x:v>
      </x:c>
      <x:c r="S174" s="31" t="n">
        <x:f>IF(OR(B174="s3",B174="s6"),COUNTIFS($B$6:$B$179,B174,$I$6:$I$179,"&gt;"&amp;I174)+(COUNTIFS($B$6:$B$179,B174,$I$6:$I$179,I174)+1)/2,"NA")</x:f>
        <x:v>150.5</x:v>
      </x:c>
      <x:c r="T174" s="26" t="str">
        <x:f>IF(COUNTIFS($I$6:$I$179,"&gt;"&amp;I174)&gt;=35,"非前20%",IF(COUNTIFS($I$6:$I$179,"&gt;="&amp;I174)&gt;=35,"边界同分","严格前20%"))</x:f>
        <x:v>非前20%</x:v>
      </x:c>
      <x:c r="U174" s="26" t="str">
        <x:f>IF(COUNTIFS($I$6:$I$179,"&lt;"&amp;I174)&gt;=35,"非后20%",IF(COUNTIFS($I$6:$I$179,"&lt;="&amp;I174)&gt;=35,"边界同分","严格后20%"))</x:f>
        <x:v>严格后20%</x:v>
      </x:c>
      <x:c r="V174" s="26" t="n">
        <x:f>'基线调整'!I144</x:f>
        <x:v>47.092313929888</x:v>
      </x:c>
      <x:c r="W174" s="26" t="n">
        <x:f>'基线调整'!J144</x:f>
        <x:v>136.5</x:v>
      </x:c>
      <x:c r="X174" s="22" t="str">
        <x:v>["S1047"]</x:v>
      </x:c>
      <x:c r="Y174" s="22" t="str">
        <x:v>evidence/student_evidence.jsonl；student_key=2026春:268176</x:v>
      </x:c>
      <x:c r="Z174" s="26" t="n">
        <x:f>IF(OR(B174="s3",B174="s6"),COUNTIFS($B$6:$B$179,B174,$K$6:$K$179,"&gt;"&amp;K174)+(COUNTIFS($B$6:$B$179,B174,$K$6:$K$179,K174)+1)/2,"NA")</x:f>
        <x:v>152.5</x:v>
      </x:c>
      <x:c r="AA174" s="26" t="n">
        <x:f>IF(OR(B174="s3",B174="s6"),COUNTIFS($B$6:$B$179,B174,$M$6:$M$179,"&gt;"&amp;M174)+(COUNTIFS($B$6:$B$179,B174,$M$6:$M$179,M174)+1)/2,"NA")</x:f>
        <x:v>150.5</x:v>
      </x:c>
      <x:c r="AB174" s="26" t="n">
        <x:f>IF(OR(B174="s3",B174="s6"),COUNTIFS($B$6:$B$179,B174,$O$6:$O$179,"&gt;"&amp;O174)+(COUNTIFS($B$6:$B$179,B174,$O$6:$O$179,O174)+1)/2,"NA")</x:f>
        <x:v>150.5</x:v>
      </x:c>
      <x:c r="AC174" s="26" t="n">
        <x:f>IF(OR(B174="s3",B174="s6"),COUNTIFS($B$6:$B$179,B174,$Q$6:$Q$179,"&gt;"&amp;Q174)+(COUNTIFS($B$6:$B$179,B174,$Q$6:$Q$179,Q174)+1)/2,"NA")</x:f>
        <x:v>152.5</x:v>
      </x:c>
    </x:row>
    <x:row r="175" ht="23" customHeight="1">
      <x:c r="A175" s="21" t="str">
        <x:v>2026春:268538</x:v>
      </x:c>
      <x:c r="B175" s="22" t="str">
        <x:v>s3</x:v>
      </x:c>
      <x:c r="C175" s="24" t="n">
        <x:v>1</x:v>
      </x:c>
      <x:c r="D175" s="24" t="n">
        <x:v>1</x:v>
      </x:c>
      <x:c r="E175" s="29" t="n">
        <x:f>'指标计算'!K179</x:f>
        <x:v>0</x:v>
      </x:c>
      <x:c r="F175" s="29" t="n">
        <x:f>'指标计算'!L179</x:f>
        <x:v>0</x:v>
      </x:c>
      <x:c r="G175" s="29" t="n">
        <x:f>'指标计算'!M179</x:f>
        <x:v>0</x:v>
      </x:c>
      <x:c r="H175" s="29" t="n">
        <x:f>'指标计算'!N179</x:f>
        <x:v>0.5</x:v>
      </x:c>
      <x:c r="I175" s="30" t="n">
        <x:f>IF(COUNT('总览与权重'!$H$6:$K$6)=4,ROUND(100*SUMPRODUCT(E175:H175,'总览与权重'!$H$6:$K$6),12),"NA")</x:f>
        <x:v>15</x:v>
      </x:c>
      <x:c r="J175" s="30" t="n">
        <x:f>IF(ISNUMBER(I175),COUNTIFS($I$6:$I$179,"&gt;"&amp;I175)+(COUNTIFS($I$6:$I$179,I175)+1)/2,"NA")</x:f>
        <x:v>160</x:v>
      </x:c>
      <x:c r="K175" s="30" t="n">
        <x:f>IF(COUNT('总览与权重'!$H$7:$K$7)=4,ROUND(100*SUMPRODUCT(E175:H175,'总览与权重'!$H$7:$K$7),12),"NA")</x:f>
        <x:v>10</x:v>
      </x:c>
      <x:c r="L175" s="30" t="n">
        <x:f>IF(ISNUMBER(K175),COUNTIFS($K$6:$K$179,"&gt;"&amp;K175)+(COUNTIFS($K$6:$K$179,K175)+1)/2,"NA")</x:f>
        <x:v>162</x:v>
      </x:c>
      <x:c r="M175" s="30" t="n">
        <x:f>IF(COUNT('总览与权重'!$H$8:$K$8)=4,ROUND(100*SUMPRODUCT(E175:H175,'总览与权重'!$H$8:$K$8),12),"NA")</x:f>
        <x:v>17.5</x:v>
      </x:c>
      <x:c r="N175" s="30" t="n">
        <x:f>IF(ISNUMBER(M175),COUNTIFS($M$6:$M$179,"&gt;"&amp;M175)+(COUNTIFS($M$6:$M$179,M175)+1)/2,"NA")</x:f>
        <x:v>160</x:v>
      </x:c>
      <x:c r="O175" s="30" t="n">
        <x:f>IF(COUNT('总览与权重'!$H$9:$K$9)=4,ROUND(100*SUMPRODUCT(E175:H175,'总览与权重'!$H$9:$K$9),12),"NA")</x:f>
        <x:v>15</x:v>
      </x:c>
      <x:c r="P175" s="30" t="n">
        <x:f>IF(ISNUMBER(O175),COUNTIFS($O$6:$O$179,"&gt;"&amp;O175)+(COUNTIFS($O$6:$O$179,O175)+1)/2,"NA")</x:f>
        <x:v>160</x:v>
      </x:c>
      <x:c r="Q175" s="30" t="n">
        <x:f>IF(COUNT('总览与权重'!$H$10:$K$10)=4,ROUND(100*SUMPRODUCT(E175:H175,'总览与权重'!$H$10:$K$10),12),"NA")</x:f>
        <x:v>1.711982457757</x:v>
      </x:c>
      <x:c r="R175" s="30" t="n">
        <x:f>IF(ISNUMBER(Q175),COUNTIFS($Q$6:$Q$179,"&gt;"&amp;Q175)+(COUNTIFS($Q$6:$Q$179,Q175)+1)/2,"NA")</x:f>
        <x:v>162</x:v>
      </x:c>
      <x:c r="S175" s="31" t="n">
        <x:f>IF(OR(B175="s3",B175="s6"),COUNTIFS($B$6:$B$179,B175,$I$6:$I$179,"&gt;"&amp;I175)+(COUNTIFS($B$6:$B$179,B175,$I$6:$I$179,I175)+1)/2,"NA")</x:f>
        <x:v>150.5</x:v>
      </x:c>
      <x:c r="T175" s="26" t="str">
        <x:f>IF(COUNTIFS($I$6:$I$179,"&gt;"&amp;I175)&gt;=35,"非前20%",IF(COUNTIFS($I$6:$I$179,"&gt;="&amp;I175)&gt;=35,"边界同分","严格前20%"))</x:f>
        <x:v>非前20%</x:v>
      </x:c>
      <x:c r="U175" s="26" t="str">
        <x:f>IF(COUNTIFS($I$6:$I$179,"&lt;"&amp;I175)&gt;=35,"非后20%",IF(COUNTIFS($I$6:$I$179,"&lt;="&amp;I175)&gt;=35,"边界同分","严格后20%"))</x:f>
        <x:v>严格后20%</x:v>
      </x:c>
      <x:c r="V175" s="26" t="n">
        <x:f>'基线调整'!I145</x:f>
        <x:v>47.092313929888</x:v>
      </x:c>
      <x:c r="W175" s="26" t="n">
        <x:f>'基线调整'!J145</x:f>
        <x:v>136.5</x:v>
      </x:c>
      <x:c r="X175" s="22" t="str">
        <x:v>["S1276"]</x:v>
      </x:c>
      <x:c r="Y175" s="22" t="str">
        <x:v>evidence/student_evidence.jsonl；student_key=2026春:268538</x:v>
      </x:c>
      <x:c r="Z175" s="26" t="n">
        <x:f>IF(OR(B175="s3",B175="s6"),COUNTIFS($B$6:$B$179,B175,$K$6:$K$179,"&gt;"&amp;K175)+(COUNTIFS($B$6:$B$179,B175,$K$6:$K$179,K175)+1)/2,"NA")</x:f>
        <x:v>152.5</x:v>
      </x:c>
      <x:c r="AA175" s="26" t="n">
        <x:f>IF(OR(B175="s3",B175="s6"),COUNTIFS($B$6:$B$179,B175,$M$6:$M$179,"&gt;"&amp;M175)+(COUNTIFS($B$6:$B$179,B175,$M$6:$M$179,M175)+1)/2,"NA")</x:f>
        <x:v>150.5</x:v>
      </x:c>
      <x:c r="AB175" s="26" t="n">
        <x:f>IF(OR(B175="s3",B175="s6"),COUNTIFS($B$6:$B$179,B175,$O$6:$O$179,"&gt;"&amp;O175)+(COUNTIFS($B$6:$B$179,B175,$O$6:$O$179,O175)+1)/2,"NA")</x:f>
        <x:v>150.5</x:v>
      </x:c>
      <x:c r="AC175" s="26" t="n">
        <x:f>IF(OR(B175="s3",B175="s6"),COUNTIFS($B$6:$B$179,B175,$Q$6:$Q$179,"&gt;"&amp;Q175)+(COUNTIFS($B$6:$B$179,B175,$Q$6:$Q$179,Q175)+1)/2,"NA")</x:f>
        <x:v>152.5</x:v>
      </x:c>
    </x:row>
    <x:row r="176" ht="23" customHeight="1">
      <x:c r="A176" s="21" t="str">
        <x:v>2026春:268133</x:v>
      </x:c>
      <x:c r="B176" s="22" t="str">
        <x:v>s3</x:v>
      </x:c>
      <x:c r="C176" s="24" t="n">
        <x:v>1</x:v>
      </x:c>
      <x:c r="D176" s="24" t="n">
        <x:v>1</x:v>
      </x:c>
      <x:c r="E176" s="29" t="n">
        <x:f>'指标计算'!K155</x:f>
        <x:v>0.010864549253818733</x:v>
      </x:c>
      <x:c r="F176" s="29" t="n">
        <x:f>'指标计算'!L155</x:f>
        <x:v>0.1303745910458248</x:v>
      </x:c>
      <x:c r="G176" s="29" t="n">
        <x:f>'指标计算'!M155</x:f>
        <x:v>0.1303745910458248</x:v>
      </x:c>
      <x:c r="H176" s="29" t="n">
        <x:f>'指标计算'!N155</x:f>
        <x:v>0.25</x:v>
      </x:c>
      <x:c r="I176" s="30" t="n">
        <x:f>IF(COUNT('总览与权重'!$H$6:$K$6)=4,ROUND(100*SUMPRODUCT(E176:H176,'总览与权重'!$H$6:$K$6),12),"NA")</x:f>
        <x:v>13.040920119448</x:v>
      </x:c>
      <x:c r="J176" s="30" t="n">
        <x:f>IF(ISNUMBER(I176),COUNTIFS($I$6:$I$179,"&gt;"&amp;I176)+(COUNTIFS($I$6:$I$179,I176)+1)/2,"NA")</x:f>
        <x:v>171</x:v>
      </x:c>
      <x:c r="K176" s="30" t="n">
        <x:f>IF(COUNT('总览与权重'!$H$7:$K$7)=4,ROUND(100*SUMPRODUCT(E176:H176,'总览与权重'!$H$7:$K$7),12),"NA")</x:f>
        <x:v>13.039766447826</x:v>
      </x:c>
      <x:c r="L176" s="30" t="n">
        <x:f>IF(ISNUMBER(K176),COUNTIFS($K$6:$K$179,"&gt;"&amp;K176)+(COUNTIFS($K$6:$K$179,K176)+1)/2,"NA")</x:f>
        <x:v>150</x:v>
      </x:c>
      <x:c r="M176" s="30" t="n">
        <x:f>IF(COUNT('总览与权重'!$H$8:$K$8)=4,ROUND(100*SUMPRODUCT(E176:H176,'总览与权重'!$H$8:$K$8),12),"NA")</x:f>
        <x:v>14.236597373178</x:v>
      </x:c>
      <x:c r="N176" s="30" t="n">
        <x:f>IF(ISNUMBER(M176),COUNTIFS($M$6:$M$179,"&gt;"&amp;M176)+(COUNTIFS($M$6:$M$179,M176)+1)/2,"NA")</x:f>
        <x:v>171</x:v>
      </x:c>
      <x:c r="O176" s="30" t="n">
        <x:f>IF(COUNT('总览与权重'!$H$9:$K$9)=4,ROUND(100*SUMPRODUCT(E176:H176,'总览与权重'!$H$9:$K$9),12),"NA")</x:f>
        <x:v>13.832975413953</x:v>
      </x:c>
      <x:c r="P176" s="30" t="n">
        <x:f>IF(ISNUMBER(O176),COUNTIFS($O$6:$O$179,"&gt;"&amp;O176)+(COUNTIFS($O$6:$O$179,O176)+1)/2,"NA")</x:f>
        <x:v>171</x:v>
      </x:c>
      <x:c r="Q176" s="30" t="n">
        <x:f>IF(COUNT('总览与权重'!$H$10:$K$10)=4,ROUND(100*SUMPRODUCT(E176:H176,'总览与权重'!$H$10:$K$10),12),"NA")</x:f>
        <x:v>9.593329168408</x:v>
      </x:c>
      <x:c r="R176" s="30" t="n">
        <x:f>IF(ISNUMBER(Q176),COUNTIFS($Q$6:$Q$179,"&gt;"&amp;Q176)+(COUNTIFS($Q$6:$Q$179,Q176)+1)/2,"NA")</x:f>
        <x:v>105</x:v>
      </x:c>
      <x:c r="S176" s="31" t="n">
        <x:f>IF(OR(B176="s3",B176="s6"),COUNTIFS($B$6:$B$179,B176,$I$6:$I$179,"&gt;"&amp;I176)+(COUNTIFS($B$6:$B$179,B176,$I$6:$I$179,I176)+1)/2,"NA")</x:f>
        <x:v>161</x:v>
      </x:c>
      <x:c r="T176" s="26" t="str">
        <x:f>IF(COUNTIFS($I$6:$I$179,"&gt;"&amp;I176)&gt;=35,"非前20%",IF(COUNTIFS($I$6:$I$179,"&gt;="&amp;I176)&gt;=35,"边界同分","严格前20%"))</x:f>
        <x:v>非前20%</x:v>
      </x:c>
      <x:c r="U176" s="26" t="str">
        <x:f>IF(COUNTIFS($I$6:$I$179,"&lt;"&amp;I176)&gt;=35,"非后20%",IF(COUNTIFS($I$6:$I$179,"&lt;="&amp;I176)&gt;=35,"边界同分","严格后20%"))</x:f>
        <x:v>严格后20%</x:v>
      </x:c>
      <x:c r="V176" s="26" t="n">
        <x:f>'基线调整'!I150</x:f>
        <x:v>42.362773989611</x:v>
      </x:c>
      <x:c r="W176" s="26" t="n">
        <x:f>'基线调整'!J150</x:f>
        <x:v>145</x:v>
      </x:c>
      <x:c r="X176" s="22" t="str">
        <x:v>["S0944"]</x:v>
      </x:c>
      <x:c r="Y176" s="22" t="str">
        <x:v>evidence/student_evidence.jsonl；student_key=2026春:268133</x:v>
      </x:c>
      <x:c r="Z176" s="26" t="n">
        <x:f>IF(OR(B176="s3",B176="s6"),COUNTIFS($B$6:$B$179,B176,$K$6:$K$179,"&gt;"&amp;K176)+(COUNTIFS($B$6:$B$179,B176,$K$6:$K$179,K176)+1)/2,"NA")</x:f>
        <x:v>141</x:v>
      </x:c>
      <x:c r="AA176" s="26" t="n">
        <x:f>IF(OR(B176="s3",B176="s6"),COUNTIFS($B$6:$B$179,B176,$M$6:$M$179,"&gt;"&amp;M176)+(COUNTIFS($B$6:$B$179,B176,$M$6:$M$179,M176)+1)/2,"NA")</x:f>
        <x:v>161</x:v>
      </x:c>
      <x:c r="AB176" s="26" t="n">
        <x:f>IF(OR(B176="s3",B176="s6"),COUNTIFS($B$6:$B$179,B176,$O$6:$O$179,"&gt;"&amp;O176)+(COUNTIFS($B$6:$B$179,B176,$O$6:$O$179,O176)+1)/2,"NA")</x:f>
        <x:v>161</x:v>
      </x:c>
      <x:c r="AC176" s="26" t="n">
        <x:f>IF(OR(B176="s3",B176="s6"),COUNTIFS($B$6:$B$179,B176,$Q$6:$Q$179,"&gt;"&amp;Q176)+(COUNTIFS($B$6:$B$179,B176,$Q$6:$Q$179,Q176)+1)/2,"NA")</x:f>
        <x:v>98</x:v>
      </x:c>
    </x:row>
    <x:row r="177" ht="23" customHeight="1">
      <x:c r="A177" s="21" t="str">
        <x:v>2026春:250868</x:v>
      </x:c>
      <x:c r="B177" s="22" t="str">
        <x:v>s3</x:v>
      </x:c>
      <x:c r="C177" s="24" t="n">
        <x:v>1</x:v>
      </x:c>
      <x:c r="D177" s="24" t="n">
        <x:v>1</x:v>
      </x:c>
      <x:c r="E177" s="29" t="n">
        <x:f>'指标计算'!K145</x:f>
        <x:v>0.010271865480198816</x:v>
      </x:c>
      <x:c r="F177" s="29" t="n">
        <x:f>'指标计算'!L145</x:f>
        <x:v>0.1232623857623858</x:v>
      </x:c>
      <x:c r="G177" s="29" t="n">
        <x:f>'指标计算'!M145</x:f>
        <x:v>0.1232623857623858</x:v>
      </x:c>
      <x:c r="H177" s="29" t="n">
        <x:f>'指标计算'!N145</x:f>
        <x:v>0.25</x:v>
      </x:c>
      <x:c r="I177" s="30" t="n">
        <x:f>IF(COUNT('总览与权重'!$H$6:$K$6)=4,ROUND(100*SUMPRODUCT(E177:H177,'总览与权重'!$H$6:$K$6),12),"NA")</x:f>
        <x:v>12.738651394901</x:v>
      </x:c>
      <x:c r="J177" s="30" t="n">
        <x:f>IF(ISNUMBER(I177),COUNTIFS($I$6:$I$179,"&gt;"&amp;I177)+(COUNTIFS($I$6:$I$179,I177)+1)/2,"NA")</x:f>
        <x:v>172</x:v>
      </x:c>
      <x:c r="K177" s="30" t="n">
        <x:f>IF(COUNT('总览与权重'!$H$7:$K$7)=4,ROUND(100*SUMPRODUCT(E177:H177,'总览与权重'!$H$7:$K$7),12),"NA")</x:f>
        <x:v>12.601180455347</x:v>
      </x:c>
      <x:c r="L177" s="30" t="n">
        <x:f>IF(ISNUMBER(K177),COUNTIFS($K$6:$K$179,"&gt;"&amp;K177)+(COUNTIFS($K$6:$K$179,K177)+1)/2,"NA")</x:f>
        <x:v>151</x:v>
      </x:c>
      <x:c r="M177" s="30" t="n">
        <x:f>IF(COUNT('总览与权重'!$H$8:$K$8)=4,ROUND(100*SUMPRODUCT(E177:H177,'总览与权重'!$H$8:$K$8),12),"NA")</x:f>
        <x:v>13.9372920675</x:v>
      </x:c>
      <x:c r="N177" s="30" t="n">
        <x:f>IF(ISNUMBER(M177),COUNTIFS($M$6:$M$179,"&gt;"&amp;M177)+(COUNTIFS($M$6:$M$179,M177)+1)/2,"NA")</x:f>
        <x:v>172</x:v>
      </x:c>
      <x:c r="O177" s="30" t="n">
        <x:f>IF(COUNT('总览与权重'!$H$9:$K$9)=4,ROUND(100*SUMPRODUCT(E177:H177,'总览与权重'!$H$9:$K$9),12),"NA")</x:f>
        <x:v>13.487498424628</x:v>
      </x:c>
      <x:c r="P177" s="30" t="n">
        <x:f>IF(ISNUMBER(O177),COUNTIFS($O$6:$O$179,"&gt;"&amp;O177)+(COUNTIFS($O$6:$O$179,O177)+1)/2,"NA")</x:f>
        <x:v>172</x:v>
      </x:c>
      <x:c r="Q177" s="30" t="n">
        <x:f>IF(COUNT('总览与权重'!$H$10:$K$10)=4,ROUND(100*SUMPRODUCT(E177:H177,'总览与权重'!$H$10:$K$10),12),"NA")</x:f>
        <x:v>9.116689199238</x:v>
      </x:c>
      <x:c r="R177" s="30" t="n">
        <x:f>IF(ISNUMBER(Q177),COUNTIFS($Q$6:$Q$179,"&gt;"&amp;Q177)+(COUNTIFS($Q$6:$Q$179,Q177)+1)/2,"NA")</x:f>
        <x:v>107</x:v>
      </x:c>
      <x:c r="S177" s="31" t="n">
        <x:f>IF(OR(B177="s3",B177="s6"),COUNTIFS($B$6:$B$179,B177,$I$6:$I$179,"&gt;"&amp;I177)+(COUNTIFS($B$6:$B$179,B177,$I$6:$I$179,I177)+1)/2,"NA")</x:f>
        <x:v>162</x:v>
      </x:c>
      <x:c r="T177" s="26" t="str">
        <x:f>IF(COUNTIFS($I$6:$I$179,"&gt;"&amp;I177)&gt;=35,"非前20%",IF(COUNTIFS($I$6:$I$179,"&gt;="&amp;I177)&gt;=35,"边界同分","严格前20%"))</x:f>
        <x:v>非前20%</x:v>
      </x:c>
      <x:c r="U177" s="26" t="str">
        <x:f>IF(COUNTIFS($I$6:$I$179,"&lt;"&amp;I177)&gt;=35,"非后20%",IF(COUNTIFS($I$6:$I$179,"&lt;="&amp;I177)&gt;=35,"边界同分","严格后20%"))</x:f>
        <x:v>严格后20%</x:v>
      </x:c>
      <x:c r="V177" s="26" t="n">
        <x:f>'基线调整'!I151</x:f>
        <x:v>42.211639627338</x:v>
      </x:c>
      <x:c r="W177" s="26" t="n">
        <x:f>'基线调整'!J151</x:f>
        <x:v>146</x:v>
      </x:c>
      <x:c r="X177" s="22" t="str">
        <x:v>["S0828"]</x:v>
      </x:c>
      <x:c r="Y177" s="22" t="str">
        <x:v>evidence/student_evidence.jsonl；student_key=2026春:250868</x:v>
      </x:c>
      <x:c r="Z177" s="26" t="n">
        <x:f>IF(OR(B177="s3",B177="s6"),COUNTIFS($B$6:$B$179,B177,$K$6:$K$179,"&gt;"&amp;K177)+(COUNTIFS($B$6:$B$179,B177,$K$6:$K$179,K177)+1)/2,"NA")</x:f>
        <x:v>142</x:v>
      </x:c>
      <x:c r="AA177" s="26" t="n">
        <x:f>IF(OR(B177="s3",B177="s6"),COUNTIFS($B$6:$B$179,B177,$M$6:$M$179,"&gt;"&amp;M177)+(COUNTIFS($B$6:$B$179,B177,$M$6:$M$179,M177)+1)/2,"NA")</x:f>
        <x:v>162</x:v>
      </x:c>
      <x:c r="AB177" s="26" t="n">
        <x:f>IF(OR(B177="s3",B177="s6"),COUNTIFS($B$6:$B$179,B177,$O$6:$O$179,"&gt;"&amp;O177)+(COUNTIFS($B$6:$B$179,B177,$O$6:$O$179,O177)+1)/2,"NA")</x:f>
        <x:v>162</x:v>
      </x:c>
      <x:c r="AC177" s="26" t="n">
        <x:f>IF(OR(B177="s3",B177="s6"),COUNTIFS($B$6:$B$179,B177,$Q$6:$Q$179,"&gt;"&amp;Q177)+(COUNTIFS($B$6:$B$179,B177,$Q$6:$Q$179,Q177)+1)/2,"NA")</x:f>
        <x:v>100</x:v>
      </x:c>
    </x:row>
    <x:row r="178" ht="23" customHeight="1">
      <x:c r="A178" s="21" t="str">
        <x:v>2025秋:258269</x:v>
      </x:c>
      <x:c r="B178" s="22" t="str">
        <x:v>s3</x:v>
      </x:c>
      <x:c r="C178" s="24" t="n">
        <x:v>1</x:v>
      </x:c>
      <x:c r="D178" s="24" t="n">
        <x:v>1</x:v>
      </x:c>
      <x:c r="E178" s="29" t="n">
        <x:f>'指标计算'!K10</x:f>
        <x:v>0</x:v>
      </x:c>
      <x:c r="F178" s="29" t="n">
        <x:f>'指标计算'!L10</x:f>
        <x:v>0</x:v>
      </x:c>
      <x:c r="G178" s="29" t="n">
        <x:f>'指标计算'!M10</x:f>
        <x:v>0</x:v>
      </x:c>
      <x:c r="H178" s="29" t="n">
        <x:f>'指标计算'!N10</x:f>
        <x:v>0.3333333333333333</x:v>
      </x:c>
      <x:c r="I178" s="30" t="n">
        <x:f>IF(COUNT('总览与权重'!$H$6:$K$6)=4,ROUND(100*SUMPRODUCT(E178:H178,'总览与权重'!$H$6:$K$6),12),"NA")</x:f>
        <x:v>10</x:v>
      </x:c>
      <x:c r="J178" s="30" t="n">
        <x:f>IF(ISNUMBER(I178),COUNTIFS($I$6:$I$179,"&gt;"&amp;I178)+(COUNTIFS($I$6:$I$179,I178)+1)/2,"NA")</x:f>
        <x:v>173.5</x:v>
      </x:c>
      <x:c r="K178" s="30" t="n">
        <x:f>IF(COUNT('总览与权重'!$H$7:$K$7)=4,ROUND(100*SUMPRODUCT(E178:H178,'总览与权重'!$H$7:$K$7),12),"NA")</x:f>
        <x:v>6.666666666667</x:v>
      </x:c>
      <x:c r="L178" s="30" t="n">
        <x:f>IF(ISNUMBER(K178),COUNTIFS($K$6:$K$179,"&gt;"&amp;K178)+(COUNTIFS($K$6:$K$179,K178)+1)/2,"NA")</x:f>
        <x:v>173.5</x:v>
      </x:c>
      <x:c r="M178" s="30" t="n">
        <x:f>IF(COUNT('总览与权重'!$H$8:$K$8)=4,ROUND(100*SUMPRODUCT(E178:H178,'总览与权重'!$H$8:$K$8),12),"NA")</x:f>
        <x:v>11.666666666667</x:v>
      </x:c>
      <x:c r="N178" s="30" t="n">
        <x:f>IF(ISNUMBER(M178),COUNTIFS($M$6:$M$179,"&gt;"&amp;M178)+(COUNTIFS($M$6:$M$179,M178)+1)/2,"NA")</x:f>
        <x:v>173.5</x:v>
      </x:c>
      <x:c r="O178" s="30" t="n">
        <x:f>IF(COUNT('总览与权重'!$H$9:$K$9)=4,ROUND(100*SUMPRODUCT(E178:H178,'总览与权重'!$H$9:$K$9),12),"NA")</x:f>
        <x:v>10</x:v>
      </x:c>
      <x:c r="P178" s="30" t="n">
        <x:f>IF(ISNUMBER(O178),COUNTIFS($O$6:$O$179,"&gt;"&amp;O178)+(COUNTIFS($O$6:$O$179,O178)+1)/2,"NA")</x:f>
        <x:v>173.5</x:v>
      </x:c>
      <x:c r="Q178" s="30" t="n">
        <x:f>IF(COUNT('总览与权重'!$H$10:$K$10)=4,ROUND(100*SUMPRODUCT(E178:H178,'总览与权重'!$H$10:$K$10),12),"NA")</x:f>
        <x:v>1.141321638504</x:v>
      </x:c>
      <x:c r="R178" s="30" t="n">
        <x:f>IF(ISNUMBER(Q178),COUNTIFS($Q$6:$Q$179,"&gt;"&amp;Q178)+(COUNTIFS($Q$6:$Q$179,Q178)+1)/2,"NA")</x:f>
        <x:v>173.5</x:v>
      </x:c>
      <x:c r="S178" s="31" t="n">
        <x:f>IF(OR(B178="s3",B178="s6"),COUNTIFS($B$6:$B$179,B178,$I$6:$I$179,"&gt;"&amp;I178)+(COUNTIFS($B$6:$B$179,B178,$I$6:$I$179,I178)+1)/2,"NA")</x:f>
        <x:v>163.5</x:v>
      </x:c>
      <x:c r="T178" s="26" t="str">
        <x:f>IF(COUNTIFS($I$6:$I$179,"&gt;"&amp;I178)&gt;=35,"非前20%",IF(COUNTIFS($I$6:$I$179,"&gt;="&amp;I178)&gt;=35,"边界同分","严格前20%"))</x:f>
        <x:v>非前20%</x:v>
      </x:c>
      <x:c r="U178" s="26" t="str">
        <x:f>IF(COUNTIFS($I$6:$I$179,"&lt;"&amp;I178)&gt;=35,"非后20%",IF(COUNTIFS($I$6:$I$179,"&lt;="&amp;I178)&gt;=35,"边界同分","严格后20%"))</x:f>
        <x:v>严格后20%</x:v>
      </x:c>
      <x:c r="V178" s="26" t="str">
        <x:v>NA</x:v>
      </x:c>
      <x:c r="W178" s="26" t="str">
        <x:v>NA</x:v>
      </x:c>
      <x:c r="X178" s="22" t="str">
        <x:v>["S0297"]</x:v>
      </x:c>
      <x:c r="Y178" s="22" t="str">
        <x:v>evidence/student_evidence.jsonl；student_key=2025秋:258269</x:v>
      </x:c>
      <x:c r="Z178" s="26" t="n">
        <x:f>IF(OR(B178="s3",B178="s6"),COUNTIFS($B$6:$B$179,B178,$K$6:$K$179,"&gt;"&amp;K178)+(COUNTIFS($B$6:$B$179,B178,$K$6:$K$179,K178)+1)/2,"NA")</x:f>
        <x:v>163.5</x:v>
      </x:c>
      <x:c r="AA178" s="26" t="n">
        <x:f>IF(OR(B178="s3",B178="s6"),COUNTIFS($B$6:$B$179,B178,$M$6:$M$179,"&gt;"&amp;M178)+(COUNTIFS($B$6:$B$179,B178,$M$6:$M$179,M178)+1)/2,"NA")</x:f>
        <x:v>163.5</x:v>
      </x:c>
      <x:c r="AB178" s="26" t="n">
        <x:f>IF(OR(B178="s3",B178="s6"),COUNTIFS($B$6:$B$179,B178,$O$6:$O$179,"&gt;"&amp;O178)+(COUNTIFS($B$6:$B$179,B178,$O$6:$O$179,O178)+1)/2,"NA")</x:f>
        <x:v>163.5</x:v>
      </x:c>
      <x:c r="AC178" s="26" t="n">
        <x:f>IF(OR(B178="s3",B178="s6"),COUNTIFS($B$6:$B$179,B178,$Q$6:$Q$179,"&gt;"&amp;Q178)+(COUNTIFS($B$6:$B$179,B178,$Q$6:$Q$179,Q178)+1)/2,"NA")</x:f>
        <x:v>163.5</x:v>
      </x:c>
    </x:row>
    <x:row r="179" ht="23" customHeight="1">
      <x:c r="A179" s="21" t="str">
        <x:v>2025秋:259001</x:v>
      </x:c>
      <x:c r="B179" s="22" t="str">
        <x:v>s3</x:v>
      </x:c>
      <x:c r="C179" s="24" t="n">
        <x:v>1</x:v>
      </x:c>
      <x:c r="D179" s="24" t="n">
        <x:v>1</x:v>
      </x:c>
      <x:c r="E179" s="29" t="n">
        <x:f>'指标计算'!K60</x:f>
        <x:v>0</x:v>
      </x:c>
      <x:c r="F179" s="29" t="n">
        <x:f>'指标计算'!L60</x:f>
        <x:v>0</x:v>
      </x:c>
      <x:c r="G179" s="29" t="n">
        <x:f>'指标计算'!M60</x:f>
        <x:v>0</x:v>
      </x:c>
      <x:c r="H179" s="29" t="n">
        <x:f>'指标计算'!N60</x:f>
        <x:v>0.3333333333333333</x:v>
      </x:c>
      <x:c r="I179" s="30" t="n">
        <x:f>IF(COUNT('总览与权重'!$H$6:$K$6)=4,ROUND(100*SUMPRODUCT(E179:H179,'总览与权重'!$H$6:$K$6),12),"NA")</x:f>
        <x:v>10</x:v>
      </x:c>
      <x:c r="J179" s="30" t="n">
        <x:f>IF(ISNUMBER(I179),COUNTIFS($I$6:$I$179,"&gt;"&amp;I179)+(COUNTIFS($I$6:$I$179,I179)+1)/2,"NA")</x:f>
        <x:v>173.5</x:v>
      </x:c>
      <x:c r="K179" s="30" t="n">
        <x:f>IF(COUNT('总览与权重'!$H$7:$K$7)=4,ROUND(100*SUMPRODUCT(E179:H179,'总览与权重'!$H$7:$K$7),12),"NA")</x:f>
        <x:v>6.666666666667</x:v>
      </x:c>
      <x:c r="L179" s="30" t="n">
        <x:f>IF(ISNUMBER(K179),COUNTIFS($K$6:$K$179,"&gt;"&amp;K179)+(COUNTIFS($K$6:$K$179,K179)+1)/2,"NA")</x:f>
        <x:v>173.5</x:v>
      </x:c>
      <x:c r="M179" s="30" t="n">
        <x:f>IF(COUNT('总览与权重'!$H$8:$K$8)=4,ROUND(100*SUMPRODUCT(E179:H179,'总览与权重'!$H$8:$K$8),12),"NA")</x:f>
        <x:v>11.666666666667</x:v>
      </x:c>
      <x:c r="N179" s="30" t="n">
        <x:f>IF(ISNUMBER(M179),COUNTIFS($M$6:$M$179,"&gt;"&amp;M179)+(COUNTIFS($M$6:$M$179,M179)+1)/2,"NA")</x:f>
        <x:v>173.5</x:v>
      </x:c>
      <x:c r="O179" s="30" t="n">
        <x:f>IF(COUNT('总览与权重'!$H$9:$K$9)=4,ROUND(100*SUMPRODUCT(E179:H179,'总览与权重'!$H$9:$K$9),12),"NA")</x:f>
        <x:v>10</x:v>
      </x:c>
      <x:c r="P179" s="30" t="n">
        <x:f>IF(ISNUMBER(O179),COUNTIFS($O$6:$O$179,"&gt;"&amp;O179)+(COUNTIFS($O$6:$O$179,O179)+1)/2,"NA")</x:f>
        <x:v>173.5</x:v>
      </x:c>
      <x:c r="Q179" s="30" t="n">
        <x:f>IF(COUNT('总览与权重'!$H$10:$K$10)=4,ROUND(100*SUMPRODUCT(E179:H179,'总览与权重'!$H$10:$K$10),12),"NA")</x:f>
        <x:v>1.141321638504</x:v>
      </x:c>
      <x:c r="R179" s="30" t="n">
        <x:f>IF(ISNUMBER(Q179),COUNTIFS($Q$6:$Q$179,"&gt;"&amp;Q179)+(COUNTIFS($Q$6:$Q$179,Q179)+1)/2,"NA")</x:f>
        <x:v>173.5</x:v>
      </x:c>
      <x:c r="S179" s="31" t="n">
        <x:f>IF(OR(B179="s3",B179="s6"),COUNTIFS($B$6:$B$179,B179,$I$6:$I$179,"&gt;"&amp;I179)+(COUNTIFS($B$6:$B$179,B179,$I$6:$I$179,I179)+1)/2,"NA")</x:f>
        <x:v>163.5</x:v>
      </x:c>
      <x:c r="T179" s="26" t="str">
        <x:f>IF(COUNTIFS($I$6:$I$179,"&gt;"&amp;I179)&gt;=35,"非前20%",IF(COUNTIFS($I$6:$I$179,"&gt;="&amp;I179)&gt;=35,"边界同分","严格前20%"))</x:f>
        <x:v>非前20%</x:v>
      </x:c>
      <x:c r="U179" s="26" t="str">
        <x:f>IF(COUNTIFS($I$6:$I$179,"&lt;"&amp;I179)&gt;=35,"非后20%",IF(COUNTIFS($I$6:$I$179,"&lt;="&amp;I179)&gt;=35,"边界同分","严格后20%"))</x:f>
        <x:v>严格后20%</x:v>
      </x:c>
      <x:c r="V179" s="26" t="str">
        <x:v>NA</x:v>
      </x:c>
      <x:c r="W179" s="26" t="str">
        <x:v>NA</x:v>
      </x:c>
      <x:c r="X179" s="22" t="str">
        <x:v>["S0159"]</x:v>
      </x:c>
      <x:c r="Y179" s="22" t="str">
        <x:v>evidence/student_evidence.jsonl；student_key=2025秋:259001</x:v>
      </x:c>
      <x:c r="Z179" s="26" t="n">
        <x:f>IF(OR(B179="s3",B179="s6"),COUNTIFS($B$6:$B$179,B179,$K$6:$K$179,"&gt;"&amp;K179)+(COUNTIFS($B$6:$B$179,B179,$K$6:$K$179,K179)+1)/2,"NA")</x:f>
        <x:v>163.5</x:v>
      </x:c>
      <x:c r="AA179" s="26" t="n">
        <x:f>IF(OR(B179="s3",B179="s6"),COUNTIFS($B$6:$B$179,B179,$M$6:$M$179,"&gt;"&amp;M179)+(COUNTIFS($B$6:$B$179,B179,$M$6:$M$179,M179)+1)/2,"NA")</x:f>
        <x:v>163.5</x:v>
      </x:c>
      <x:c r="AB179" s="26" t="n">
        <x:f>IF(OR(B179="s3",B179="s6"),COUNTIFS($B$6:$B$179,B179,$O$6:$O$179,"&gt;"&amp;O179)+(COUNTIFS($B$6:$B$179,B179,$O$6:$O$179,O179)+1)/2,"NA")</x:f>
        <x:v>163.5</x:v>
      </x:c>
      <x:c r="AC179" s="26" t="n">
        <x:f>IF(OR(B179="s3",B179="s6"),COUNTIFS($B$6:$B$179,B179,$Q$6:$Q$179,"&gt;"&amp;Q179)+(COUNTIFS($B$6:$B$179,B179,$Q$6:$Q$179,Q179)+1)/2,"NA")</x:f>
        <x:v>163.5</x:v>
      </x:c>
    </x:row>
  </x:sheetData>
  <x:pageMargins left="0.7" right="0.7" top="0.75" bottom="0.75" header="0.3" footer="0.3"/>
  <x:tableParts count="1">
    <x:tablePart xmlns:r="http://schemas.openxmlformats.org/officeDocument/2006/relationships" r:id="Rbb4b02e767c34092"/>
  </x:tableParts>
</x:worksheet>
</file>

<file path=xl/worksheets/sheet3.xml><?xml version="1.0" encoding="utf-8"?>
<x:worksheet xmlns:x="http://schemas.openxmlformats.org/spreadsheetml/2006/main">
  <x:sheetPr>
    <x:tabColor rgb="FF17365D"/>
  </x:sheetPr>
  <x:sheetViews>
    <x:sheetView showGridLines="0" workbookViewId="0">
      <x:pane xSplit="1" ySplit="5" topLeftCell="B6" activePane="bottomRight" state="frozen"/>
    </x:sheetView>
  </x:sheetViews>
  <x:sheetFormatPr defaultRowHeight="15"/>
  <x:cols>
    <x:col min="1" max="1" width="22" hidden="0" customWidth="1"/>
    <x:col min="2" max="2" width="12" hidden="0" customWidth="1"/>
    <x:col min="3" max="3" width="11" hidden="0" customWidth="1"/>
    <x:col min="4" max="4" width="11" hidden="0" customWidth="1"/>
    <x:col min="5" max="5" width="15" hidden="0" customWidth="1"/>
    <x:col min="6" max="6" width="15" hidden="0" customWidth="1"/>
    <x:col min="7" max="7" width="15" hidden="0" customWidth="1"/>
    <x:col min="8" max="8" width="1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8" hidden="0" customWidth="1"/>
    <x:col min="20" max="20" width="17" hidden="0" customWidth="1"/>
    <x:col min="21" max="21" width="17" hidden="0" customWidth="1"/>
    <x:col min="22" max="22" width="14" hidden="0" customWidth="1"/>
    <x:col min="23" max="23" width="14" hidden="0" customWidth="1"/>
    <x:col min="24" max="24" width="42" hidden="0" customWidth="1"/>
    <x:col min="25" max="25" width="65" hidden="0" customWidth="1"/>
    <x:col min="26" max="26" width="19" hidden="0" customWidth="1"/>
    <x:col min="27" max="27" width="19" hidden="0" customWidth="1"/>
    <x:col min="28" max="28" width="19" hidden="0" customWidth="1"/>
    <x:col min="29" max="29" width="19" hidden="0" customWidth="1"/>
    <x:col min="30" max="30" width="21" hidden="0" customWidth="1"/>
    <x:col min="31" max="31" width="21" hidden="0" customWidth="1"/>
    <x:col min="32" max="32" width="21" hidden="0" customWidth="1"/>
    <x:col min="33" max="33" width="21"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x:c r="A2" s="2" t="str">
        <x:v>学生基线调整情景得分</x:v>
      </x:c>
      <x:c r="B2" s="1"/>
      <x:c r="C2" s="1"/>
      <x:c r="D2" s="1"/>
      <x:c r="E2" s="1"/>
      <x:c r="F2" s="1"/>
      <x:c r="G2" s="1"/>
      <x:c r="H2" s="1"/>
      <x:c r="I2" s="1"/>
      <x:c r="J2" s="1"/>
      <x:c r="K2" s="1"/>
      <x:c r="L2" s="1"/>
      <x:c r="M2" s="1"/>
      <x:c r="N2" s="1"/>
      <x:c r="O2" s="1"/>
      <x:c r="P2" s="1"/>
      <x:c r="Q2" s="1"/>
      <x:c r="R2" s="1"/>
      <x:c r="S2" s="1"/>
      <x:c r="T2" s="1"/>
      <x:c r="U2" s="1"/>
      <x:c r="V2" s="1"/>
      <x:c r="W2" s="1"/>
      <x:c r="X2" s="1"/>
      <x:c r="Y2" s="1"/>
    </x:row>
    <x:row r="3">
      <x:c r="A3" s="3" t="str">
        <x:v>固定假设q23情景。全局序仅探索，以s3/s6量尺内名次解释；保留负净CTQ，0—100不是增量百分比。</x:v>
      </x:c>
      <x:c r="B3" s="1"/>
      <x:c r="C3" s="1"/>
      <x:c r="D3" s="1"/>
      <x:c r="E3" s="1"/>
      <x:c r="F3" s="1"/>
      <x:c r="G3" s="1"/>
      <x:c r="H3" s="1"/>
      <x:c r="I3" s="1"/>
      <x:c r="J3" s="1"/>
      <x:c r="K3" s="1"/>
      <x:c r="L3" s="1"/>
      <x:c r="M3" s="1"/>
      <x:c r="N3" s="1"/>
      <x:c r="O3" s="1"/>
      <x:c r="P3" s="1"/>
      <x:c r="Q3" s="1"/>
      <x:c r="R3" s="1"/>
      <x:c r="S3" s="1"/>
      <x:c r="T3" s="1"/>
      <x:c r="U3" s="1"/>
      <x:c r="V3" s="1"/>
      <x:c r="W3" s="1"/>
      <x:c r="X3" s="1"/>
      <x:c r="Y3" s="1"/>
    </x:row>
    <x:row r="4">
      <x:c r="A4" s="3" t="str">
        <x:v>均衡方案初始排序；权重调整后名次公式更新。并列使用平均秩，前后20%保留边界同分。</x:v>
      </x:c>
    </x:row>
    <x:row r="5" ht="42" customHeight="1">
      <x:c r="A5" s="9" t="str">
        <x:v>学生ID</x:v>
      </x:c>
      <x:c r="B5" s="9" t="str">
        <x:v>量尺</x:v>
      </x:c>
      <x:c r="C5" s="9" t="str">
        <x:v>有效对话</x:v>
      </x:c>
      <x:c r="D5" s="9" t="str">
        <x:v>概念数</x:v>
      </x:c>
      <x:c r="E5" s="9" t="str">
        <x:v>合计标准分</x:v>
      </x:c>
      <x:c r="F5" s="9" t="str">
        <x:v>均值标准分</x:v>
      </x:c>
      <x:c r="G5" s="9" t="str">
        <x:v>最高标准分</x:v>
      </x:c>
      <x:c r="H5" s="9" t="str">
        <x:v>质量标准分</x:v>
      </x:c>
      <x:c r="I5" s="9" t="str">
        <x:v>均衡分数</x:v>
      </x:c>
      <x:c r="J5" s="9" t="str">
        <x:v>均衡名次</x:v>
      </x:c>
      <x:c r="K5" s="9" t="str">
        <x:v>突破分数</x:v>
      </x:c>
      <x:c r="L5" s="9" t="str">
        <x:v>突破名次</x:v>
      </x:c>
      <x:c r="M5" s="9" t="str">
        <x:v>质量分数</x:v>
      </x:c>
      <x:c r="N5" s="9" t="str">
        <x:v>质量名次</x:v>
      </x:c>
      <x:c r="O5" s="9" t="str">
        <x:v>分组熵权分数</x:v>
      </x:c>
      <x:c r="P5" s="9" t="str">
        <x:v>分组熵权名次</x:v>
      </x:c>
      <x:c r="Q5" s="9" t="str">
        <x:v>纯熵权分数</x:v>
      </x:c>
      <x:c r="R5" s="9" t="str">
        <x:v>纯熵权名次</x:v>
      </x:c>
      <x:c r="S5" s="9" t="str">
        <x:v>均衡量尺内名次</x:v>
      </x:c>
      <x:c r="T5" s="9" t="str">
        <x:v>均衡前20%</x:v>
      </x:c>
      <x:c r="U5" s="9" t="str">
        <x:v>均衡后20%</x:v>
      </x:c>
      <x:c r="V5" s="9" t="str">
        <x:v>净CTQ合计原值</x:v>
      </x:c>
      <x:c r="W5" s="9" t="str">
        <x:v>净CTQ均值原值</x:v>
      </x:c>
      <x:c r="X5" s="9" t="str">
        <x:v>有效对话短ID JSON</x:v>
      </x:c>
      <x:c r="Y5" s="9" t="str">
        <x:v>证据JSONL定位</x:v>
      </x:c>
      <x:c r="Z5" s="9" t="str">
        <x:v>突破量尺内名次</x:v>
      </x:c>
      <x:c r="AA5" s="9" t="str">
        <x:v>质量量尺内名次</x:v>
      </x:c>
      <x:c r="AB5" s="9" t="str">
        <x:v>分组熵权量尺内名次</x:v>
      </x:c>
      <x:c r="AC5" s="9" t="str">
        <x:v>纯熵权量尺内名次</x:v>
      </x:c>
      <x:c r="AD5" s="9" t="str">
        <x:v>均衡q48分(快照)</x:v>
      </x:c>
      <x:c r="AE5" s="9" t="str">
        <x:v>q48全局秩(快照)</x:v>
      </x:c>
      <x:c r="AF5" s="9" t="str">
        <x:v>q48量尺内秩(快照)</x:v>
      </x:c>
      <x:c r="AG5" s="9" t="str">
        <x:v>q48-23秩差(快照)</x:v>
      </x:c>
    </x:row>
    <x:row r="6" ht="23" customHeight="1">
      <x:c r="A6" s="21" t="str">
        <x:v>2025秋:259329</x:v>
      </x:c>
      <x:c r="B6" s="22" t="str">
        <x:v>s6</x:v>
      </x:c>
      <x:c r="C6" s="24" t="n">
        <x:v>1</x:v>
      </x:c>
      <x:c r="D6" s="24" t="n">
        <x:v>1</x:v>
      </x:c>
      <x:c r="E6" s="29" t="n">
        <x:f>'指标计算'!S87</x:f>
        <x:v>0.5267619047619048</x:v>
      </x:c>
      <x:c r="F6" s="29" t="n">
        <x:f>'指标计算'!T87</x:f>
        <x:v>0.8211428571428572</x:v>
      </x:c>
      <x:c r="G6" s="29" t="n">
        <x:f>'指标计算'!U87</x:f>
        <x:v>0.8211428571428572</x:v>
      </x:c>
      <x:c r="H6" s="29" t="n">
        <x:f>'指标计算'!V87</x:f>
        <x:v>1</x:v>
      </x:c>
      <x:c r="I6" s="30" t="n">
        <x:f>IF(COUNT('总览与权重'!$H$11:$K$11)=4,ROUND(100*SUMPRODUCT(E6:H6,'总览与权重'!$H$11:$K$11),12),"NA")</x:f>
        <x:v>78.648571428571</x:v>
      </x:c>
      <x:c r="J6" s="30" t="n">
        <x:f>IF(ISNUMBER(I6),COUNTIFS($I$6:$I$151,"&gt;"&amp;I6)+(COUNTIFS($I$6:$I$151,I6)+1)/2,"NA")</x:f>
        <x:v>1</x:v>
      </x:c>
      <x:c r="K6" s="30" t="n">
        <x:f>IF(COUNT('总览与权重'!$H$12:$K$12)=4,ROUND(100*SUMPRODUCT(E6:H6,'总览与权重'!$H$12:$K$12),12),"NA")</x:f>
        <x:v>79.80380952381</x:v>
      </x:c>
      <x:c r="L6" s="30" t="n">
        <x:f>IF(ISNUMBER(K6),COUNTIFS($K$6:$K$151,"&gt;"&amp;K6)+(COUNTIFS($K$6:$K$151,K6)+1)/2,"NA")</x:f>
        <x:v>1</x:v>
      </x:c>
      <x:c r="M6" s="30" t="n">
        <x:f>IF(COUNT('总览与权重'!$H$13:$K$13)=4,ROUND(100*SUMPRODUCT(E6:H6,'总览与权重'!$H$13:$K$13),12),"NA")</x:f>
        <x:v>81.014761904762</x:v>
      </x:c>
      <x:c r="N6" s="30" t="n">
        <x:f>IF(ISNUMBER(M6),COUNTIFS($M$6:$M$151,"&gt;"&amp;M6)+(COUNTIFS($M$6:$M$151,M6)+1)/2,"NA")</x:f>
        <x:v>1</x:v>
      </x:c>
      <x:c r="O6" s="30" t="n">
        <x:f>IF(COUNT('总览与权重'!$H$14:$K$14)=4,ROUND(100*SUMPRODUCT(E6:H6,'总览与权重'!$H$14:$K$14),12),"NA")</x:f>
        <x:v>87.397906845817</x:v>
      </x:c>
      <x:c r="P6" s="30" t="n">
        <x:f>IF(ISNUMBER(O6),COUNTIFS($O$6:$O$151,"&gt;"&amp;O6)+(COUNTIFS($O$6:$O$151,O6)+1)/2,"NA")</x:f>
        <x:v>1</x:v>
      </x:c>
      <x:c r="Q6" s="30" t="n">
        <x:f>IF(COUNT('总览与权重'!$H$15:$K$15)=4,ROUND(100*SUMPRODUCT(E6:H6,'总览与权重'!$H$15:$K$15),12),"NA")</x:f>
        <x:v>93.267697021313</x:v>
      </x:c>
      <x:c r="R6" s="30" t="n">
        <x:f>IF(ISNUMBER(Q6),COUNTIFS($Q$6:$Q$151,"&gt;"&amp;Q6)+(COUNTIFS($Q$6:$Q$151,Q6)+1)/2,"NA")</x:f>
        <x:v>1</x:v>
      </x:c>
      <x:c r="S6" s="31" t="n">
        <x:f>IF(OR(B6="s3",B6="s6"),COUNTIFS($B$6:$B$151,B6,$I$6:$I$151,"&gt;"&amp;I6)+(COUNTIFS($B$6:$B$151,B6,$I$6:$I$151,I6)+1)/2,"NA")</x:f>
        <x:v>1</x:v>
      </x:c>
      <x:c r="T6" s="26" t="str">
        <x:f>IF(COUNTIFS($I$6:$I$151,"&gt;"&amp;I6)&gt;=30,"非前20%",IF(COUNTIFS($I$6:$I$151,"&gt;="&amp;I6)&gt;=30,"边界同分","严格前20%"))</x:f>
        <x:v>严格前20%</x:v>
      </x:c>
      <x:c r="U6" s="26" t="str">
        <x:f>IF(COUNTIFS($I$6:$I$151,"&lt;"&amp;I6)&gt;=30,"非后20%",IF(COUNTIFS($I$6:$I$151,"&lt;="&amp;I6)&gt;=30,"边界同分","严格后20%"))</x:f>
        <x:v>非后20%</x:v>
      </x:c>
      <x:c r="V6" s="22" t="n">
        <x:f>'指标计算'!P87</x:f>
        <x:v>0.6422857142857143</x:v>
      </x:c>
      <x:c r="W6" s="22" t="n">
        <x:f>'指标计算'!Q87</x:f>
        <x:v>0.6422857142857143</x:v>
      </x:c>
      <x:c r="X6" s="22" t="str">
        <x:v>["S0112"]</x:v>
      </x:c>
      <x:c r="Y6" s="22" t="str">
        <x:v>evidence/student_evidence.jsonl；student_key=2025秋:259329</x:v>
      </x:c>
      <x:c r="Z6" s="26" t="n">
        <x:f>IF(OR(B6="s3",B6="s6"),COUNTIFS($B$6:$B$151,B6,$K$6:$K$151,"&gt;"&amp;K6)+(COUNTIFS($B$6:$B$151,B6,$K$6:$K$151,K6)+1)/2,"NA")</x:f>
        <x:v>1</x:v>
      </x:c>
      <x:c r="AA6" s="26" t="n">
        <x:f>IF(OR(B6="s3",B6="s6"),COUNTIFS($B$6:$B$151,B6,$M$6:$M$151,"&gt;"&amp;M6)+(COUNTIFS($B$6:$B$151,B6,$M$6:$M$151,M6)+1)/2,"NA")</x:f>
        <x:v>1</x:v>
      </x:c>
      <x:c r="AB6" s="26" t="n">
        <x:f>IF(OR(B6="s3",B6="s6"),COUNTIFS($B$6:$B$151,B6,$O$6:$O$151,"&gt;"&amp;O6)+(COUNTIFS($B$6:$B$151,B6,$O$6:$O$151,O6)+1)/2,"NA")</x:f>
        <x:v>1</x:v>
      </x:c>
      <x:c r="AC6" s="26" t="n">
        <x:f>IF(OR(B6="s3",B6="s6"),COUNTIFS($B$6:$B$151,B6,$Q$6:$Q$151,"&gt;"&amp;Q6)+(COUNTIFS($B$6:$B$151,B6,$Q$6:$Q$151,Q6)+1)/2,"NA")</x:f>
        <x:v>1</x:v>
      </x:c>
      <x:c r="AD6" s="25" t="n">
        <x:v>75.00571428571428</x:v>
      </x:c>
      <x:c r="AE6" s="25" t="n">
        <x:v>1</x:v>
      </x:c>
      <x:c r="AF6" s="25" t="n">
        <x:v>1</x:v>
      </x:c>
      <x:c r="AG6" s="25" t="n">
        <x:v>0</x:v>
      </x:c>
    </x:row>
    <x:row r="7" ht="23" customHeight="1">
      <x:c r="A7" s="21" t="str">
        <x:v>2025秋:258902</x:v>
      </x:c>
      <x:c r="B7" s="22" t="str">
        <x:v>s3</x:v>
      </x:c>
      <x:c r="C7" s="24" t="n">
        <x:v>1</x:v>
      </x:c>
      <x:c r="D7" s="24" t="n">
        <x:v>1</x:v>
      </x:c>
      <x:c r="E7" s="29" t="n">
        <x:f>'指标计算'!S34</x:f>
        <x:v>0.5152448172085987</x:v>
      </x:c>
      <x:c r="F7" s="29" t="n">
        <x:f>'指标计算'!T34</x:f>
        <x:v>0.682937806503184</x:v>
      </x:c>
      <x:c r="G7" s="29" t="n">
        <x:f>'指标计算'!U34</x:f>
        <x:v>0.682937806503184</x:v>
      </x:c>
      <x:c r="H7" s="29" t="n">
        <x:f>'指标计算'!V34</x:f>
        <x:v>1</x:v>
      </x:c>
      <x:c r="I7" s="30" t="n">
        <x:f>IF(COUNT('总览与权重'!$H$11:$K$11)=4,ROUND(100*SUMPRODUCT(E7:H7,'总览与权重'!$H$11:$K$11),12),"NA")</x:f>
        <x:v>72.774856776385</x:v>
      </x:c>
      <x:c r="J7" s="30" t="n">
        <x:f>IF(ISNUMBER(I7),COUNTIFS($I$6:$I$151,"&gt;"&amp;I7)+(COUNTIFS($I$6:$I$151,I7)+1)/2,"NA")</x:f>
        <x:v>2.5</x:v>
      </x:c>
      <x:c r="K7" s="30" t="n">
        <x:f>IF(COUNT('总览与权重'!$H$12:$K$12)=4,ROUND(100*SUMPRODUCT(E7:H7,'总览与权重'!$H$12:$K$12),12),"NA")</x:f>
        <x:v>71.281164734363</x:v>
      </x:c>
      <x:c r="L7" s="30" t="n">
        <x:f>IF(ISNUMBER(K7),COUNTIFS($K$6:$K$151,"&gt;"&amp;K7)+(COUNTIFS($K$6:$K$151,K7)+1)/2,"NA")</x:f>
        <x:v>3.5</x:v>
      </x:c>
      <x:c r="M7" s="30" t="n">
        <x:f>IF(COUNT('总览与权重'!$H$13:$K$13)=4,ROUND(100*SUMPRODUCT(E7:H7,'总览与权重'!$H$13:$K$13),12),"NA")</x:f>
        <x:v>75.198632690342</x:v>
      </x:c>
      <x:c r="N7" s="30" t="n">
        <x:f>IF(ISNUMBER(M7),COUNTIFS($M$6:$M$151,"&gt;"&amp;M7)+(COUNTIFS($M$6:$M$151,M7)+1)/2,"NA")</x:f>
        <x:v>2.5</x:v>
      </x:c>
      <x:c r="O7" s="30" t="n">
        <x:f>IF(COUNT('总览与权重'!$H$14:$K$14)=4,ROUND(100*SUMPRODUCT(E7:H7,'总览与权重'!$H$14:$K$14),12),"NA")</x:f>
        <x:v>77.758882402338</x:v>
      </x:c>
      <x:c r="P7" s="30" t="n">
        <x:f>IF(ISNUMBER(O7),COUNTIFS($O$6:$O$151,"&gt;"&amp;O7)+(COUNTIFS($O$6:$O$151,O7)+1)/2,"NA")</x:f>
        <x:v>3.5</x:v>
      </x:c>
      <x:c r="Q7" s="30" t="n">
        <x:f>IF(COUNT('总览与权重'!$H$15:$K$15)=4,ROUND(100*SUMPRODUCT(E7:H7,'总览与权重'!$H$15:$K$15),12),"NA")</x:f>
        <x:v>88.118327612714</x:v>
      </x:c>
      <x:c r="R7" s="30" t="n">
        <x:f>IF(ISNUMBER(Q7),COUNTIFS($Q$6:$Q$151,"&gt;"&amp;Q7)+(COUNTIFS($Q$6:$Q$151,Q7)+1)/2,"NA")</x:f>
        <x:v>2.5</x:v>
      </x:c>
      <x:c r="S7" s="31" t="n">
        <x:f>IF(OR(B7="s3",B7="s6"),COUNTIFS($B$6:$B$151,B7,$I$6:$I$151,"&gt;"&amp;I7)+(COUNTIFS($B$6:$B$151,B7,$I$6:$I$151,I7)+1)/2,"NA")</x:f>
        <x:v>1.5</x:v>
      </x:c>
      <x:c r="T7" s="26" t="str">
        <x:f>IF(COUNTIFS($I$6:$I$151,"&gt;"&amp;I7)&gt;=30,"非前20%",IF(COUNTIFS($I$6:$I$151,"&gt;="&amp;I7)&gt;=30,"边界同分","严格前20%"))</x:f>
        <x:v>严格前20%</x:v>
      </x:c>
      <x:c r="U7" s="26" t="str">
        <x:f>IF(COUNTIFS($I$6:$I$151,"&lt;"&amp;I7)&gt;=30,"非后20%",IF(COUNTIFS($I$6:$I$151,"&lt;="&amp;I7)&gt;=30,"边界同分","严格后20%"))</x:f>
        <x:v>非后20%</x:v>
      </x:c>
      <x:c r="V7" s="22" t="n">
        <x:f>'指标计算'!P34</x:f>
        <x:v>0.36587561300636806</x:v>
      </x:c>
      <x:c r="W7" s="22" t="n">
        <x:f>'指标计算'!Q34</x:f>
        <x:v>0.36587561300636806</x:v>
      </x:c>
      <x:c r="X7" s="22" t="str">
        <x:v>["S0149"]</x:v>
      </x:c>
      <x:c r="Y7" s="22" t="str">
        <x:v>evidence/student_evidence.jsonl；student_key=2025秋:258902</x:v>
      </x:c>
      <x:c r="Z7" s="26" t="n">
        <x:f>IF(OR(B7="s3",B7="s6"),COUNTIFS($B$6:$B$151,B7,$K$6:$K$151,"&gt;"&amp;K7)+(COUNTIFS($B$6:$B$151,B7,$K$6:$K$151,K7)+1)/2,"NA")</x:f>
        <x:v>1.5</x:v>
      </x:c>
      <x:c r="AA7" s="26" t="n">
        <x:f>IF(OR(B7="s3",B7="s6"),COUNTIFS($B$6:$B$151,B7,$M$6:$M$151,"&gt;"&amp;M7)+(COUNTIFS($B$6:$B$151,B7,$M$6:$M$151,M7)+1)/2,"NA")</x:f>
        <x:v>1.5</x:v>
      </x:c>
      <x:c r="AB7" s="26" t="n">
        <x:f>IF(OR(B7="s3",B7="s6"),COUNTIFS($B$6:$B$151,B7,$O$6:$O$151,"&gt;"&amp;O7)+(COUNTIFS($B$6:$B$151,B7,$O$6:$O$151,O7)+1)/2,"NA")</x:f>
        <x:v>1.5</x:v>
      </x:c>
      <x:c r="AC7" s="26" t="n">
        <x:f>IF(OR(B7="s3",B7="s6"),COUNTIFS($B$6:$B$151,B7,$Q$6:$Q$151,"&gt;"&amp;Q7)+(COUNTIFS($B$6:$B$151,B7,$Q$6:$Q$151,Q7)+1)/2,"NA")</x:f>
        <x:v>1.5</x:v>
      </x:c>
      <x:c r="AD7" s="25" t="n">
        <x:v>69.61432843930658</x:v>
      </x:c>
      <x:c r="AE7" s="25" t="n">
        <x:v>3.5</x:v>
      </x:c>
      <x:c r="AF7" s="25" t="n">
        <x:v>2.5</x:v>
      </x:c>
      <x:c r="AG7" s="25" t="n">
        <x:v>1</x:v>
      </x:c>
    </x:row>
    <x:row r="8" ht="23" customHeight="1">
      <x:c r="A8" s="21" t="str">
        <x:v>2025秋:259407</x:v>
      </x:c>
      <x:c r="B8" s="22" t="str">
        <x:v>s3</x:v>
      </x:c>
      <x:c r="C8" s="24" t="n">
        <x:v>1</x:v>
      </x:c>
      <x:c r="D8" s="24" t="n">
        <x:v>1</x:v>
      </x:c>
      <x:c r="E8" s="29" t="n">
        <x:f>'指标计算'!S100</x:f>
        <x:v>0.5152448172085987</x:v>
      </x:c>
      <x:c r="F8" s="29" t="n">
        <x:f>'指标计算'!T100</x:f>
        <x:v>0.682937806503184</x:v>
      </x:c>
      <x:c r="G8" s="29" t="n">
        <x:f>'指标计算'!U100</x:f>
        <x:v>0.682937806503184</x:v>
      </x:c>
      <x:c r="H8" s="29" t="n">
        <x:f>'指标计算'!V100</x:f>
        <x:v>1</x:v>
      </x:c>
      <x:c r="I8" s="30" t="n">
        <x:f>IF(COUNT('总览与权重'!$H$11:$K$11)=4,ROUND(100*SUMPRODUCT(E8:H8,'总览与权重'!$H$11:$K$11),12),"NA")</x:f>
        <x:v>72.774856776385</x:v>
      </x:c>
      <x:c r="J8" s="30" t="n">
        <x:f>IF(ISNUMBER(I8),COUNTIFS($I$6:$I$151,"&gt;"&amp;I8)+(COUNTIFS($I$6:$I$151,I8)+1)/2,"NA")</x:f>
        <x:v>2.5</x:v>
      </x:c>
      <x:c r="K8" s="30" t="n">
        <x:f>IF(COUNT('总览与权重'!$H$12:$K$12)=4,ROUND(100*SUMPRODUCT(E8:H8,'总览与权重'!$H$12:$K$12),12),"NA")</x:f>
        <x:v>71.281164734363</x:v>
      </x:c>
      <x:c r="L8" s="30" t="n">
        <x:f>IF(ISNUMBER(K8),COUNTIFS($K$6:$K$151,"&gt;"&amp;K8)+(COUNTIFS($K$6:$K$151,K8)+1)/2,"NA")</x:f>
        <x:v>3.5</x:v>
      </x:c>
      <x:c r="M8" s="30" t="n">
        <x:f>IF(COUNT('总览与权重'!$H$13:$K$13)=4,ROUND(100*SUMPRODUCT(E8:H8,'总览与权重'!$H$13:$K$13),12),"NA")</x:f>
        <x:v>75.198632690342</x:v>
      </x:c>
      <x:c r="N8" s="30" t="n">
        <x:f>IF(ISNUMBER(M8),COUNTIFS($M$6:$M$151,"&gt;"&amp;M8)+(COUNTIFS($M$6:$M$151,M8)+1)/2,"NA")</x:f>
        <x:v>2.5</x:v>
      </x:c>
      <x:c r="O8" s="30" t="n">
        <x:f>IF(COUNT('总览与权重'!$H$14:$K$14)=4,ROUND(100*SUMPRODUCT(E8:H8,'总览与权重'!$H$14:$K$14),12),"NA")</x:f>
        <x:v>77.758882402338</x:v>
      </x:c>
      <x:c r="P8" s="30" t="n">
        <x:f>IF(ISNUMBER(O8),COUNTIFS($O$6:$O$151,"&gt;"&amp;O8)+(COUNTIFS($O$6:$O$151,O8)+1)/2,"NA")</x:f>
        <x:v>3.5</x:v>
      </x:c>
      <x:c r="Q8" s="30" t="n">
        <x:f>IF(COUNT('总览与权重'!$H$15:$K$15)=4,ROUND(100*SUMPRODUCT(E8:H8,'总览与权重'!$H$15:$K$15),12),"NA")</x:f>
        <x:v>88.118327612714</x:v>
      </x:c>
      <x:c r="R8" s="30" t="n">
        <x:f>IF(ISNUMBER(Q8),COUNTIFS($Q$6:$Q$151,"&gt;"&amp;Q8)+(COUNTIFS($Q$6:$Q$151,Q8)+1)/2,"NA")</x:f>
        <x:v>2.5</x:v>
      </x:c>
      <x:c r="S8" s="31" t="n">
        <x:f>IF(OR(B8="s3",B8="s6"),COUNTIFS($B$6:$B$151,B8,$I$6:$I$151,"&gt;"&amp;I8)+(COUNTIFS($B$6:$B$151,B8,$I$6:$I$151,I8)+1)/2,"NA")</x:f>
        <x:v>1.5</x:v>
      </x:c>
      <x:c r="T8" s="26" t="str">
        <x:f>IF(COUNTIFS($I$6:$I$151,"&gt;"&amp;I8)&gt;=30,"非前20%",IF(COUNTIFS($I$6:$I$151,"&gt;="&amp;I8)&gt;=30,"边界同分","严格前20%"))</x:f>
        <x:v>严格前20%</x:v>
      </x:c>
      <x:c r="U8" s="26" t="str">
        <x:f>IF(COUNTIFS($I$6:$I$151,"&lt;"&amp;I8)&gt;=30,"非后20%",IF(COUNTIFS($I$6:$I$151,"&lt;="&amp;I8)&gt;=30,"边界同分","严格后20%"))</x:f>
        <x:v>非后20%</x:v>
      </x:c>
      <x:c r="V8" s="22" t="n">
        <x:f>'指标计算'!P100</x:f>
        <x:v>0.36587561300636806</x:v>
      </x:c>
      <x:c r="W8" s="22" t="n">
        <x:f>'指标计算'!Q100</x:f>
        <x:v>0.36587561300636806</x:v>
      </x:c>
      <x:c r="X8" s="22" t="str">
        <x:v>["S0036"]</x:v>
      </x:c>
      <x:c r="Y8" s="22" t="str">
        <x:v>evidence/student_evidence.jsonl；student_key=2025秋:259407</x:v>
      </x:c>
      <x:c r="Z8" s="26" t="n">
        <x:f>IF(OR(B8="s3",B8="s6"),COUNTIFS($B$6:$B$151,B8,$K$6:$K$151,"&gt;"&amp;K8)+(COUNTIFS($B$6:$B$151,B8,$K$6:$K$151,K8)+1)/2,"NA")</x:f>
        <x:v>1.5</x:v>
      </x:c>
      <x:c r="AA8" s="26" t="n">
        <x:f>IF(OR(B8="s3",B8="s6"),COUNTIFS($B$6:$B$151,B8,$M$6:$M$151,"&gt;"&amp;M8)+(COUNTIFS($B$6:$B$151,B8,$M$6:$M$151,M8)+1)/2,"NA")</x:f>
        <x:v>1.5</x:v>
      </x:c>
      <x:c r="AB8" s="26" t="n">
        <x:f>IF(OR(B8="s3",B8="s6"),COUNTIFS($B$6:$B$151,B8,$O$6:$O$151,"&gt;"&amp;O8)+(COUNTIFS($B$6:$B$151,B8,$O$6:$O$151,O8)+1)/2,"NA")</x:f>
        <x:v>1.5</x:v>
      </x:c>
      <x:c r="AC8" s="26" t="n">
        <x:f>IF(OR(B8="s3",B8="s6"),COUNTIFS($B$6:$B$151,B8,$Q$6:$Q$151,"&gt;"&amp;Q8)+(COUNTIFS($B$6:$B$151,B8,$Q$6:$Q$151,Q8)+1)/2,"NA")</x:f>
        <x:v>1.5</x:v>
      </x:c>
      <x:c r="AD8" s="25" t="n">
        <x:v>69.61432843930658</x:v>
      </x:c>
      <x:c r="AE8" s="25" t="n">
        <x:v>3.5</x:v>
      </x:c>
      <x:c r="AF8" s="25" t="n">
        <x:v>2.5</x:v>
      </x:c>
      <x:c r="AG8" s="25" t="n">
        <x:v>1</x:v>
      </x:c>
    </x:row>
    <x:row r="9" ht="23" customHeight="1">
      <x:c r="A9" s="21" t="str">
        <x:v>2025秋:259021</x:v>
      </x:c>
      <x:c r="B9" s="22" t="str">
        <x:v>s3</x:v>
      </x:c>
      <x:c r="C9" s="24" t="n">
        <x:v>1</x:v>
      </x:c>
      <x:c r="D9" s="24" t="n">
        <x:v>1</x:v>
      </x:c>
      <x:c r="E9" s="29" t="n">
        <x:f>'指标计算'!S64</x:f>
        <x:v>0.5149713805605697</x:v>
      </x:c>
      <x:c r="F9" s="29" t="n">
        <x:f>'指标计算'!T64</x:f>
        <x:v>0.6796565667268368</x:v>
      </x:c>
      <x:c r="G9" s="29" t="n">
        <x:f>'指标计算'!U64</x:f>
        <x:v>0.6796565667268368</x:v>
      </x:c>
      <x:c r="H9" s="29" t="n">
        <x:f>'指标计算'!V64</x:f>
        <x:v>1</x:v>
      </x:c>
      <x:c r="I9" s="30" t="n">
        <x:f>IF(COUNT('总览与权重'!$H$11:$K$11)=4,ROUND(100*SUMPRODUCT(E9:H9,'总览与权重'!$H$11:$K$11),12),"NA")</x:f>
        <x:v>72.635404085891</x:v>
      </x:c>
      <x:c r="J9" s="30" t="n">
        <x:f>IF(ISNUMBER(I9),COUNTIFS($I$6:$I$151,"&gt;"&amp;I9)+(COUNTIFS($I$6:$I$151,I9)+1)/2,"NA")</x:f>
        <x:v>4.5</x:v>
      </x:c>
      <x:c r="K9" s="30" t="n">
        <x:f>IF(COUNT('总览与权重'!$H$12:$K$12)=4,ROUND(100*SUMPRODUCT(E9:H9,'总览与权重'!$H$12:$K$12),12),"NA")</x:f>
        <x:v>71.078821614822</x:v>
      </x:c>
      <x:c r="L9" s="30" t="n">
        <x:f>IF(ISNUMBER(K9),COUNTIFS($K$6:$K$151,"&gt;"&amp;K9)+(COUNTIFS($K$6:$K$151,K9)+1)/2,"NA")</x:f>
        <x:v>5.5</x:v>
      </x:c>
      <x:c r="M9" s="30" t="n">
        <x:f>IF(COUNT('总览与权重'!$H$13:$K$13)=4,ROUND(100*SUMPRODUCT(E9:H9,'总览与权重'!$H$13:$K$13),12),"NA")</x:f>
        <x:v>75.060547183088</x:v>
      </x:c>
      <x:c r="N9" s="30" t="n">
        <x:f>IF(ISNUMBER(M9),COUNTIFS($M$6:$M$151,"&gt;"&amp;M9)+(COUNTIFS($M$6:$M$151,M9)+1)/2,"NA")</x:f>
        <x:v>4.5</x:v>
      </x:c>
      <x:c r="O9" s="30" t="n">
        <x:f>IF(COUNT('总览与权重'!$H$14:$K$14)=4,ROUND(100*SUMPRODUCT(E9:H9,'总览与权重'!$H$14:$K$14),12),"NA")</x:f>
        <x:v>77.530034395244</x:v>
      </x:c>
      <x:c r="P9" s="30" t="n">
        <x:f>IF(ISNUMBER(O9),COUNTIFS($O$6:$O$151,"&gt;"&amp;O9)+(COUNTIFS($O$6:$O$151,O9)+1)/2,"NA")</x:f>
        <x:v>5.5</x:v>
      </x:c>
      <x:c r="Q9" s="30" t="n">
        <x:f>IF(COUNT('总览与权重'!$H$15:$K$15)=4,ROUND(100*SUMPRODUCT(E9:H9,'总览与权重'!$H$15:$K$15),12),"NA")</x:f>
        <x:v>87.996072198397</x:v>
      </x:c>
      <x:c r="R9" s="30" t="n">
        <x:f>IF(ISNUMBER(Q9),COUNTIFS($Q$6:$Q$151,"&gt;"&amp;Q9)+(COUNTIFS($Q$6:$Q$151,Q9)+1)/2,"NA")</x:f>
        <x:v>4.5</x:v>
      </x:c>
      <x:c r="S9" s="31" t="n">
        <x:f>IF(OR(B9="s3",B9="s6"),COUNTIFS($B$6:$B$151,B9,$I$6:$I$151,"&gt;"&amp;I9)+(COUNTIFS($B$6:$B$151,B9,$I$6:$I$151,I9)+1)/2,"NA")</x:f>
        <x:v>3.5</x:v>
      </x:c>
      <x:c r="T9" s="26" t="str">
        <x:f>IF(COUNTIFS($I$6:$I$151,"&gt;"&amp;I9)&gt;=30,"非前20%",IF(COUNTIFS($I$6:$I$151,"&gt;="&amp;I9)&gt;=30,"边界同分","严格前20%"))</x:f>
        <x:v>严格前20%</x:v>
      </x:c>
      <x:c r="U9" s="26" t="str">
        <x:f>IF(COUNTIFS($I$6:$I$151,"&lt;"&amp;I9)&gt;=30,"非后20%",IF(COUNTIFS($I$6:$I$151,"&lt;="&amp;I9)&gt;=30,"边界同分","严格后20%"))</x:f>
        <x:v>非后20%</x:v>
      </x:c>
      <x:c r="V9" s="22" t="n">
        <x:f>'指标计算'!P64</x:f>
        <x:v>0.35931313345367355</x:v>
      </x:c>
      <x:c r="W9" s="22" t="n">
        <x:f>'指标计算'!Q64</x:f>
        <x:v>0.35931313345367355</x:v>
      </x:c>
      <x:c r="X9" s="22" t="str">
        <x:v>["S0464"]</x:v>
      </x:c>
      <x:c r="Y9" s="22" t="str">
        <x:v>evidence/student_evidence.jsonl；student_key=2025秋:259021</x:v>
      </x:c>
      <x:c r="Z9" s="26" t="n">
        <x:f>IF(OR(B9="s3",B9="s6"),COUNTIFS($B$6:$B$151,B9,$K$6:$K$151,"&gt;"&amp;K9)+(COUNTIFS($B$6:$B$151,B9,$K$6:$K$151,K9)+1)/2,"NA")</x:f>
        <x:v>3.5</x:v>
      </x:c>
      <x:c r="AA9" s="26" t="n">
        <x:f>IF(OR(B9="s3",B9="s6"),COUNTIFS($B$6:$B$151,B9,$M$6:$M$151,"&gt;"&amp;M9)+(COUNTIFS($B$6:$B$151,B9,$M$6:$M$151,M9)+1)/2,"NA")</x:f>
        <x:v>3.5</x:v>
      </x:c>
      <x:c r="AB9" s="26" t="n">
        <x:f>IF(OR(B9="s3",B9="s6"),COUNTIFS($B$6:$B$151,B9,$O$6:$O$151,"&gt;"&amp;O9)+(COUNTIFS($B$6:$B$151,B9,$O$6:$O$151,O9)+1)/2,"NA")</x:f>
        <x:v>3.5</x:v>
      </x:c>
      <x:c r="AC9" s="26" t="n">
        <x:f>IF(OR(B9="s3",B9="s6"),COUNTIFS($B$6:$B$151,B9,$Q$6:$Q$151,"&gt;"&amp;Q9)+(COUNTIFS($B$6:$B$151,B9,$Q$6:$Q$151,Q9)+1)/2,"NA")</x:f>
        <x:v>3.5</x:v>
      </x:c>
      <x:c r="AD9" s="25" t="n">
        <x:v>69.47487574881181</x:v>
      </x:c>
      <x:c r="AE9" s="25" t="n">
        <x:v>5.5</x:v>
      </x:c>
      <x:c r="AF9" s="25" t="n">
        <x:v>4.5</x:v>
      </x:c>
      <x:c r="AG9" s="25" t="n">
        <x:v>1</x:v>
      </x:c>
    </x:row>
    <x:row r="10" ht="23" customHeight="1">
      <x:c r="A10" s="21" t="str">
        <x:v>2025秋:25A081</x:v>
      </x:c>
      <x:c r="B10" s="22" t="str">
        <x:v>s3</x:v>
      </x:c>
      <x:c r="C10" s="24" t="n">
        <x:v>1</x:v>
      </x:c>
      <x:c r="D10" s="24" t="n">
        <x:v>1</x:v>
      </x:c>
      <x:c r="E10" s="29" t="n">
        <x:f>'指标计算'!S133</x:f>
        <x:v>0.5149713805605697</x:v>
      </x:c>
      <x:c r="F10" s="29" t="n">
        <x:f>'指标计算'!T133</x:f>
        <x:v>0.6796565667268368</x:v>
      </x:c>
      <x:c r="G10" s="29" t="n">
        <x:f>'指标计算'!U133</x:f>
        <x:v>0.6796565667268368</x:v>
      </x:c>
      <x:c r="H10" s="29" t="n">
        <x:f>'指标计算'!V133</x:f>
        <x:v>1</x:v>
      </x:c>
      <x:c r="I10" s="30" t="n">
        <x:f>IF(COUNT('总览与权重'!$H$11:$K$11)=4,ROUND(100*SUMPRODUCT(E10:H10,'总览与权重'!$H$11:$K$11),12),"NA")</x:f>
        <x:v>72.635404085891</x:v>
      </x:c>
      <x:c r="J10" s="30" t="n">
        <x:f>IF(ISNUMBER(I10),COUNTIFS($I$6:$I$151,"&gt;"&amp;I10)+(COUNTIFS($I$6:$I$151,I10)+1)/2,"NA")</x:f>
        <x:v>4.5</x:v>
      </x:c>
      <x:c r="K10" s="30" t="n">
        <x:f>IF(COUNT('总览与权重'!$H$12:$K$12)=4,ROUND(100*SUMPRODUCT(E10:H10,'总览与权重'!$H$12:$K$12),12),"NA")</x:f>
        <x:v>71.078821614822</x:v>
      </x:c>
      <x:c r="L10" s="30" t="n">
        <x:f>IF(ISNUMBER(K10),COUNTIFS($K$6:$K$151,"&gt;"&amp;K10)+(COUNTIFS($K$6:$K$151,K10)+1)/2,"NA")</x:f>
        <x:v>5.5</x:v>
      </x:c>
      <x:c r="M10" s="30" t="n">
        <x:f>IF(COUNT('总览与权重'!$H$13:$K$13)=4,ROUND(100*SUMPRODUCT(E10:H10,'总览与权重'!$H$13:$K$13),12),"NA")</x:f>
        <x:v>75.060547183088</x:v>
      </x:c>
      <x:c r="N10" s="30" t="n">
        <x:f>IF(ISNUMBER(M10),COUNTIFS($M$6:$M$151,"&gt;"&amp;M10)+(COUNTIFS($M$6:$M$151,M10)+1)/2,"NA")</x:f>
        <x:v>4.5</x:v>
      </x:c>
      <x:c r="O10" s="30" t="n">
        <x:f>IF(COUNT('总览与权重'!$H$14:$K$14)=4,ROUND(100*SUMPRODUCT(E10:H10,'总览与权重'!$H$14:$K$14),12),"NA")</x:f>
        <x:v>77.530034395244</x:v>
      </x:c>
      <x:c r="P10" s="30" t="n">
        <x:f>IF(ISNUMBER(O10),COUNTIFS($O$6:$O$151,"&gt;"&amp;O10)+(COUNTIFS($O$6:$O$151,O10)+1)/2,"NA")</x:f>
        <x:v>5.5</x:v>
      </x:c>
      <x:c r="Q10" s="30" t="n">
        <x:f>IF(COUNT('总览与权重'!$H$15:$K$15)=4,ROUND(100*SUMPRODUCT(E10:H10,'总览与权重'!$H$15:$K$15),12),"NA")</x:f>
        <x:v>87.996072198397</x:v>
      </x:c>
      <x:c r="R10" s="30" t="n">
        <x:f>IF(ISNUMBER(Q10),COUNTIFS($Q$6:$Q$151,"&gt;"&amp;Q10)+(COUNTIFS($Q$6:$Q$151,Q10)+1)/2,"NA")</x:f>
        <x:v>4.5</x:v>
      </x:c>
      <x:c r="S10" s="31" t="n">
        <x:f>IF(OR(B10="s3",B10="s6"),COUNTIFS($B$6:$B$151,B10,$I$6:$I$151,"&gt;"&amp;I10)+(COUNTIFS($B$6:$B$151,B10,$I$6:$I$151,I10)+1)/2,"NA")</x:f>
        <x:v>3.5</x:v>
      </x:c>
      <x:c r="T10" s="26" t="str">
        <x:f>IF(COUNTIFS($I$6:$I$151,"&gt;"&amp;I10)&gt;=30,"非前20%",IF(COUNTIFS($I$6:$I$151,"&gt;="&amp;I10)&gt;=30,"边界同分","严格前20%"))</x:f>
        <x:v>严格前20%</x:v>
      </x:c>
      <x:c r="U10" s="26" t="str">
        <x:f>IF(COUNTIFS($I$6:$I$151,"&lt;"&amp;I10)&gt;=30,"非后20%",IF(COUNTIFS($I$6:$I$151,"&lt;="&amp;I10)&gt;=30,"边界同分","严格后20%"))</x:f>
        <x:v>非后20%</x:v>
      </x:c>
      <x:c r="V10" s="22" t="n">
        <x:f>'指标计算'!P133</x:f>
        <x:v>0.35931313345367355</x:v>
      </x:c>
      <x:c r="W10" s="22" t="n">
        <x:f>'指标计算'!Q133</x:f>
        <x:v>0.35931313345367355</x:v>
      </x:c>
      <x:c r="X10" s="22" t="str">
        <x:v>["S0411"]</x:v>
      </x:c>
      <x:c r="Y10" s="22" t="str">
        <x:v>evidence/student_evidence.jsonl；student_key=2025秋:25A081</x:v>
      </x:c>
      <x:c r="Z10" s="26" t="n">
        <x:f>IF(OR(B10="s3",B10="s6"),COUNTIFS($B$6:$B$151,B10,$K$6:$K$151,"&gt;"&amp;K10)+(COUNTIFS($B$6:$B$151,B10,$K$6:$K$151,K10)+1)/2,"NA")</x:f>
        <x:v>3.5</x:v>
      </x:c>
      <x:c r="AA10" s="26" t="n">
        <x:f>IF(OR(B10="s3",B10="s6"),COUNTIFS($B$6:$B$151,B10,$M$6:$M$151,"&gt;"&amp;M10)+(COUNTIFS($B$6:$B$151,B10,$M$6:$M$151,M10)+1)/2,"NA")</x:f>
        <x:v>3.5</x:v>
      </x:c>
      <x:c r="AB10" s="26" t="n">
        <x:f>IF(OR(B10="s3",B10="s6"),COUNTIFS($B$6:$B$151,B10,$O$6:$O$151,"&gt;"&amp;O10)+(COUNTIFS($B$6:$B$151,B10,$O$6:$O$151,O10)+1)/2,"NA")</x:f>
        <x:v>3.5</x:v>
      </x:c>
      <x:c r="AC10" s="26" t="n">
        <x:f>IF(OR(B10="s3",B10="s6"),COUNTIFS($B$6:$B$151,B10,$Q$6:$Q$151,"&gt;"&amp;Q10)+(COUNTIFS($B$6:$B$151,B10,$Q$6:$Q$151,Q10)+1)/2,"NA")</x:f>
        <x:v>3.5</x:v>
      </x:c>
      <x:c r="AD10" s="25" t="n">
        <x:v>69.47487574881181</x:v>
      </x:c>
      <x:c r="AE10" s="25" t="n">
        <x:v>5.5</x:v>
      </x:c>
      <x:c r="AF10" s="25" t="n">
        <x:v>4.5</x:v>
      </x:c>
      <x:c r="AG10" s="25" t="n">
        <x:v>1</x:v>
      </x:c>
    </x:row>
    <x:row r="11" ht="23" customHeight="1">
      <x:c r="A11" s="21" t="str">
        <x:v>2025秋:259961</x:v>
      </x:c>
      <x:c r="B11" s="22" t="str">
        <x:v>s3</x:v>
      </x:c>
      <x:c r="C11" s="24" t="n">
        <x:v>1</x:v>
      </x:c>
      <x:c r="D11" s="24" t="n">
        <x:v>1</x:v>
      </x:c>
      <x:c r="E11" s="29" t="n">
        <x:f>'指标计算'!S132</x:f>
        <x:v>0.514844914707717</x:v>
      </x:c>
      <x:c r="F11" s="29" t="n">
        <x:f>'指标计算'!T132</x:f>
        <x:v>0.6781389764926042</x:v>
      </x:c>
      <x:c r="G11" s="29" t="n">
        <x:f>'指标计算'!U132</x:f>
        <x:v>0.6781389764926042</x:v>
      </x:c>
      <x:c r="H11" s="29" t="n">
        <x:f>'指标计算'!V132</x:f>
        <x:v>1</x:v>
      </x:c>
      <x:c r="I11" s="30" t="n">
        <x:f>IF(COUNT('总览与权重'!$H$11:$K$11)=4,ROUND(100*SUMPRODUCT(E11:H11,'总览与权重'!$H$11:$K$11),12),"NA")</x:f>
        <x:v>72.570906500936</x:v>
      </x:c>
      <x:c r="J11" s="30" t="n">
        <x:f>IF(ISNUMBER(I11),COUNTIFS($I$6:$I$151,"&gt;"&amp;I11)+(COUNTIFS($I$6:$I$151,I11)+1)/2,"NA")</x:f>
        <x:v>6</x:v>
      </x:c>
      <x:c r="K11" s="30" t="n">
        <x:f>IF(COUNT('总览与权重'!$H$12:$K$12)=4,ROUND(100*SUMPRODUCT(E11:H11,'总览与权重'!$H$12:$K$12),12),"NA")</x:f>
        <x:v>70.985236883711</x:v>
      </x:c>
      <x:c r="L11" s="30" t="n">
        <x:f>IF(ISNUMBER(K11),COUNTIFS($K$6:$K$151,"&gt;"&amp;K11)+(COUNTIFS($K$6:$K$151,K11)+1)/2,"NA")</x:f>
        <x:v>7</x:v>
      </x:c>
      <x:c r="M11" s="30" t="n">
        <x:f>IF(COUNT('总览与权重'!$H$13:$K$13)=4,ROUND(100*SUMPRODUCT(E11:H11,'总览与权重'!$H$13:$K$13),12),"NA")</x:f>
        <x:v>74.996681927397</x:v>
      </x:c>
      <x:c r="N11" s="30" t="n">
        <x:f>IF(ISNUMBER(M11),COUNTIFS($M$6:$M$151,"&gt;"&amp;M11)+(COUNTIFS($M$6:$M$151,M11)+1)/2,"NA")</x:f>
        <x:v>6</x:v>
      </x:c>
      <x:c r="O11" s="30" t="n">
        <x:f>IF(COUNT('总览与权重'!$H$14:$K$14)=4,ROUND(100*SUMPRODUCT(E11:H11,'总览与权重'!$H$14:$K$14),12),"NA")</x:f>
        <x:v>77.424191017631</x:v>
      </x:c>
      <x:c r="P11" s="30" t="n">
        <x:f>IF(ISNUMBER(O11),COUNTIFS($O$6:$O$151,"&gt;"&amp;O11)+(COUNTIFS($O$6:$O$151,O11)+1)/2,"NA")</x:f>
        <x:v>7</x:v>
      </x:c>
      <x:c r="Q11" s="30" t="n">
        <x:f>IF(COUNT('总览与权重'!$H$15:$K$15)=4,ROUND(100*SUMPRODUCT(E11:H11,'总览与权重'!$H$15:$K$15),12),"NA")</x:f>
        <x:v>87.939528441922</x:v>
      </x:c>
      <x:c r="R11" s="30" t="n">
        <x:f>IF(ISNUMBER(Q11),COUNTIFS($Q$6:$Q$151,"&gt;"&amp;Q11)+(COUNTIFS($Q$6:$Q$151,Q11)+1)/2,"NA")</x:f>
        <x:v>6</x:v>
      </x:c>
      <x:c r="S11" s="31" t="n">
        <x:f>IF(OR(B11="s3",B11="s6"),COUNTIFS($B$6:$B$151,B11,$I$6:$I$151,"&gt;"&amp;I11)+(COUNTIFS($B$6:$B$151,B11,$I$6:$I$151,I11)+1)/2,"NA")</x:f>
        <x:v>5</x:v>
      </x:c>
      <x:c r="T11" s="26" t="str">
        <x:f>IF(COUNTIFS($I$6:$I$151,"&gt;"&amp;I11)&gt;=30,"非前20%",IF(COUNTIFS($I$6:$I$151,"&gt;="&amp;I11)&gt;=30,"边界同分","严格前20%"))</x:f>
        <x:v>严格前20%</x:v>
      </x:c>
      <x:c r="U11" s="26" t="str">
        <x:f>IF(COUNTIFS($I$6:$I$151,"&lt;"&amp;I11)&gt;=30,"非后20%",IF(COUNTIFS($I$6:$I$151,"&lt;="&amp;I11)&gt;=30,"边界同分","严格后20%"))</x:f>
        <x:v>非后20%</x:v>
      </x:c>
      <x:c r="V11" s="22" t="n">
        <x:f>'指标计算'!P132</x:f>
        <x:v>0.35627795298520837</x:v>
      </x:c>
      <x:c r="W11" s="22" t="n">
        <x:f>'指标计算'!Q132</x:f>
        <x:v>0.35627795298520837</x:v>
      </x:c>
      <x:c r="X11" s="22" t="str">
        <x:v>["S0296"]</x:v>
      </x:c>
      <x:c r="Y11" s="22" t="str">
        <x:v>evidence/student_evidence.jsonl；student_key=2025秋:259961</x:v>
      </x:c>
      <x:c r="Z11" s="26" t="n">
        <x:f>IF(OR(B11="s3",B11="s6"),COUNTIFS($B$6:$B$151,B11,$K$6:$K$151,"&gt;"&amp;K11)+(COUNTIFS($B$6:$B$151,B11,$K$6:$K$151,K11)+1)/2,"NA")</x:f>
        <x:v>5</x:v>
      </x:c>
      <x:c r="AA11" s="26" t="n">
        <x:f>IF(OR(B11="s3",B11="s6"),COUNTIFS($B$6:$B$151,B11,$M$6:$M$151,"&gt;"&amp;M11)+(COUNTIFS($B$6:$B$151,B11,$M$6:$M$151,M11)+1)/2,"NA")</x:f>
        <x:v>5</x:v>
      </x:c>
      <x:c r="AB11" s="26" t="n">
        <x:f>IF(OR(B11="s3",B11="s6"),COUNTIFS($B$6:$B$151,B11,$O$6:$O$151,"&gt;"&amp;O11)+(COUNTIFS($B$6:$B$151,B11,$O$6:$O$151,O11)+1)/2,"NA")</x:f>
        <x:v>5</x:v>
      </x:c>
      <x:c r="AC11" s="26" t="n">
        <x:f>IF(OR(B11="s3",B11="s6"),COUNTIFS($B$6:$B$151,B11,$Q$6:$Q$151,"&gt;"&amp;Q11)+(COUNTIFS($B$6:$B$151,B11,$Q$6:$Q$151,Q11)+1)/2,"NA")</x:f>
        <x:v>5</x:v>
      </x:c>
      <x:c r="AD11" s="25" t="n">
        <x:v>69.41037816385693</x:v>
      </x:c>
      <x:c r="AE11" s="25" t="n">
        <x:v>7</x:v>
      </x:c>
      <x:c r="AF11" s="25" t="n">
        <x:v>6</x:v>
      </x:c>
      <x:c r="AG11" s="25" t="n">
        <x:v>1</x:v>
      </x:c>
    </x:row>
    <x:row r="12" ht="23" customHeight="1">
      <x:c r="A12" s="21" t="str">
        <x:v>2025秋:25A134</x:v>
      </x:c>
      <x:c r="B12" s="22" t="str">
        <x:v>s3</x:v>
      </x:c>
      <x:c r="C12" s="24" t="n">
        <x:v>1</x:v>
      </x:c>
      <x:c r="D12" s="24" t="n">
        <x:v>1</x:v>
      </x:c>
      <x:c r="E12" s="29" t="n">
        <x:f>'指标计算'!S136</x:f>
        <x:v>0.5146196452422432</x:v>
      </x:c>
      <x:c r="F12" s="29" t="n">
        <x:f>'指标计算'!T136</x:f>
        <x:v>0.6754357429069188</x:v>
      </x:c>
      <x:c r="G12" s="29" t="n">
        <x:f>'指标计算'!U136</x:f>
        <x:v>0.6754357429069188</x:v>
      </x:c>
      <x:c r="H12" s="29" t="n">
        <x:f>'指标计算'!V136</x:f>
        <x:v>1</x:v>
      </x:c>
      <x:c r="I12" s="30" t="n">
        <x:f>IF(COUNT('总览与权重'!$H$11:$K$11)=4,ROUND(100*SUMPRODUCT(E12:H12,'总览与权重'!$H$11:$K$11),12),"NA")</x:f>
        <x:v>72.456019073544</x:v>
      </x:c>
      <x:c r="J12" s="30" t="n">
        <x:f>IF(ISNUMBER(I12),COUNTIFS($I$6:$I$151,"&gt;"&amp;I12)+(COUNTIFS($I$6:$I$151,I12)+1)/2,"NA")</x:f>
        <x:v>7</x:v>
      </x:c>
      <x:c r="K12" s="30" t="n">
        <x:f>IF(COUNT('总览与权重'!$H$12:$K$12)=4,ROUND(100*SUMPRODUCT(E12:H12,'总览与权重'!$H$12:$K$12),12),"NA")</x:f>
        <x:v>70.81853747926</x:v>
      </x:c>
      <x:c r="L12" s="30" t="n">
        <x:f>IF(ISNUMBER(K12),COUNTIFS($K$6:$K$151,"&gt;"&amp;K12)+(COUNTIFS($K$6:$K$151,K12)+1)/2,"NA")</x:f>
        <x:v>8</x:v>
      </x:c>
      <x:c r="M12" s="30" t="n">
        <x:f>IF(COUNT('总览与权重'!$H$13:$K$13)=4,ROUND(100*SUMPRODUCT(E12:H12,'总览与权重'!$H$13:$K$13),12),"NA")</x:f>
        <x:v>74.882920847333</x:v>
      </x:c>
      <x:c r="N12" s="30" t="n">
        <x:f>IF(ISNUMBER(M12),COUNTIFS($M$6:$M$151,"&gt;"&amp;M12)+(COUNTIFS($M$6:$M$151,M12)+1)/2,"NA")</x:f>
        <x:v>7</x:v>
      </x:c>
      <x:c r="O12" s="30" t="n">
        <x:f>IF(COUNT('总览与权重'!$H$14:$K$14)=4,ROUND(100*SUMPRODUCT(E12:H12,'总览与权重'!$H$14:$K$14),12),"NA")</x:f>
        <x:v>77.235655689231</x:v>
      </x:c>
      <x:c r="P12" s="30" t="n">
        <x:f>IF(ISNUMBER(O12),COUNTIFS($O$6:$O$151,"&gt;"&amp;O12)+(COUNTIFS($O$6:$O$151,O12)+1)/2,"NA")</x:f>
        <x:v>8</x:v>
      </x:c>
      <x:c r="Q12" s="30" t="n">
        <x:f>IF(COUNT('总览与权重'!$H$15:$K$15)=4,ROUND(100*SUMPRODUCT(E12:H12,'总览与权重'!$H$15:$K$15),12),"NA")</x:f>
        <x:v>87.83880890768</x:v>
      </x:c>
      <x:c r="R12" s="30" t="n">
        <x:f>IF(ISNUMBER(Q12),COUNTIFS($Q$6:$Q$151,"&gt;"&amp;Q12)+(COUNTIFS($Q$6:$Q$151,Q12)+1)/2,"NA")</x:f>
        <x:v>7</x:v>
      </x:c>
      <x:c r="S12" s="31" t="n">
        <x:f>IF(OR(B12="s3",B12="s6"),COUNTIFS($B$6:$B$151,B12,$I$6:$I$151,"&gt;"&amp;I12)+(COUNTIFS($B$6:$B$151,B12,$I$6:$I$151,I12)+1)/2,"NA")</x:f>
        <x:v>6</x:v>
      </x:c>
      <x:c r="T12" s="26" t="str">
        <x:f>IF(COUNTIFS($I$6:$I$151,"&gt;"&amp;I12)&gt;=30,"非前20%",IF(COUNTIFS($I$6:$I$151,"&gt;="&amp;I12)&gt;=30,"边界同分","严格前20%"))</x:f>
        <x:v>严格前20%</x:v>
      </x:c>
      <x:c r="U12" s="26" t="str">
        <x:f>IF(COUNTIFS($I$6:$I$151,"&lt;"&amp;I12)&gt;=30,"非后20%",IF(COUNTIFS($I$6:$I$151,"&lt;="&amp;I12)&gt;=30,"边界同分","严格后20%"))</x:f>
        <x:v>非后20%</x:v>
      </x:c>
      <x:c r="V12" s="22" t="n">
        <x:f>'指标计算'!P136</x:f>
        <x:v>0.35087148581383754</x:v>
      </x:c>
      <x:c r="W12" s="22" t="n">
        <x:f>'指标计算'!Q136</x:f>
        <x:v>0.35087148581383754</x:v>
      </x:c>
      <x:c r="X12" s="22" t="str">
        <x:v>["S0311"]</x:v>
      </x:c>
      <x:c r="Y12" s="22" t="str">
        <x:v>evidence/student_evidence.jsonl；student_key=2025秋:25A134</x:v>
      </x:c>
      <x:c r="Z12" s="26" t="n">
        <x:f>IF(OR(B12="s3",B12="s6"),COUNTIFS($B$6:$B$151,B12,$K$6:$K$151,"&gt;"&amp;K12)+(COUNTIFS($B$6:$B$151,B12,$K$6:$K$151,K12)+1)/2,"NA")</x:f>
        <x:v>6</x:v>
      </x:c>
      <x:c r="AA12" s="26" t="n">
        <x:f>IF(OR(B12="s3",B12="s6"),COUNTIFS($B$6:$B$151,B12,$M$6:$M$151,"&gt;"&amp;M12)+(COUNTIFS($B$6:$B$151,B12,$M$6:$M$151,M12)+1)/2,"NA")</x:f>
        <x:v>6</x:v>
      </x:c>
      <x:c r="AB12" s="26" t="n">
        <x:f>IF(OR(B12="s3",B12="s6"),COUNTIFS($B$6:$B$151,B12,$O$6:$O$151,"&gt;"&amp;O12)+(COUNTIFS($B$6:$B$151,B12,$O$6:$O$151,O12)+1)/2,"NA")</x:f>
        <x:v>6</x:v>
      </x:c>
      <x:c r="AC12" s="26" t="n">
        <x:f>IF(OR(B12="s3",B12="s6"),COUNTIFS($B$6:$B$151,B12,$Q$6:$Q$151,"&gt;"&amp;Q12)+(COUNTIFS($B$6:$B$151,B12,$Q$6:$Q$151,Q12)+1)/2,"NA")</x:f>
        <x:v>6</x:v>
      </x:c>
      <x:c r="AD12" s="25" t="n">
        <x:v>69.29614576531915</x:v>
      </x:c>
      <x:c r="AE12" s="25" t="n">
        <x:v>8</x:v>
      </x:c>
      <x:c r="AF12" s="25" t="n">
        <x:v>7</x:v>
      </x:c>
      <x:c r="AG12" s="25" t="n">
        <x:v>1</x:v>
      </x:c>
    </x:row>
    <x:row r="13" ht="23" customHeight="1">
      <x:c r="A13" s="21" t="str">
        <x:v>2025秋:258878</x:v>
      </x:c>
      <x:c r="B13" s="22" t="str">
        <x:v>s3</x:v>
      </x:c>
      <x:c r="C13" s="24" t="n">
        <x:v>1</x:v>
      </x:c>
      <x:c r="D13" s="24" t="n">
        <x:v>1</x:v>
      </x:c>
      <x:c r="E13" s="29" t="n">
        <x:f>'指标计算'!S27</x:f>
        <x:v>0.5145913774262326</x:v>
      </x:c>
      <x:c r="F13" s="29" t="n">
        <x:f>'指标计算'!T27</x:f>
        <x:v>0.6750965291147923</x:v>
      </x:c>
      <x:c r="G13" s="29" t="n">
        <x:f>'指标计算'!U27</x:f>
        <x:v>0.6750965291147923</x:v>
      </x:c>
      <x:c r="H13" s="29" t="n">
        <x:f>'指标计算'!V27</x:f>
        <x:v>1</x:v>
      </x:c>
      <x:c r="I13" s="30" t="n">
        <x:f>IF(COUNT('总览与权重'!$H$11:$K$11)=4,ROUND(100*SUMPRODUCT(E13:H13,'总览与权重'!$H$11:$K$11),12),"NA")</x:f>
        <x:v>72.441602487379</x:v>
      </x:c>
      <x:c r="J13" s="30" t="n">
        <x:f>IF(ISNUMBER(I13),COUNTIFS($I$6:$I$151,"&gt;"&amp;I13)+(COUNTIFS($I$6:$I$151,I13)+1)/2,"NA")</x:f>
        <x:v>8.5</x:v>
      </x:c>
      <x:c r="K13" s="30" t="n">
        <x:f>IF(COUNT('总览与权重'!$H$12:$K$12)=4,ROUND(100*SUMPRODUCT(E13:H13,'总览与权重'!$H$12:$K$12),12),"NA")</x:f>
        <x:v>70.797619295412</x:v>
      </x:c>
      <x:c r="L13" s="30" t="n">
        <x:f>IF(ISNUMBER(K13),COUNTIFS($K$6:$K$151,"&gt;"&amp;K13)+(COUNTIFS($K$6:$K$151,K13)+1)/2,"NA")</x:f>
        <x:v>9.5</x:v>
      </x:c>
      <x:c r="M13" s="30" t="n">
        <x:f>IF(COUNT('总览与权重'!$H$13:$K$13)=4,ROUND(100*SUMPRODUCT(E13:H13,'总览与权重'!$H$13:$K$13),12),"NA")</x:f>
        <x:v>74.868645600248</x:v>
      </x:c>
      <x:c r="N13" s="30" t="n">
        <x:f>IF(ISNUMBER(M13),COUNTIFS($M$6:$M$151,"&gt;"&amp;M13)+(COUNTIFS($M$6:$M$151,M13)+1)/2,"NA")</x:f>
        <x:v>8.5</x:v>
      </x:c>
      <x:c r="O13" s="30" t="n">
        <x:f>IF(COUNT('总览与权重'!$H$14:$K$14)=4,ROUND(100*SUMPRODUCT(E13:H13,'总览与权重'!$H$14:$K$14),12),"NA")</x:f>
        <x:v>77.211997436376</x:v>
      </x:c>
      <x:c r="P13" s="30" t="n">
        <x:f>IF(ISNUMBER(O13),COUNTIFS($O$6:$O$151,"&gt;"&amp;O13)+(COUNTIFS($O$6:$O$151,O13)+1)/2,"NA")</x:f>
        <x:v>9.5</x:v>
      </x:c>
      <x:c r="Q13" s="30" t="n">
        <x:f>IF(COUNT('总览与权重'!$H$15:$K$15)=4,ROUND(100*SUMPRODUCT(E13:H13,'总览与权重'!$H$15:$K$15),12),"NA")</x:f>
        <x:v>87.826170171859</x:v>
      </x:c>
      <x:c r="R13" s="30" t="n">
        <x:f>IF(ISNUMBER(Q13),COUNTIFS($Q$6:$Q$151,"&gt;"&amp;Q13)+(COUNTIFS($Q$6:$Q$151,Q13)+1)/2,"NA")</x:f>
        <x:v>8.5</x:v>
      </x:c>
      <x:c r="S13" s="31" t="n">
        <x:f>IF(OR(B13="s3",B13="s6"),COUNTIFS($B$6:$B$151,B13,$I$6:$I$151,"&gt;"&amp;I13)+(COUNTIFS($B$6:$B$151,B13,$I$6:$I$151,I13)+1)/2,"NA")</x:f>
        <x:v>7.5</x:v>
      </x:c>
      <x:c r="T13" s="26" t="str">
        <x:f>IF(COUNTIFS($I$6:$I$151,"&gt;"&amp;I13)&gt;=30,"非前20%",IF(COUNTIFS($I$6:$I$151,"&gt;="&amp;I13)&gt;=30,"边界同分","严格前20%"))</x:f>
        <x:v>严格前20%</x:v>
      </x:c>
      <x:c r="U13" s="26" t="str">
        <x:f>IF(COUNTIFS($I$6:$I$151,"&lt;"&amp;I13)&gt;=30,"非后20%",IF(COUNTIFS($I$6:$I$151,"&lt;="&amp;I13)&gt;=30,"边界同分","严格后20%"))</x:f>
        <x:v>非后20%</x:v>
      </x:c>
      <x:c r="V13" s="22" t="n">
        <x:f>'指标计算'!P27</x:f>
        <x:v>0.3501930582295846</x:v>
      </x:c>
      <x:c r="W13" s="22" t="n">
        <x:f>'指标计算'!Q27</x:f>
        <x:v>0.3501930582295846</x:v>
      </x:c>
      <x:c r="X13" s="22" t="str">
        <x:v>["S0364"]</x:v>
      </x:c>
      <x:c r="Y13" s="22" t="str">
        <x:v>evidence/student_evidence.jsonl；student_key=2025秋:258878</x:v>
      </x:c>
      <x:c r="Z13" s="26" t="n">
        <x:f>IF(OR(B13="s3",B13="s6"),COUNTIFS($B$6:$B$151,B13,$K$6:$K$151,"&gt;"&amp;K13)+(COUNTIFS($B$6:$B$151,B13,$K$6:$K$151,K13)+1)/2,"NA")</x:f>
        <x:v>7.5</x:v>
      </x:c>
      <x:c r="AA13" s="26" t="n">
        <x:f>IF(OR(B13="s3",B13="s6"),COUNTIFS($B$6:$B$151,B13,$M$6:$M$151,"&gt;"&amp;M13)+(COUNTIFS($B$6:$B$151,B13,$M$6:$M$151,M13)+1)/2,"NA")</x:f>
        <x:v>7.5</x:v>
      </x:c>
      <x:c r="AB13" s="26" t="n">
        <x:f>IF(OR(B13="s3",B13="s6"),COUNTIFS($B$6:$B$151,B13,$O$6:$O$151,"&gt;"&amp;O13)+(COUNTIFS($B$6:$B$151,B13,$O$6:$O$151,O13)+1)/2,"NA")</x:f>
        <x:v>7.5</x:v>
      </x:c>
      <x:c r="AC13" s="26" t="n">
        <x:f>IF(OR(B13="s3",B13="s6"),COUNTIFS($B$6:$B$151,B13,$Q$6:$Q$151,"&gt;"&amp;Q13)+(COUNTIFS($B$6:$B$151,B13,$Q$6:$Q$151,Q13)+1)/2,"NA")</x:f>
        <x:v>7.5</x:v>
      </x:c>
      <x:c r="AD13" s="25" t="n">
        <x:v>69.28107415029994</x:v>
      </x:c>
      <x:c r="AE13" s="25" t="n">
        <x:v>9.5</x:v>
      </x:c>
      <x:c r="AF13" s="25" t="n">
        <x:v>8.5</x:v>
      </x:c>
      <x:c r="AG13" s="25" t="n">
        <x:v>1</x:v>
      </x:c>
    </x:row>
    <x:row r="14" ht="23" customHeight="1">
      <x:c r="A14" s="21" t="str">
        <x:v>2025秋:258888</x:v>
      </x:c>
      <x:c r="B14" s="22" t="str">
        <x:v>s3</x:v>
      </x:c>
      <x:c r="C14" s="24" t="n">
        <x:v>2</x:v>
      </x:c>
      <x:c r="D14" s="24" t="n">
        <x:v>1</x:v>
      </x:c>
      <x:c r="E14" s="29" t="n">
        <x:f>'指标计算'!S30</x:f>
        <x:v>0.5145913774262326</x:v>
      </x:c>
      <x:c r="F14" s="29" t="n">
        <x:f>'指标计算'!T30</x:f>
        <x:v>0.6750965291147923</x:v>
      </x:c>
      <x:c r="G14" s="29" t="n">
        <x:f>'指标计算'!U30</x:f>
        <x:v>0.6750965291147923</x:v>
      </x:c>
      <x:c r="H14" s="29" t="n">
        <x:f>'指标计算'!V30</x:f>
        <x:v>1</x:v>
      </x:c>
      <x:c r="I14" s="30" t="n">
        <x:f>IF(COUNT('总览与权重'!$H$11:$K$11)=4,ROUND(100*SUMPRODUCT(E14:H14,'总览与权重'!$H$11:$K$11),12),"NA")</x:f>
        <x:v>72.441602487379</x:v>
      </x:c>
      <x:c r="J14" s="30" t="n">
        <x:f>IF(ISNUMBER(I14),COUNTIFS($I$6:$I$151,"&gt;"&amp;I14)+(COUNTIFS($I$6:$I$151,I14)+1)/2,"NA")</x:f>
        <x:v>8.5</x:v>
      </x:c>
      <x:c r="K14" s="30" t="n">
        <x:f>IF(COUNT('总览与权重'!$H$12:$K$12)=4,ROUND(100*SUMPRODUCT(E14:H14,'总览与权重'!$H$12:$K$12),12),"NA")</x:f>
        <x:v>70.797619295412</x:v>
      </x:c>
      <x:c r="L14" s="30" t="n">
        <x:f>IF(ISNUMBER(K14),COUNTIFS($K$6:$K$151,"&gt;"&amp;K14)+(COUNTIFS($K$6:$K$151,K14)+1)/2,"NA")</x:f>
        <x:v>9.5</x:v>
      </x:c>
      <x:c r="M14" s="30" t="n">
        <x:f>IF(COUNT('总览与权重'!$H$13:$K$13)=4,ROUND(100*SUMPRODUCT(E14:H14,'总览与权重'!$H$13:$K$13),12),"NA")</x:f>
        <x:v>74.868645600248</x:v>
      </x:c>
      <x:c r="N14" s="30" t="n">
        <x:f>IF(ISNUMBER(M14),COUNTIFS($M$6:$M$151,"&gt;"&amp;M14)+(COUNTIFS($M$6:$M$151,M14)+1)/2,"NA")</x:f>
        <x:v>8.5</x:v>
      </x:c>
      <x:c r="O14" s="30" t="n">
        <x:f>IF(COUNT('总览与权重'!$H$14:$K$14)=4,ROUND(100*SUMPRODUCT(E14:H14,'总览与权重'!$H$14:$K$14),12),"NA")</x:f>
        <x:v>77.211997436376</x:v>
      </x:c>
      <x:c r="P14" s="30" t="n">
        <x:f>IF(ISNUMBER(O14),COUNTIFS($O$6:$O$151,"&gt;"&amp;O14)+(COUNTIFS($O$6:$O$151,O14)+1)/2,"NA")</x:f>
        <x:v>9.5</x:v>
      </x:c>
      <x:c r="Q14" s="30" t="n">
        <x:f>IF(COUNT('总览与权重'!$H$15:$K$15)=4,ROUND(100*SUMPRODUCT(E14:H14,'总览与权重'!$H$15:$K$15),12),"NA")</x:f>
        <x:v>87.826170171859</x:v>
      </x:c>
      <x:c r="R14" s="30" t="n">
        <x:f>IF(ISNUMBER(Q14),COUNTIFS($Q$6:$Q$151,"&gt;"&amp;Q14)+(COUNTIFS($Q$6:$Q$151,Q14)+1)/2,"NA")</x:f>
        <x:v>8.5</x:v>
      </x:c>
      <x:c r="S14" s="31" t="n">
        <x:f>IF(OR(B14="s3",B14="s6"),COUNTIFS($B$6:$B$151,B14,$I$6:$I$151,"&gt;"&amp;I14)+(COUNTIFS($B$6:$B$151,B14,$I$6:$I$151,I14)+1)/2,"NA")</x:f>
        <x:v>7.5</x:v>
      </x:c>
      <x:c r="T14" s="26" t="str">
        <x:f>IF(COUNTIFS($I$6:$I$151,"&gt;"&amp;I14)&gt;=30,"非前20%",IF(COUNTIFS($I$6:$I$151,"&gt;="&amp;I14)&gt;=30,"边界同分","严格前20%"))</x:f>
        <x:v>严格前20%</x:v>
      </x:c>
      <x:c r="U14" s="26" t="str">
        <x:f>IF(COUNTIFS($I$6:$I$151,"&lt;"&amp;I14)&gt;=30,"非后20%",IF(COUNTIFS($I$6:$I$151,"&lt;="&amp;I14)&gt;=30,"边界同分","严格后20%"))</x:f>
        <x:v>非后20%</x:v>
      </x:c>
      <x:c r="V14" s="22" t="n">
        <x:f>'指标计算'!P30</x:f>
        <x:v>0.3501930582295846</x:v>
      </x:c>
      <x:c r="W14" s="22" t="n">
        <x:f>'指标计算'!Q30</x:f>
        <x:v>0.3501930582295846</x:v>
      </x:c>
      <x:c r="X14" s="22" t="str">
        <x:v>["S0190","S0365"]</x:v>
      </x:c>
      <x:c r="Y14" s="22" t="str">
        <x:v>evidence/student_evidence.jsonl；student_key=2025秋:258888</x:v>
      </x:c>
      <x:c r="Z14" s="26" t="n">
        <x:f>IF(OR(B14="s3",B14="s6"),COUNTIFS($B$6:$B$151,B14,$K$6:$K$151,"&gt;"&amp;K14)+(COUNTIFS($B$6:$B$151,B14,$K$6:$K$151,K14)+1)/2,"NA")</x:f>
        <x:v>7.5</x:v>
      </x:c>
      <x:c r="AA14" s="26" t="n">
        <x:f>IF(OR(B14="s3",B14="s6"),COUNTIFS($B$6:$B$151,B14,$M$6:$M$151,"&gt;"&amp;M14)+(COUNTIFS($B$6:$B$151,B14,$M$6:$M$151,M14)+1)/2,"NA")</x:f>
        <x:v>7.5</x:v>
      </x:c>
      <x:c r="AB14" s="26" t="n">
        <x:f>IF(OR(B14="s3",B14="s6"),COUNTIFS($B$6:$B$151,B14,$O$6:$O$151,"&gt;"&amp;O14)+(COUNTIFS($B$6:$B$151,B14,$O$6:$O$151,O14)+1)/2,"NA")</x:f>
        <x:v>7.5</x:v>
      </x:c>
      <x:c r="AC14" s="26" t="n">
        <x:f>IF(OR(B14="s3",B14="s6"),COUNTIFS($B$6:$B$151,B14,$Q$6:$Q$151,"&gt;"&amp;Q14)+(COUNTIFS($B$6:$B$151,B14,$Q$6:$Q$151,Q14)+1)/2,"NA")</x:f>
        <x:v>7.5</x:v>
      </x:c>
      <x:c r="AD14" s="25" t="n">
        <x:v>69.28107415029994</x:v>
      </x:c>
      <x:c r="AE14" s="25" t="n">
        <x:v>9.5</x:v>
      </x:c>
      <x:c r="AF14" s="25" t="n">
        <x:v>8.5</x:v>
      </x:c>
      <x:c r="AG14" s="25" t="n">
        <x:v>1</x:v>
      </x:c>
    </x:row>
    <x:row r="15" ht="23" customHeight="1">
      <x:c r="A15" s="21" t="str">
        <x:v>2025秋:258988</x:v>
      </x:c>
      <x:c r="B15" s="22" t="str">
        <x:v>s3</x:v>
      </x:c>
      <x:c r="C15" s="24" t="n">
        <x:v>1</x:v>
      </x:c>
      <x:c r="D15" s="24" t="n">
        <x:v>1</x:v>
      </x:c>
      <x:c r="E15" s="29" t="n">
        <x:f>'指标计算'!S57</x:f>
        <x:v>0.5144320481231172</x:v>
      </x:c>
      <x:c r="F15" s="29" t="n">
        <x:f>'指标计算'!T57</x:f>
        <x:v>0.673184577477405</x:v>
      </x:c>
      <x:c r="G15" s="29" t="n">
        <x:f>'指标计算'!U57</x:f>
        <x:v>0.673184577477405</x:v>
      </x:c>
      <x:c r="H15" s="29" t="n">
        <x:f>'指标计算'!V57</x:f>
        <x:v>1</x:v>
      </x:c>
      <x:c r="I15" s="30" t="n">
        <x:f>IF(COUNT('总览与权重'!$H$11:$K$11)=4,ROUND(100*SUMPRODUCT(E15:H15,'总览与权重'!$H$11:$K$11),12),"NA")</x:f>
        <x:v>72.36034454279</x:v>
      </x:c>
      <x:c r="J15" s="30" t="n">
        <x:f>IF(ISNUMBER(I15),COUNTIFS($I$6:$I$151,"&gt;"&amp;I15)+(COUNTIFS($I$6:$I$151,I15)+1)/2,"NA")</x:f>
        <x:v>10</x:v>
      </x:c>
      <x:c r="K15" s="30" t="n">
        <x:f>IF(COUNT('总览与权重'!$H$12:$K$12)=4,ROUND(100*SUMPRODUCT(E15:H15,'总览与权重'!$H$12:$K$12),12),"NA")</x:f>
        <x:v>70.679715611107</x:v>
      </x:c>
      <x:c r="L15" s="30" t="n">
        <x:f>IF(ISNUMBER(K15),COUNTIFS($K$6:$K$151,"&gt;"&amp;K15)+(COUNTIFS($K$6:$K$151,K15)+1)/2,"NA")</x:f>
        <x:v>11</x:v>
      </x:c>
      <x:c r="M15" s="30" t="n">
        <x:f>IF(COUNT('总览与权重'!$H$13:$K$13)=4,ROUND(100*SUMPRODUCT(E15:H15,'总览与权重'!$H$13:$K$13),12),"NA")</x:f>
        <x:v>74.788184302174</x:v>
      </x:c>
      <x:c r="N15" s="30" t="n">
        <x:f>IF(ISNUMBER(M15),COUNTIFS($M$6:$M$151,"&gt;"&amp;M15)+(COUNTIFS($M$6:$M$151,M15)+1)/2,"NA")</x:f>
        <x:v>10</x:v>
      </x:c>
      <x:c r="O15" s="30" t="n">
        <x:f>IF(COUNT('总览与权重'!$H$14:$K$14)=4,ROUND(100*SUMPRODUCT(E15:H15,'总览与权重'!$H$14:$K$14),12),"NA")</x:f>
        <x:v>77.078649570417</x:v>
      </x:c>
      <x:c r="P15" s="30" t="n">
        <x:f>IF(ISNUMBER(O15),COUNTIFS($O$6:$O$151,"&gt;"&amp;O15)+(COUNTIFS($O$6:$O$151,O15)+1)/2,"NA")</x:f>
        <x:v>11</x:v>
      </x:c>
      <x:c r="Q15" s="30" t="n">
        <x:f>IF(COUNT('总览与权重'!$H$15:$K$15)=4,ROUND(100*SUMPRODUCT(E15:H15,'总览与权重'!$H$15:$K$15),12),"NA")</x:f>
        <x:v>87.754932939741</x:v>
      </x:c>
      <x:c r="R15" s="30" t="n">
        <x:f>IF(ISNUMBER(Q15),COUNTIFS($Q$6:$Q$151,"&gt;"&amp;Q15)+(COUNTIFS($Q$6:$Q$151,Q15)+1)/2,"NA")</x:f>
        <x:v>10</x:v>
      </x:c>
      <x:c r="S15" s="31" t="n">
        <x:f>IF(OR(B15="s3",B15="s6"),COUNTIFS($B$6:$B$151,B15,$I$6:$I$151,"&gt;"&amp;I15)+(COUNTIFS($B$6:$B$151,B15,$I$6:$I$151,I15)+1)/2,"NA")</x:f>
        <x:v>9</x:v>
      </x:c>
      <x:c r="T15" s="26" t="str">
        <x:f>IF(COUNTIFS($I$6:$I$151,"&gt;"&amp;I15)&gt;=30,"非前20%",IF(COUNTIFS($I$6:$I$151,"&gt;="&amp;I15)&gt;=30,"边界同分","严格前20%"))</x:f>
        <x:v>严格前20%</x:v>
      </x:c>
      <x:c r="U15" s="26" t="str">
        <x:f>IF(COUNTIFS($I$6:$I$151,"&lt;"&amp;I15)&gt;=30,"非后20%",IF(COUNTIFS($I$6:$I$151,"&lt;="&amp;I15)&gt;=30,"边界同分","严格后20%"))</x:f>
        <x:v>非后20%</x:v>
      </x:c>
      <x:c r="V15" s="22" t="n">
        <x:f>'指标计算'!P57</x:f>
        <x:v>0.34636915495481013</x:v>
      </x:c>
      <x:c r="W15" s="22" t="n">
        <x:f>'指标计算'!Q57</x:f>
        <x:v>0.34636915495481013</x:v>
      </x:c>
      <x:c r="X15" s="22" t="str">
        <x:v>["S0315"]</x:v>
      </x:c>
      <x:c r="Y15" s="22" t="str">
        <x:v>evidence/student_evidence.jsonl；student_key=2025秋:258988</x:v>
      </x:c>
      <x:c r="Z15" s="26" t="n">
        <x:f>IF(OR(B15="s3",B15="s6"),COUNTIFS($B$6:$B$151,B15,$K$6:$K$151,"&gt;"&amp;K15)+(COUNTIFS($B$6:$B$151,B15,$K$6:$K$151,K15)+1)/2,"NA")</x:f>
        <x:v>9</x:v>
      </x:c>
      <x:c r="AA15" s="26" t="n">
        <x:f>IF(OR(B15="s3",B15="s6"),COUNTIFS($B$6:$B$151,B15,$M$6:$M$151,"&gt;"&amp;M15)+(COUNTIFS($B$6:$B$151,B15,$M$6:$M$151,M15)+1)/2,"NA")</x:f>
        <x:v>9</x:v>
      </x:c>
      <x:c r="AB15" s="26" t="n">
        <x:f>IF(OR(B15="s3",B15="s6"),COUNTIFS($B$6:$B$151,B15,$O$6:$O$151,"&gt;"&amp;O15)+(COUNTIFS($B$6:$B$151,B15,$O$6:$O$151,O15)+1)/2,"NA")</x:f>
        <x:v>9</x:v>
      </x:c>
      <x:c r="AC15" s="26" t="n">
        <x:f>IF(OR(B15="s3",B15="s6"),COUNTIFS($B$6:$B$151,B15,$Q$6:$Q$151,"&gt;"&amp;Q15)+(COUNTIFS($B$6:$B$151,B15,$Q$6:$Q$151,Q15)+1)/2,"NA")</x:f>
        <x:v>9</x:v>
      </x:c>
      <x:c r="AD15" s="25" t="n">
        <x:v>69.20047123456482</x:v>
      </x:c>
      <x:c r="AE15" s="25" t="n">
        <x:v>11</x:v>
      </x:c>
      <x:c r="AF15" s="25" t="n">
        <x:v>10</x:v>
      </x:c>
      <x:c r="AG15" s="25" t="n">
        <x:v>1</x:v>
      </x:c>
    </x:row>
    <x:row r="16" ht="23" customHeight="1">
      <x:c r="A16" s="21" t="str">
        <x:v>2025秋:259044</x:v>
      </x:c>
      <x:c r="B16" s="22" t="str">
        <x:v>s3</x:v>
      </x:c>
      <x:c r="C16" s="24" t="n">
        <x:v>1</x:v>
      </x:c>
      <x:c r="D16" s="24" t="n">
        <x:v>1</x:v>
      </x:c>
      <x:c r="E16" s="29" t="n">
        <x:f>'指标计算'!S69</x:f>
        <x:v>0.5143604799517841</x:v>
      </x:c>
      <x:c r="F16" s="29" t="n">
        <x:f>'指标计算'!T69</x:f>
        <x:v>0.6723257594214089</x:v>
      </x:c>
      <x:c r="G16" s="29" t="n">
        <x:f>'指标计算'!U69</x:f>
        <x:v>0.6723257594214089</x:v>
      </x:c>
      <x:c r="H16" s="29" t="n">
        <x:f>'指标计算'!V69</x:f>
        <x:v>1</x:v>
      </x:c>
      <x:c r="I16" s="30" t="n">
        <x:f>IF(COUNT('总览与权重'!$H$11:$K$11)=4,ROUND(100*SUMPRODUCT(E16:H16,'总览与权重'!$H$11:$K$11),12),"NA")</x:f>
        <x:v>72.32384477541</x:v>
      </x:c>
      <x:c r="J16" s="30" t="n">
        <x:f>IF(ISNUMBER(I16),COUNTIFS($I$6:$I$151,"&gt;"&amp;I16)+(COUNTIFS($I$6:$I$151,I16)+1)/2,"NA")</x:f>
        <x:v>11</x:v>
      </x:c>
      <x:c r="K16" s="30" t="n">
        <x:f>IF(COUNT('总览与权重'!$H$12:$K$12)=4,ROUND(100*SUMPRODUCT(E16:H16,'总览与权重'!$H$12:$K$12),12),"NA")</x:f>
        <x:v>70.62675516432</x:v>
      </x:c>
      <x:c r="L16" s="30" t="n">
        <x:f>IF(ISNUMBER(K16),COUNTIFS($K$6:$K$151,"&gt;"&amp;K16)+(COUNTIFS($K$6:$K$151,K16)+1)/2,"NA")</x:f>
        <x:v>12</x:v>
      </x:c>
      <x:c r="M16" s="30" t="n">
        <x:f>IF(COUNT('总览与权重'!$H$13:$K$13)=4,ROUND(100*SUMPRODUCT(E16:H16,'总览与权重'!$H$13:$K$13),12),"NA")</x:f>
        <x:v>74.752042375651</x:v>
      </x:c>
      <x:c r="N16" s="30" t="n">
        <x:f>IF(ISNUMBER(M16),COUNTIFS($M$6:$M$151,"&gt;"&amp;M16)+(COUNTIFS($M$6:$M$151,M16)+1)/2,"NA")</x:f>
        <x:v>11</x:v>
      </x:c>
      <x:c r="O16" s="30" t="n">
        <x:f>IF(COUNT('总览与权重'!$H$14:$K$14)=4,ROUND(100*SUMPRODUCT(E16:H16,'总览与权重'!$H$14:$K$14),12),"NA")</x:f>
        <x:v>77.018751844567</x:v>
      </x:c>
      <x:c r="P16" s="30" t="n">
        <x:f>IF(ISNUMBER(O16),COUNTIFS($O$6:$O$151,"&gt;"&amp;O16)+(COUNTIFS($O$6:$O$151,O16)+1)/2,"NA")</x:f>
        <x:v>12</x:v>
      </x:c>
      <x:c r="Q16" s="30" t="n">
        <x:f>IF(COUNT('总览与权重'!$H$15:$K$15)=4,ROUND(100*SUMPRODUCT(E16:H16,'总览与权重'!$H$15:$K$15),12),"NA")</x:f>
        <x:v>87.722934315923</x:v>
      </x:c>
      <x:c r="R16" s="30" t="n">
        <x:f>IF(ISNUMBER(Q16),COUNTIFS($Q$6:$Q$151,"&gt;"&amp;Q16)+(COUNTIFS($Q$6:$Q$151,Q16)+1)/2,"NA")</x:f>
        <x:v>11</x:v>
      </x:c>
      <x:c r="S16" s="31" t="n">
        <x:f>IF(OR(B16="s3",B16="s6"),COUNTIFS($B$6:$B$151,B16,$I$6:$I$151,"&gt;"&amp;I16)+(COUNTIFS($B$6:$B$151,B16,$I$6:$I$151,I16)+1)/2,"NA")</x:f>
        <x:v>10</x:v>
      </x:c>
      <x:c r="T16" s="26" t="str">
        <x:f>IF(COUNTIFS($I$6:$I$151,"&gt;"&amp;I16)&gt;=30,"非前20%",IF(COUNTIFS($I$6:$I$151,"&gt;="&amp;I16)&gt;=30,"边界同分","严格前20%"))</x:f>
        <x:v>严格前20%</x:v>
      </x:c>
      <x:c r="U16" s="26" t="str">
        <x:f>IF(COUNTIFS($I$6:$I$151,"&lt;"&amp;I16)&gt;=30,"非后20%",IF(COUNTIFS($I$6:$I$151,"&lt;="&amp;I16)&gt;=30,"边界同分","严格后20%"))</x:f>
        <x:v>非后20%</x:v>
      </x:c>
      <x:c r="V16" s="22" t="n">
        <x:f>'指标计算'!P69</x:f>
        <x:v>0.34465151884281786</x:v>
      </x:c>
      <x:c r="W16" s="22" t="n">
        <x:f>'指标计算'!Q69</x:f>
        <x:v>0.34465151884281786</x:v>
      </x:c>
      <x:c r="X16" s="22" t="str">
        <x:v>["S0074"]</x:v>
      </x:c>
      <x:c r="Y16" s="22" t="str">
        <x:v>evidence/student_evidence.jsonl；student_key=2025秋:259044</x:v>
      </x:c>
      <x:c r="Z16" s="26" t="n">
        <x:f>IF(OR(B16="s3",B16="s6"),COUNTIFS($B$6:$B$151,B16,$K$6:$K$151,"&gt;"&amp;K16)+(COUNTIFS($B$6:$B$151,B16,$K$6:$K$151,K16)+1)/2,"NA")</x:f>
        <x:v>10</x:v>
      </x:c>
      <x:c r="AA16" s="26" t="n">
        <x:f>IF(OR(B16="s3",B16="s6"),COUNTIFS($B$6:$B$151,B16,$M$6:$M$151,"&gt;"&amp;M16)+(COUNTIFS($B$6:$B$151,B16,$M$6:$M$151,M16)+1)/2,"NA")</x:f>
        <x:v>10</x:v>
      </x:c>
      <x:c r="AB16" s="26" t="n">
        <x:f>IF(OR(B16="s3",B16="s6"),COUNTIFS($B$6:$B$151,B16,$O$6:$O$151,"&gt;"&amp;O16)+(COUNTIFS($B$6:$B$151,B16,$O$6:$O$151,O16)+1)/2,"NA")</x:f>
        <x:v>10</x:v>
      </x:c>
      <x:c r="AC16" s="26" t="n">
        <x:f>IF(OR(B16="s3",B16="s6"),COUNTIFS($B$6:$B$151,B16,$Q$6:$Q$151,"&gt;"&amp;Q16)+(COUNTIFS($B$6:$B$151,B16,$Q$6:$Q$151,Q16)+1)/2,"NA")</x:f>
        <x:v>10</x:v>
      </x:c>
      <x:c r="AD16" s="25" t="n">
        <x:v>69.16331643833114</x:v>
      </x:c>
      <x:c r="AE16" s="25" t="n">
        <x:v>12</x:v>
      </x:c>
      <x:c r="AF16" s="25" t="n">
        <x:v>11</x:v>
      </x:c>
      <x:c r="AG16" s="25" t="n">
        <x:v>1</x:v>
      </x:c>
    </x:row>
    <x:row r="17" ht="23" customHeight="1">
      <x:c r="A17" s="21" t="str">
        <x:v>2025秋:258430</x:v>
      </x:c>
      <x:c r="B17" s="22" t="str">
        <x:v>s3</x:v>
      </x:c>
      <x:c r="C17" s="24" t="n">
        <x:v>1</x:v>
      </x:c>
      <x:c r="D17" s="24" t="n">
        <x:v>1</x:v>
      </x:c>
      <x:c r="E17" s="29" t="n">
        <x:f>'指标计算'!S14</x:f>
        <x:v>0.511315199995326</x:v>
      </x:c>
      <x:c r="F17" s="29" t="n">
        <x:f>'指标计算'!T14</x:f>
        <x:v>0.6697279999298902</x:v>
      </x:c>
      <x:c r="G17" s="29" t="n">
        <x:f>'指标计算'!U14</x:f>
        <x:v>0.6697279999298902</x:v>
      </x:c>
      <x:c r="H17" s="29" t="n">
        <x:f>'指标计算'!V14</x:f>
        <x:v>1</x:v>
      </x:c>
      <x:c r="I17" s="30" t="n">
        <x:f>IF(COUNT('总览与权重'!$H$11:$K$11)=4,ROUND(100*SUMPRODUCT(E17:H17,'总览与权重'!$H$11:$K$11),12),"NA")</x:f>
        <x:v>72.128575997055</x:v>
      </x:c>
      <x:c r="J17" s="30" t="n">
        <x:f>IF(ISNUMBER(I17),COUNTIFS($I$6:$I$151,"&gt;"&amp;I17)+(COUNTIFS($I$6:$I$151,I17)+1)/2,"NA")</x:f>
        <x:v>12</x:v>
      </x:c>
      <x:c r="K17" s="30" t="n">
        <x:f>IF(COUNT('总览与权重'!$H$12:$K$12)=4,ROUND(100*SUMPRODUCT(E17:H17,'总览与权重'!$H$12:$K$12),12),"NA")</x:f>
        <x:v>70.4099839957</x:v>
      </x:c>
      <x:c r="L17" s="30" t="n">
        <x:f>IF(ISNUMBER(K17),COUNTIFS($K$6:$K$151,"&gt;"&amp;K17)+(COUNTIFS($K$6:$K$151,K17)+1)/2,"NA")</x:f>
        <x:v>13</x:v>
      </x:c>
      <x:c r="M17" s="30" t="n">
        <x:f>IF(COUNT('总览与权重'!$H$13:$K$13)=4,ROUND(100*SUMPRODUCT(E17:H17,'总览与权重'!$H$13:$K$13),12),"NA")</x:f>
        <x:v>74.571999997079</x:v>
      </x:c>
      <x:c r="N17" s="30" t="n">
        <x:f>IF(ISNUMBER(M17),COUNTIFS($M$6:$M$151,"&gt;"&amp;M17)+(COUNTIFS($M$6:$M$151,M17)+1)/2,"NA")</x:f>
        <x:v>12</x:v>
      </x:c>
      <x:c r="O17" s="30" t="n">
        <x:f>IF(COUNT('总览与权重'!$H$14:$K$14)=4,ROUND(100*SUMPRODUCT(E17:H17,'总览与权重'!$H$14:$K$14),12),"NA")</x:f>
        <x:v>76.83678388144</x:v>
      </x:c>
      <x:c r="P17" s="30" t="n">
        <x:f>IF(ISNUMBER(O17),COUNTIFS($O$6:$O$151,"&gt;"&amp;O17)+(COUNTIFS($O$6:$O$151,O17)+1)/2,"NA")</x:f>
        <x:v>13</x:v>
      </x:c>
      <x:c r="Q17" s="30" t="n">
        <x:f>IF(COUNT('总览与权重'!$H$15:$K$15)=4,ROUND(100*SUMPRODUCT(E17:H17,'总览与权重'!$H$15:$K$15),12),"NA")</x:f>
        <x:v>87.625723206213</x:v>
      </x:c>
      <x:c r="R17" s="30" t="n">
        <x:f>IF(ISNUMBER(Q17),COUNTIFS($Q$6:$Q$151,"&gt;"&amp;Q17)+(COUNTIFS($Q$6:$Q$151,Q17)+1)/2,"NA")</x:f>
        <x:v>12</x:v>
      </x:c>
      <x:c r="S17" s="31" t="n">
        <x:f>IF(OR(B17="s3",B17="s6"),COUNTIFS($B$6:$B$151,B17,$I$6:$I$151,"&gt;"&amp;I17)+(COUNTIFS($B$6:$B$151,B17,$I$6:$I$151,I17)+1)/2,"NA")</x:f>
        <x:v>11</x:v>
      </x:c>
      <x:c r="T17" s="26" t="str">
        <x:f>IF(COUNTIFS($I$6:$I$151,"&gt;"&amp;I17)&gt;=30,"非前20%",IF(COUNTIFS($I$6:$I$151,"&gt;="&amp;I17)&gt;=30,"边界同分","严格前20%"))</x:f>
        <x:v>严格前20%</x:v>
      </x:c>
      <x:c r="U17" s="26" t="str">
        <x:f>IF(COUNTIFS($I$6:$I$151,"&lt;"&amp;I17)&gt;=30,"非后20%",IF(COUNTIFS($I$6:$I$151,"&lt;="&amp;I17)&gt;=30,"边界同分","严格后20%"))</x:f>
        <x:v>非后20%</x:v>
      </x:c>
      <x:c r="V17" s="22" t="n">
        <x:f>'指标计算'!P14</x:f>
        <x:v>0.2715647998878244</x:v>
      </x:c>
      <x:c r="W17" s="22" t="n">
        <x:f>'指标计算'!Q14</x:f>
        <x:v>0.3394559998597805</x:v>
      </x:c>
      <x:c r="X17" s="22" t="str">
        <x:v>["S0052"]</x:v>
      </x:c>
      <x:c r="Y17" s="22" t="str">
        <x:v>evidence/student_evidence.jsonl；student_key=2025秋:258430</x:v>
      </x:c>
      <x:c r="Z17" s="26" t="n">
        <x:f>IF(OR(B17="s3",B17="s6"),COUNTIFS($B$6:$B$151,B17,$K$6:$K$151,"&gt;"&amp;K17)+(COUNTIFS($B$6:$B$151,B17,$K$6:$K$151,K17)+1)/2,"NA")</x:f>
        <x:v>11</x:v>
      </x:c>
      <x:c r="AA17" s="26" t="n">
        <x:f>IF(OR(B17="s3",B17="s6"),COUNTIFS($B$6:$B$151,B17,$M$6:$M$151,"&gt;"&amp;M17)+(COUNTIFS($B$6:$B$151,B17,$M$6:$M$151,M17)+1)/2,"NA")</x:f>
        <x:v>11</x:v>
      </x:c>
      <x:c r="AB17" s="26" t="n">
        <x:f>IF(OR(B17="s3",B17="s6"),COUNTIFS($B$6:$B$151,B17,$O$6:$O$151,"&gt;"&amp;O17)+(COUNTIFS($B$6:$B$151,B17,$O$6:$O$151,O17)+1)/2,"NA")</x:f>
        <x:v>11</x:v>
      </x:c>
      <x:c r="AC17" s="26" t="n">
        <x:f>IF(OR(B17="s3",B17="s6"),COUNTIFS($B$6:$B$151,B17,$Q$6:$Q$151,"&gt;"&amp;Q17)+(COUNTIFS($B$6:$B$151,B17,$Q$6:$Q$151,Q17)+1)/2,"NA")</x:f>
        <x:v>11</x:v>
      </x:c>
      <x:c r="AD17" s="25" t="n">
        <x:v>70.03925244226336</x:v>
      </x:c>
      <x:c r="AE17" s="25" t="n">
        <x:v>2</x:v>
      </x:c>
      <x:c r="AF17" s="25" t="n">
        <x:v>1</x:v>
      </x:c>
      <x:c r="AG17" s="25" t="n">
        <x:v>-10</x:v>
      </x:c>
    </x:row>
    <x:row r="18" ht="23" customHeight="1">
      <x:c r="A18" s="21" t="str">
        <x:v>2025秋:258858</x:v>
      </x:c>
      <x:c r="B18" s="22" t="str">
        <x:v>s3</x:v>
      </x:c>
      <x:c r="C18" s="24" t="n">
        <x:v>2</x:v>
      </x:c>
      <x:c r="D18" s="24" t="n">
        <x:v>2</x:v>
      </x:c>
      <x:c r="E18" s="29" t="n">
        <x:f>'指标计算'!S23</x:f>
        <x:v>0.5202304159885335</x:v>
      </x:c>
      <x:c r="F18" s="29" t="n">
        <x:f>'指标计算'!T23</x:f>
        <x:v>0.6348694399235567</x:v>
      </x:c>
      <x:c r="G18" s="29" t="n">
        <x:f>'指标计算'!U23</x:f>
        <x:v>0.6515951531006205</x:v>
      </x:c>
      <x:c r="H18" s="29" t="n">
        <x:f>'指标计算'!V23</x:f>
        <x:v>1</x:v>
      </x:c>
      <x:c r="I18" s="30" t="n">
        <x:f>IF(COUNT('总览与权重'!$H$11:$K$11)=4,ROUND(100*SUMPRODUCT(E18:H18,'总览与权重'!$H$11:$K$11),12),"NA")</x:f>
        <x:v>71.252575774254</x:v>
      </x:c>
      <x:c r="J18" s="30" t="n">
        <x:f>IF(ISNUMBER(I18),COUNTIFS($I$6:$I$151,"&gt;"&amp;I18)+(COUNTIFS($I$6:$I$151,I18)+1)/2,"NA")</x:f>
        <x:v>13</x:v>
      </x:c>
      <x:c r="K18" s="30" t="n">
        <x:f>IF(COUNT('总览与权重'!$H$12:$K$12)=4,ROUND(100*SUMPRODUCT(E18:H18,'总览与权重'!$H$12:$K$12),12),"NA")</x:f>
        <x:v>69.165803242267</x:v>
      </x:c>
      <x:c r="L18" s="30" t="n">
        <x:f>IF(ISNUMBER(K18),COUNTIFS($K$6:$K$151,"&gt;"&amp;K18)+(COUNTIFS($K$6:$K$151,K18)+1)/2,"NA")</x:f>
        <x:v>15</x:v>
      </x:c>
      <x:c r="M18" s="30" t="n">
        <x:f>IF(COUNT('总览与权重'!$H$13:$K$13)=4,ROUND(100*SUMPRODUCT(E18:H18,'总览与权重'!$H$13:$K$13),12),"NA")</x:f>
        <x:v>73.567795128426</x:v>
      </x:c>
      <x:c r="N18" s="30" t="n">
        <x:f>IF(ISNUMBER(M18),COUNTIFS($M$6:$M$151,"&gt;"&amp;M18)+(COUNTIFS($M$6:$M$151,M18)+1)/2,"NA")</x:f>
        <x:v>13</x:v>
      </x:c>
      <x:c r="O18" s="30" t="n">
        <x:f>IF(COUNT('总览与权重'!$H$14:$K$14)=4,ROUND(100*SUMPRODUCT(E18:H18,'总览与权重'!$H$14:$K$14),12),"NA")</x:f>
        <x:v>74.994541430176</x:v>
      </x:c>
      <x:c r="P18" s="30" t="n">
        <x:f>IF(ISNUMBER(O18),COUNTIFS($O$6:$O$151,"&gt;"&amp;O18)+(COUNTIFS($O$6:$O$151,O18)+1)/2,"NA")</x:f>
        <x:v>14</x:v>
      </x:c>
      <x:c r="Q18" s="30" t="n">
        <x:f>IF(COUNT('总览与权重'!$H$15:$K$15)=4,ROUND(100*SUMPRODUCT(E18:H18,'总览与权重'!$H$15:$K$15),12),"NA")</x:f>
        <x:v>86.641558576547</x:v>
      </x:c>
      <x:c r="R18" s="30" t="n">
        <x:f>IF(ISNUMBER(Q18),COUNTIFS($Q$6:$Q$151,"&gt;"&amp;Q18)+(COUNTIFS($Q$6:$Q$151,Q18)+1)/2,"NA")</x:f>
        <x:v>13</x:v>
      </x:c>
      <x:c r="S18" s="31" t="n">
        <x:f>IF(OR(B18="s3",B18="s6"),COUNTIFS($B$6:$B$151,B18,$I$6:$I$151,"&gt;"&amp;I18)+(COUNTIFS($B$6:$B$151,B18,$I$6:$I$151,I18)+1)/2,"NA")</x:f>
        <x:v>12</x:v>
      </x:c>
      <x:c r="T18" s="26" t="str">
        <x:f>IF(COUNTIFS($I$6:$I$151,"&gt;"&amp;I18)&gt;=30,"非前20%",IF(COUNTIFS($I$6:$I$151,"&gt;="&amp;I18)&gt;=30,"边界同分","严格前20%"))</x:f>
        <x:v>严格前20%</x:v>
      </x:c>
      <x:c r="U18" s="26" t="str">
        <x:f>IF(COUNTIFS($I$6:$I$151,"&lt;"&amp;I18)&gt;=30,"非后20%",IF(COUNTIFS($I$6:$I$151,"&lt;="&amp;I18)&gt;=30,"边界同分","严格后20%"))</x:f>
        <x:v>非后20%</x:v>
      </x:c>
      <x:c r="V18" s="22" t="n">
        <x:f>'指标计算'!P23</x:f>
        <x:v>0.48552998372480427</x:v>
      </x:c>
      <x:c r="W18" s="22" t="n">
        <x:f>'指标计算'!Q23</x:f>
        <x:v>0.2697388798471135</x:v>
      </x:c>
      <x:c r="X18" s="22" t="str">
        <x:v>["S0103","S0232"]</x:v>
      </x:c>
      <x:c r="Y18" s="22" t="str">
        <x:v>evidence/student_evidence.jsonl；student_key=2025秋:258858</x:v>
      </x:c>
      <x:c r="Z18" s="26" t="n">
        <x:f>IF(OR(B18="s3",B18="s6"),COUNTIFS($B$6:$B$151,B18,$K$6:$K$151,"&gt;"&amp;K18)+(COUNTIFS($B$6:$B$151,B18,$K$6:$K$151,K18)+1)/2,"NA")</x:f>
        <x:v>12</x:v>
      </x:c>
      <x:c r="AA18" s="26" t="n">
        <x:f>IF(OR(B18="s3",B18="s6"),COUNTIFS($B$6:$B$151,B18,$M$6:$M$151,"&gt;"&amp;M18)+(COUNTIFS($B$6:$B$151,B18,$M$6:$M$151,M18)+1)/2,"NA")</x:f>
        <x:v>12</x:v>
      </x:c>
      <x:c r="AB18" s="26" t="n">
        <x:f>IF(OR(B18="s3",B18="s6"),COUNTIFS($B$6:$B$151,B18,$O$6:$O$151,"&gt;"&amp;O18)+(COUNTIFS($B$6:$B$151,B18,$O$6:$O$151,O18)+1)/2,"NA")</x:f>
        <x:v>12</x:v>
      </x:c>
      <x:c r="AC18" s="26" t="n">
        <x:f>IF(OR(B18="s3",B18="s6"),COUNTIFS($B$6:$B$151,B18,$Q$6:$Q$151,"&gt;"&amp;Q18)+(COUNTIFS($B$6:$B$151,B18,$Q$6:$Q$151,Q18)+1)/2,"NA")</x:f>
        <x:v>12</x:v>
      </x:c>
      <x:c r="AD18" s="25" t="n">
        <x:v>68.59811701690064</x:v>
      </x:c>
      <x:c r="AE18" s="25" t="n">
        <x:v>13</x:v>
      </x:c>
      <x:c r="AF18" s="25" t="n">
        <x:v>12</x:v>
      </x:c>
      <x:c r="AG18" s="25" t="n">
        <x:v>0</x:v>
      </x:c>
    </x:row>
    <x:row r="19" ht="23" customHeight="1">
      <x:c r="A19" s="21" t="str">
        <x:v>2025秋:259112</x:v>
      </x:c>
      <x:c r="B19" s="22" t="str">
        <x:v>s3</x:v>
      </x:c>
      <x:c r="C19" s="24" t="n">
        <x:v>1</x:v>
      </x:c>
      <x:c r="D19" s="24" t="n">
        <x:v>1</x:v>
      </x:c>
      <x:c r="E19" s="29" t="n">
        <x:f>'指标计算'!S77</x:f>
        <x:v>0.510210503771432</x:v>
      </x:c>
      <x:c r="F19" s="29" t="n">
        <x:f>'指标计算'!T77</x:f>
        <x:v>0.6225260452571836</x:v>
      </x:c>
      <x:c r="G19" s="29" t="n">
        <x:f>'指标计算'!U77</x:f>
        <x:v>0.6225260452571836</x:v>
      </x:c>
      <x:c r="H19" s="29" t="n">
        <x:f>'指标计算'!V77</x:f>
        <x:v>1</x:v>
      </x:c>
      <x:c r="I19" s="30" t="n">
        <x:f>IF(COUNT('总览与权重'!$H$11:$K$11)=4,ROUND(100*SUMPRODUCT(E19:H19,'总览与权重'!$H$11:$K$11),12),"NA")</x:f>
        <x:v>70.20735692343</x:v>
      </x:c>
      <x:c r="J19" s="30" t="n">
        <x:f>IF(ISNUMBER(I19),COUNTIFS($I$6:$I$151,"&gt;"&amp;I19)+(COUNTIFS($I$6:$I$151,I19)+1)/2,"NA")</x:f>
        <x:v>14.5</x:v>
      </x:c>
      <x:c r="K19" s="30" t="n">
        <x:f>IF(COUNT('总览与权重'!$H$12:$K$12)=4,ROUND(100*SUMPRODUCT(E19:H19,'总览与权重'!$H$12:$K$12),12),"NA")</x:f>
        <x:v>67.55577279086</x:v>
      </x:c>
      <x:c r="L19" s="30" t="n">
        <x:f>IF(ISNUMBER(K19),COUNTIFS($K$6:$K$151,"&gt;"&amp;K19)+(COUNTIFS($K$6:$K$151,K19)+1)/2,"NA")</x:f>
        <x:v>17.5</x:v>
      </x:c>
      <x:c r="M19" s="30" t="n">
        <x:f>IF(COUNT('总览与权重'!$H$13:$K$13)=4,ROUND(100*SUMPRODUCT(E19:H19,'总览与权重'!$H$13:$K$13),12),"NA")</x:f>
        <x:v>72.656304404573</x:v>
      </x:c>
      <x:c r="N19" s="30" t="n">
        <x:f>IF(ISNUMBER(M19),COUNTIFS($M$6:$M$151,"&gt;"&amp;M19)+(COUNTIFS($M$6:$M$151,M19)+1)/2,"NA")</x:f>
        <x:v>14.5</x:v>
      </x:c>
      <x:c r="O19" s="30" t="n">
        <x:f>IF(COUNT('总览与权重'!$H$14:$K$14)=4,ROUND(100*SUMPRODUCT(E19:H19,'总览与权重'!$H$14:$K$14),12),"NA")</x:f>
        <x:v>73.545502061832</x:v>
      </x:c>
      <x:c r="P19" s="30" t="n">
        <x:f>IF(ISNUMBER(O19),COUNTIFS($O$6:$O$151,"&gt;"&amp;O19)+(COUNTIFS($O$6:$O$151,O19)+1)/2,"NA")</x:f>
        <x:v>15.5</x:v>
      </x:c>
      <x:c r="Q19" s="30" t="n">
        <x:f>IF(COUNT('总览与权重'!$H$15:$K$15)=4,ROUND(100*SUMPRODUCT(E19:H19,'总览与权重'!$H$15:$K$15),12),"NA")</x:f>
        <x:v>85.8674512964</x:v>
      </x:c>
      <x:c r="R19" s="30" t="n">
        <x:f>IF(ISNUMBER(Q19),COUNTIFS($Q$6:$Q$151,"&gt;"&amp;Q19)+(COUNTIFS($Q$6:$Q$151,Q19)+1)/2,"NA")</x:f>
        <x:v>14.5</x:v>
      </x:c>
      <x:c r="S19" s="31" t="n">
        <x:f>IF(OR(B19="s3",B19="s6"),COUNTIFS($B$6:$B$151,B19,$I$6:$I$151,"&gt;"&amp;I19)+(COUNTIFS($B$6:$B$151,B19,$I$6:$I$151,I19)+1)/2,"NA")</x:f>
        <x:v>13.5</x:v>
      </x:c>
      <x:c r="T19" s="26" t="str">
        <x:f>IF(COUNTIFS($I$6:$I$151,"&gt;"&amp;I19)&gt;=30,"非前20%",IF(COUNTIFS($I$6:$I$151,"&gt;="&amp;I19)&gt;=30,"边界同分","严格前20%"))</x:f>
        <x:v>严格前20%</x:v>
      </x:c>
      <x:c r="U19" s="26" t="str">
        <x:f>IF(COUNTIFS($I$6:$I$151,"&lt;"&amp;I19)&gt;=30,"非后20%",IF(COUNTIFS($I$6:$I$151,"&lt;="&amp;I19)&gt;=30,"边界同分","严格后20%"))</x:f>
        <x:v>非后20%</x:v>
      </x:c>
      <x:c r="V19" s="22" t="n">
        <x:f>'指标计算'!P77</x:f>
        <x:v>0.24505209051436724</x:v>
      </x:c>
      <x:c r="W19" s="22" t="n">
        <x:f>'指标计算'!Q77</x:f>
        <x:v>0.24505209051436724</x:v>
      </x:c>
      <x:c r="X19" s="22" t="str">
        <x:v>["S0204"]</x:v>
      </x:c>
      <x:c r="Y19" s="22" t="str">
        <x:v>evidence/student_evidence.jsonl；student_key=2025秋:259112</x:v>
      </x:c>
      <x:c r="Z19" s="26" t="n">
        <x:f>IF(OR(B19="s3",B19="s6"),COUNTIFS($B$6:$B$151,B19,$K$6:$K$151,"&gt;"&amp;K19)+(COUNTIFS($B$6:$B$151,B19,$K$6:$K$151,K19)+1)/2,"NA")</x:f>
        <x:v>14.5</x:v>
      </x:c>
      <x:c r="AA19" s="26" t="n">
        <x:f>IF(OR(B19="s3",B19="s6"),COUNTIFS($B$6:$B$151,B19,$M$6:$M$151,"&gt;"&amp;M19)+(COUNTIFS($B$6:$B$151,B19,$M$6:$M$151,M19)+1)/2,"NA")</x:f>
        <x:v>13.5</x:v>
      </x:c>
      <x:c r="AB19" s="26" t="n">
        <x:f>IF(OR(B19="s3",B19="s6"),COUNTIFS($B$6:$B$151,B19,$O$6:$O$151,"&gt;"&amp;O19)+(COUNTIFS($B$6:$B$151,B19,$O$6:$O$151,O19)+1)/2,"NA")</x:f>
        <x:v>13.5</x:v>
      </x:c>
      <x:c r="AC19" s="26" t="n">
        <x:f>IF(OR(B19="s3",B19="s6"),COUNTIFS($B$6:$B$151,B19,$Q$6:$Q$151,"&gt;"&amp;Q19)+(COUNTIFS($B$6:$B$151,B19,$Q$6:$Q$151,Q19)+1)/2,"NA")</x:f>
        <x:v>13.5</x:v>
      </x:c>
      <x:c r="AD19" s="25" t="n">
        <x:v>67.04682858635155</x:v>
      </x:c>
      <x:c r="AE19" s="25" t="n">
        <x:v>17.5</x:v>
      </x:c>
      <x:c r="AF19" s="25" t="n">
        <x:v>16.5</x:v>
      </x:c>
      <x:c r="AG19" s="25" t="n">
        <x:v>3</x:v>
      </x:c>
    </x:row>
    <x:row r="20" ht="23" customHeight="1">
      <x:c r="A20" s="21" t="str">
        <x:v>2026春:268183</x:v>
      </x:c>
      <x:c r="B20" s="22" t="str">
        <x:v>s3</x:v>
      </x:c>
      <x:c r="C20" s="24" t="n">
        <x:v>1</x:v>
      </x:c>
      <x:c r="D20" s="24" t="n">
        <x:v>1</x:v>
      </x:c>
      <x:c r="E20" s="29" t="n">
        <x:f>'指标计算'!S165</x:f>
        <x:v>0.510210503771432</x:v>
      </x:c>
      <x:c r="F20" s="29" t="n">
        <x:f>'指标计算'!T165</x:f>
        <x:v>0.6225260452571836</x:v>
      </x:c>
      <x:c r="G20" s="29" t="n">
        <x:f>'指标计算'!U165</x:f>
        <x:v>0.6225260452571836</x:v>
      </x:c>
      <x:c r="H20" s="29" t="n">
        <x:f>'指标计算'!V165</x:f>
        <x:v>1</x:v>
      </x:c>
      <x:c r="I20" s="30" t="n">
        <x:f>IF(COUNT('总览与权重'!$H$11:$K$11)=4,ROUND(100*SUMPRODUCT(E20:H20,'总览与权重'!$H$11:$K$11),12),"NA")</x:f>
        <x:v>70.20735692343</x:v>
      </x:c>
      <x:c r="J20" s="30" t="n">
        <x:f>IF(ISNUMBER(I20),COUNTIFS($I$6:$I$151,"&gt;"&amp;I20)+(COUNTIFS($I$6:$I$151,I20)+1)/2,"NA")</x:f>
        <x:v>14.5</x:v>
      </x:c>
      <x:c r="K20" s="30" t="n">
        <x:f>IF(COUNT('总览与权重'!$H$12:$K$12)=4,ROUND(100*SUMPRODUCT(E20:H20,'总览与权重'!$H$12:$K$12),12),"NA")</x:f>
        <x:v>67.55577279086</x:v>
      </x:c>
      <x:c r="L20" s="30" t="n">
        <x:f>IF(ISNUMBER(K20),COUNTIFS($K$6:$K$151,"&gt;"&amp;K20)+(COUNTIFS($K$6:$K$151,K20)+1)/2,"NA")</x:f>
        <x:v>17.5</x:v>
      </x:c>
      <x:c r="M20" s="30" t="n">
        <x:f>IF(COUNT('总览与权重'!$H$13:$K$13)=4,ROUND(100*SUMPRODUCT(E20:H20,'总览与权重'!$H$13:$K$13),12),"NA")</x:f>
        <x:v>72.656304404573</x:v>
      </x:c>
      <x:c r="N20" s="30" t="n">
        <x:f>IF(ISNUMBER(M20),COUNTIFS($M$6:$M$151,"&gt;"&amp;M20)+(COUNTIFS($M$6:$M$151,M20)+1)/2,"NA")</x:f>
        <x:v>14.5</x:v>
      </x:c>
      <x:c r="O20" s="30" t="n">
        <x:f>IF(COUNT('总览与权重'!$H$14:$K$14)=4,ROUND(100*SUMPRODUCT(E20:H20,'总览与权重'!$H$14:$K$14),12),"NA")</x:f>
        <x:v>73.545502061832</x:v>
      </x:c>
      <x:c r="P20" s="30" t="n">
        <x:f>IF(ISNUMBER(O20),COUNTIFS($O$6:$O$151,"&gt;"&amp;O20)+(COUNTIFS($O$6:$O$151,O20)+1)/2,"NA")</x:f>
        <x:v>15.5</x:v>
      </x:c>
      <x:c r="Q20" s="30" t="n">
        <x:f>IF(COUNT('总览与权重'!$H$15:$K$15)=4,ROUND(100*SUMPRODUCT(E20:H20,'总览与权重'!$H$15:$K$15),12),"NA")</x:f>
        <x:v>85.8674512964</x:v>
      </x:c>
      <x:c r="R20" s="30" t="n">
        <x:f>IF(ISNUMBER(Q20),COUNTIFS($Q$6:$Q$151,"&gt;"&amp;Q20)+(COUNTIFS($Q$6:$Q$151,Q20)+1)/2,"NA")</x:f>
        <x:v>14.5</x:v>
      </x:c>
      <x:c r="S20" s="31" t="n">
        <x:f>IF(OR(B20="s3",B20="s6"),COUNTIFS($B$6:$B$151,B20,$I$6:$I$151,"&gt;"&amp;I20)+(COUNTIFS($B$6:$B$151,B20,$I$6:$I$151,I20)+1)/2,"NA")</x:f>
        <x:v>13.5</x:v>
      </x:c>
      <x:c r="T20" s="26" t="str">
        <x:f>IF(COUNTIFS($I$6:$I$151,"&gt;"&amp;I20)&gt;=30,"非前20%",IF(COUNTIFS($I$6:$I$151,"&gt;="&amp;I20)&gt;=30,"边界同分","严格前20%"))</x:f>
        <x:v>严格前20%</x:v>
      </x:c>
      <x:c r="U20" s="26" t="str">
        <x:f>IF(COUNTIFS($I$6:$I$151,"&lt;"&amp;I20)&gt;=30,"非后20%",IF(COUNTIFS($I$6:$I$151,"&lt;="&amp;I20)&gt;=30,"边界同分","严格后20%"))</x:f>
        <x:v>非后20%</x:v>
      </x:c>
      <x:c r="V20" s="22" t="n">
        <x:f>'指标计算'!P165</x:f>
        <x:v>0.24505209051436724</x:v>
      </x:c>
      <x:c r="W20" s="22" t="n">
        <x:f>'指标计算'!Q165</x:f>
        <x:v>0.24505209051436724</x:v>
      </x:c>
      <x:c r="X20" s="22" t="str">
        <x:v>["S1051"]</x:v>
      </x:c>
      <x:c r="Y20" s="22" t="str">
        <x:v>evidence/student_evidence.jsonl；student_key=2026春:268183</x:v>
      </x:c>
      <x:c r="Z20" s="26" t="n">
        <x:f>IF(OR(B20="s3",B20="s6"),COUNTIFS($B$6:$B$151,B20,$K$6:$K$151,"&gt;"&amp;K20)+(COUNTIFS($B$6:$B$151,B20,$K$6:$K$151,K20)+1)/2,"NA")</x:f>
        <x:v>14.5</x:v>
      </x:c>
      <x:c r="AA20" s="26" t="n">
        <x:f>IF(OR(B20="s3",B20="s6"),COUNTIFS($B$6:$B$151,B20,$M$6:$M$151,"&gt;"&amp;M20)+(COUNTIFS($B$6:$B$151,B20,$M$6:$M$151,M20)+1)/2,"NA")</x:f>
        <x:v>13.5</x:v>
      </x:c>
      <x:c r="AB20" s="26" t="n">
        <x:f>IF(OR(B20="s3",B20="s6"),COUNTIFS($B$6:$B$151,B20,$O$6:$O$151,"&gt;"&amp;O20)+(COUNTIFS($B$6:$B$151,B20,$O$6:$O$151,O20)+1)/2,"NA")</x:f>
        <x:v>13.5</x:v>
      </x:c>
      <x:c r="AC20" s="26" t="n">
        <x:f>IF(OR(B20="s3",B20="s6"),COUNTIFS($B$6:$B$151,B20,$Q$6:$Q$151,"&gt;"&amp;Q20)+(COUNTIFS($B$6:$B$151,B20,$Q$6:$Q$151,Q20)+1)/2,"NA")</x:f>
        <x:v>13.5</x:v>
      </x:c>
      <x:c r="AD20" s="25" t="n">
        <x:v>67.04682858635155</x:v>
      </x:c>
      <x:c r="AE20" s="25" t="n">
        <x:v>17.5</x:v>
      </x:c>
      <x:c r="AF20" s="25" t="n">
        <x:v>16.5</x:v>
      </x:c>
      <x:c r="AG20" s="25" t="n">
        <x:v>3</x:v>
      </x:c>
    </x:row>
    <x:row r="21" ht="23" customHeight="1">
      <x:c r="A21" s="21" t="str">
        <x:v>2025秋:258428</x:v>
      </x:c>
      <x:c r="B21" s="22" t="str">
        <x:v>s3</x:v>
      </x:c>
      <x:c r="C21" s="24" t="n">
        <x:v>1</x:v>
      </x:c>
      <x:c r="D21" s="24" t="n">
        <x:v>1</x:v>
      </x:c>
      <x:c r="E21" s="29" t="n">
        <x:f>'指标计算'!S13</x:f>
        <x:v>0.5101736720399471</x:v>
      </x:c>
      <x:c r="F21" s="29" t="n">
        <x:f>'指标计算'!T13</x:f>
        <x:v>0.6220840644793653</x:v>
      </x:c>
      <x:c r="G21" s="29" t="n">
        <x:f>'指标计算'!U13</x:f>
        <x:v>0.6220840644793653</x:v>
      </x:c>
      <x:c r="H21" s="29" t="n">
        <x:f>'指标计算'!V13</x:f>
        <x:v>1</x:v>
      </x:c>
      <x:c r="I21" s="30" t="n">
        <x:f>IF(COUNT('总览与权重'!$H$11:$K$11)=4,ROUND(100*SUMPRODUCT(E21:H21,'总览与权重'!$H$11:$K$11),12),"NA")</x:f>
        <x:v>70.188572740373</x:v>
      </x:c>
      <x:c r="J21" s="30" t="n">
        <x:f>IF(ISNUMBER(I21),COUNTIFS($I$6:$I$151,"&gt;"&amp;I21)+(COUNTIFS($I$6:$I$151,I21)+1)/2,"NA")</x:f>
        <x:v>17.5</x:v>
      </x:c>
      <x:c r="K21" s="30" t="n">
        <x:f>IF(COUNT('总览与权重'!$H$12:$K$12)=4,ROUND(100*SUMPRODUCT(E21:H21,'总览与权重'!$H$12:$K$12),12),"NA")</x:f>
        <x:v>67.528517309561</x:v>
      </x:c>
      <x:c r="L21" s="30" t="n">
        <x:f>IF(ISNUMBER(K21),COUNTIFS($K$6:$K$151,"&gt;"&amp;K21)+(COUNTIFS($K$6:$K$151,K21)+1)/2,"NA")</x:f>
        <x:v>20.5</x:v>
      </x:c>
      <x:c r="M21" s="30" t="n">
        <x:f>IF(COUNT('总览与权重'!$H$13:$K$13)=4,ROUND(100*SUMPRODUCT(E21:H21,'总览与权重'!$H$13:$K$13),12),"NA")</x:f>
        <x:v>72.637704380173</x:v>
      </x:c>
      <x:c r="N21" s="30" t="n">
        <x:f>IF(ISNUMBER(M21),COUNTIFS($M$6:$M$151,"&gt;"&amp;M21)+(COUNTIFS($M$6:$M$151,M21)+1)/2,"NA")</x:f>
        <x:v>17.5</x:v>
      </x:c>
      <x:c r="O21" s="30" t="n">
        <x:f>IF(COUNT('总览与权重'!$H$14:$K$14)=4,ROUND(100*SUMPRODUCT(E21:H21,'总览与权重'!$H$14:$K$14),12),"NA")</x:f>
        <x:v>73.514676390112</x:v>
      </x:c>
      <x:c r="P21" s="30" t="n">
        <x:f>IF(ISNUMBER(O21),COUNTIFS($O$6:$O$151,"&gt;"&amp;O21)+(COUNTIFS($O$6:$O$151,O21)+1)/2,"NA")</x:f>
        <x:v>18.5</x:v>
      </x:c>
      <x:c r="Q21" s="30" t="n">
        <x:f>IF(COUNT('总览与权重'!$H$15:$K$15)=4,ROUND(100*SUMPRODUCT(E21:H21,'总览与权重'!$H$15:$K$15),12),"NA")</x:f>
        <x:v>85.850983574808</x:v>
      </x:c>
      <x:c r="R21" s="30" t="n">
        <x:f>IF(ISNUMBER(Q21),COUNTIFS($Q$6:$Q$151,"&gt;"&amp;Q21)+(COUNTIFS($Q$6:$Q$151,Q21)+1)/2,"NA")</x:f>
        <x:v>17.5</x:v>
      </x:c>
      <x:c r="S21" s="31" t="n">
        <x:f>IF(OR(B21="s3",B21="s6"),COUNTIFS($B$6:$B$151,B21,$I$6:$I$151,"&gt;"&amp;I21)+(COUNTIFS($B$6:$B$151,B21,$I$6:$I$151,I21)+1)/2,"NA")</x:f>
        <x:v>16.5</x:v>
      </x:c>
      <x:c r="T21" s="26" t="str">
        <x:f>IF(COUNTIFS($I$6:$I$151,"&gt;"&amp;I21)&gt;=30,"非前20%",IF(COUNTIFS($I$6:$I$151,"&gt;="&amp;I21)&gt;=30,"边界同分","严格前20%"))</x:f>
        <x:v>严格前20%</x:v>
      </x:c>
      <x:c r="U21" s="26" t="str">
        <x:f>IF(COUNTIFS($I$6:$I$151,"&lt;"&amp;I21)&gt;=30,"非后20%",IF(COUNTIFS($I$6:$I$151,"&lt;="&amp;I21)&gt;=30,"边界同分","严格后20%"))</x:f>
        <x:v>非后20%</x:v>
      </x:c>
      <x:c r="V21" s="22" t="n">
        <x:f>'指标计算'!P13</x:f>
        <x:v>0.24416812895873055</x:v>
      </x:c>
      <x:c r="W21" s="22" t="n">
        <x:f>'指标计算'!Q13</x:f>
        <x:v>0.24416812895873055</x:v>
      </x:c>
      <x:c r="X21" s="22" t="str">
        <x:v>["S0096"]</x:v>
      </x:c>
      <x:c r="Y21" s="22" t="str">
        <x:v>evidence/student_evidence.jsonl；student_key=2025秋:258428</x:v>
      </x:c>
      <x:c r="Z21" s="26" t="n">
        <x:f>IF(OR(B21="s3",B21="s6"),COUNTIFS($B$6:$B$151,B21,$K$6:$K$151,"&gt;"&amp;K21)+(COUNTIFS($B$6:$B$151,B21,$K$6:$K$151,K21)+1)/2,"NA")</x:f>
        <x:v>17.5</x:v>
      </x:c>
      <x:c r="AA21" s="26" t="n">
        <x:f>IF(OR(B21="s3",B21="s6"),COUNTIFS($B$6:$B$151,B21,$M$6:$M$151,"&gt;"&amp;M21)+(COUNTIFS($B$6:$B$151,B21,$M$6:$M$151,M21)+1)/2,"NA")</x:f>
        <x:v>16.5</x:v>
      </x:c>
      <x:c r="AB21" s="26" t="n">
        <x:f>IF(OR(B21="s3",B21="s6"),COUNTIFS($B$6:$B$151,B21,$O$6:$O$151,"&gt;"&amp;O21)+(COUNTIFS($B$6:$B$151,B21,$O$6:$O$151,O21)+1)/2,"NA")</x:f>
        <x:v>16.5</x:v>
      </x:c>
      <x:c r="AC21" s="26" t="n">
        <x:f>IF(OR(B21="s3",B21="s6"),COUNTIFS($B$6:$B$151,B21,$Q$6:$Q$151,"&gt;"&amp;Q21)+(COUNTIFS($B$6:$B$151,B21,$Q$6:$Q$151,Q21)+1)/2,"NA")</x:f>
        <x:v>16.5</x:v>
      </x:c>
      <x:c r="AD21" s="25" t="n">
        <x:v>67.02804440329429</x:v>
      </x:c>
      <x:c r="AE21" s="25" t="n">
        <x:v>20.5</x:v>
      </x:c>
      <x:c r="AF21" s="25" t="n">
        <x:v>19.5</x:v>
      </x:c>
      <x:c r="AG21" s="25" t="n">
        <x:v>3</x:v>
      </x:c>
    </x:row>
    <x:row r="22" ht="23" customHeight="1">
      <x:c r="A22" s="21" t="str">
        <x:v>2025秋:258922</x:v>
      </x:c>
      <x:c r="B22" s="22" t="str">
        <x:v>s3</x:v>
      </x:c>
      <x:c r="C22" s="24" t="n">
        <x:v>1</x:v>
      </x:c>
      <x:c r="D22" s="24" t="n">
        <x:v>1</x:v>
      </x:c>
      <x:c r="E22" s="29" t="n">
        <x:f>'指标计算'!S42</x:f>
        <x:v>0.5101736720399471</x:v>
      </x:c>
      <x:c r="F22" s="29" t="n">
        <x:f>'指标计算'!T42</x:f>
        <x:v>0.6220840644793653</x:v>
      </x:c>
      <x:c r="G22" s="29" t="n">
        <x:f>'指标计算'!U42</x:f>
        <x:v>0.6220840644793653</x:v>
      </x:c>
      <x:c r="H22" s="29" t="n">
        <x:f>'指标计算'!V42</x:f>
        <x:v>1</x:v>
      </x:c>
      <x:c r="I22" s="30" t="n">
        <x:f>IF(COUNT('总览与权重'!$H$11:$K$11)=4,ROUND(100*SUMPRODUCT(E22:H22,'总览与权重'!$H$11:$K$11),12),"NA")</x:f>
        <x:v>70.188572740373</x:v>
      </x:c>
      <x:c r="J22" s="30" t="n">
        <x:f>IF(ISNUMBER(I22),COUNTIFS($I$6:$I$151,"&gt;"&amp;I22)+(COUNTIFS($I$6:$I$151,I22)+1)/2,"NA")</x:f>
        <x:v>17.5</x:v>
      </x:c>
      <x:c r="K22" s="30" t="n">
        <x:f>IF(COUNT('总览与权重'!$H$12:$K$12)=4,ROUND(100*SUMPRODUCT(E22:H22,'总览与权重'!$H$12:$K$12),12),"NA")</x:f>
        <x:v>67.528517309561</x:v>
      </x:c>
      <x:c r="L22" s="30" t="n">
        <x:f>IF(ISNUMBER(K22),COUNTIFS($K$6:$K$151,"&gt;"&amp;K22)+(COUNTIFS($K$6:$K$151,K22)+1)/2,"NA")</x:f>
        <x:v>20.5</x:v>
      </x:c>
      <x:c r="M22" s="30" t="n">
        <x:f>IF(COUNT('总览与权重'!$H$13:$K$13)=4,ROUND(100*SUMPRODUCT(E22:H22,'总览与权重'!$H$13:$K$13),12),"NA")</x:f>
        <x:v>72.637704380173</x:v>
      </x:c>
      <x:c r="N22" s="30" t="n">
        <x:f>IF(ISNUMBER(M22),COUNTIFS($M$6:$M$151,"&gt;"&amp;M22)+(COUNTIFS($M$6:$M$151,M22)+1)/2,"NA")</x:f>
        <x:v>17.5</x:v>
      </x:c>
      <x:c r="O22" s="30" t="n">
        <x:f>IF(COUNT('总览与权重'!$H$14:$K$14)=4,ROUND(100*SUMPRODUCT(E22:H22,'总览与权重'!$H$14:$K$14),12),"NA")</x:f>
        <x:v>73.514676390112</x:v>
      </x:c>
      <x:c r="P22" s="30" t="n">
        <x:f>IF(ISNUMBER(O22),COUNTIFS($O$6:$O$151,"&gt;"&amp;O22)+(COUNTIFS($O$6:$O$151,O22)+1)/2,"NA")</x:f>
        <x:v>18.5</x:v>
      </x:c>
      <x:c r="Q22" s="30" t="n">
        <x:f>IF(COUNT('总览与权重'!$H$15:$K$15)=4,ROUND(100*SUMPRODUCT(E22:H22,'总览与权重'!$H$15:$K$15),12),"NA")</x:f>
        <x:v>85.850983574808</x:v>
      </x:c>
      <x:c r="R22" s="30" t="n">
        <x:f>IF(ISNUMBER(Q22),COUNTIFS($Q$6:$Q$151,"&gt;"&amp;Q22)+(COUNTIFS($Q$6:$Q$151,Q22)+1)/2,"NA")</x:f>
        <x:v>17.5</x:v>
      </x:c>
      <x:c r="S22" s="31" t="n">
        <x:f>IF(OR(B22="s3",B22="s6"),COUNTIFS($B$6:$B$151,B22,$I$6:$I$151,"&gt;"&amp;I22)+(COUNTIFS($B$6:$B$151,B22,$I$6:$I$151,I22)+1)/2,"NA")</x:f>
        <x:v>16.5</x:v>
      </x:c>
      <x:c r="T22" s="26" t="str">
        <x:f>IF(COUNTIFS($I$6:$I$151,"&gt;"&amp;I22)&gt;=30,"非前20%",IF(COUNTIFS($I$6:$I$151,"&gt;="&amp;I22)&gt;=30,"边界同分","严格前20%"))</x:f>
        <x:v>严格前20%</x:v>
      </x:c>
      <x:c r="U22" s="26" t="str">
        <x:f>IF(COUNTIFS($I$6:$I$151,"&lt;"&amp;I22)&gt;=30,"非后20%",IF(COUNTIFS($I$6:$I$151,"&lt;="&amp;I22)&gt;=30,"边界同分","严格后20%"))</x:f>
        <x:v>非后20%</x:v>
      </x:c>
      <x:c r="V22" s="22" t="n">
        <x:f>'指标计算'!P42</x:f>
        <x:v>0.24416812895873055</x:v>
      </x:c>
      <x:c r="W22" s="22" t="n">
        <x:f>'指标计算'!Q42</x:f>
        <x:v>0.24416812895873055</x:v>
      </x:c>
      <x:c r="X22" s="22" t="str">
        <x:v>["S0351"]</x:v>
      </x:c>
      <x:c r="Y22" s="22" t="str">
        <x:v>evidence/student_evidence.jsonl；student_key=2025秋:258922</x:v>
      </x:c>
      <x:c r="Z22" s="26" t="n">
        <x:f>IF(OR(B22="s3",B22="s6"),COUNTIFS($B$6:$B$151,B22,$K$6:$K$151,"&gt;"&amp;K22)+(COUNTIFS($B$6:$B$151,B22,$K$6:$K$151,K22)+1)/2,"NA")</x:f>
        <x:v>17.5</x:v>
      </x:c>
      <x:c r="AA22" s="26" t="n">
        <x:f>IF(OR(B22="s3",B22="s6"),COUNTIFS($B$6:$B$151,B22,$M$6:$M$151,"&gt;"&amp;M22)+(COUNTIFS($B$6:$B$151,B22,$M$6:$M$151,M22)+1)/2,"NA")</x:f>
        <x:v>16.5</x:v>
      </x:c>
      <x:c r="AB22" s="26" t="n">
        <x:f>IF(OR(B22="s3",B22="s6"),COUNTIFS($B$6:$B$151,B22,$O$6:$O$151,"&gt;"&amp;O22)+(COUNTIFS($B$6:$B$151,B22,$O$6:$O$151,O22)+1)/2,"NA")</x:f>
        <x:v>16.5</x:v>
      </x:c>
      <x:c r="AC22" s="26" t="n">
        <x:f>IF(OR(B22="s3",B22="s6"),COUNTIFS($B$6:$B$151,B22,$Q$6:$Q$151,"&gt;"&amp;Q22)+(COUNTIFS($B$6:$B$151,B22,$Q$6:$Q$151,Q22)+1)/2,"NA")</x:f>
        <x:v>16.5</x:v>
      </x:c>
      <x:c r="AD22" s="25" t="n">
        <x:v>67.02804440329429</x:v>
      </x:c>
      <x:c r="AE22" s="25" t="n">
        <x:v>20.5</x:v>
      </x:c>
      <x:c r="AF22" s="25" t="n">
        <x:v>19.5</x:v>
      </x:c>
      <x:c r="AG22" s="25" t="n">
        <x:v>3</x:v>
      </x:c>
    </x:row>
    <x:row r="23" ht="23" customHeight="1">
      <x:c r="A23" s="21" t="str">
        <x:v>2025秋:259895</x:v>
      </x:c>
      <x:c r="B23" s="22" t="str">
        <x:v>s3</x:v>
      </x:c>
      <x:c r="C23" s="24" t="n">
        <x:v>1</x:v>
      </x:c>
      <x:c r="D23" s="24" t="n">
        <x:v>1</x:v>
      </x:c>
      <x:c r="E23" s="29" t="n">
        <x:f>'指标计算'!S122</x:f>
        <x:v>0.5101736720399471</x:v>
      </x:c>
      <x:c r="F23" s="29" t="n">
        <x:f>'指标计算'!T122</x:f>
        <x:v>0.6220840644793653</x:v>
      </x:c>
      <x:c r="G23" s="29" t="n">
        <x:f>'指标计算'!U122</x:f>
        <x:v>0.6220840644793653</x:v>
      </x:c>
      <x:c r="H23" s="29" t="n">
        <x:f>'指标计算'!V122</x:f>
        <x:v>1</x:v>
      </x:c>
      <x:c r="I23" s="30" t="n">
        <x:f>IF(COUNT('总览与权重'!$H$11:$K$11)=4,ROUND(100*SUMPRODUCT(E23:H23,'总览与权重'!$H$11:$K$11),12),"NA")</x:f>
        <x:v>70.188572740373</x:v>
      </x:c>
      <x:c r="J23" s="30" t="n">
        <x:f>IF(ISNUMBER(I23),COUNTIFS($I$6:$I$151,"&gt;"&amp;I23)+(COUNTIFS($I$6:$I$151,I23)+1)/2,"NA")</x:f>
        <x:v>17.5</x:v>
      </x:c>
      <x:c r="K23" s="30" t="n">
        <x:f>IF(COUNT('总览与权重'!$H$12:$K$12)=4,ROUND(100*SUMPRODUCT(E23:H23,'总览与权重'!$H$12:$K$12),12),"NA")</x:f>
        <x:v>67.528517309561</x:v>
      </x:c>
      <x:c r="L23" s="30" t="n">
        <x:f>IF(ISNUMBER(K23),COUNTIFS($K$6:$K$151,"&gt;"&amp;K23)+(COUNTIFS($K$6:$K$151,K23)+1)/2,"NA")</x:f>
        <x:v>20.5</x:v>
      </x:c>
      <x:c r="M23" s="30" t="n">
        <x:f>IF(COUNT('总览与权重'!$H$13:$K$13)=4,ROUND(100*SUMPRODUCT(E23:H23,'总览与权重'!$H$13:$K$13),12),"NA")</x:f>
        <x:v>72.637704380173</x:v>
      </x:c>
      <x:c r="N23" s="30" t="n">
        <x:f>IF(ISNUMBER(M23),COUNTIFS($M$6:$M$151,"&gt;"&amp;M23)+(COUNTIFS($M$6:$M$151,M23)+1)/2,"NA")</x:f>
        <x:v>17.5</x:v>
      </x:c>
      <x:c r="O23" s="30" t="n">
        <x:f>IF(COUNT('总览与权重'!$H$14:$K$14)=4,ROUND(100*SUMPRODUCT(E23:H23,'总览与权重'!$H$14:$K$14),12),"NA")</x:f>
        <x:v>73.514676390112</x:v>
      </x:c>
      <x:c r="P23" s="30" t="n">
        <x:f>IF(ISNUMBER(O23),COUNTIFS($O$6:$O$151,"&gt;"&amp;O23)+(COUNTIFS($O$6:$O$151,O23)+1)/2,"NA")</x:f>
        <x:v>18.5</x:v>
      </x:c>
      <x:c r="Q23" s="30" t="n">
        <x:f>IF(COUNT('总览与权重'!$H$15:$K$15)=4,ROUND(100*SUMPRODUCT(E23:H23,'总览与权重'!$H$15:$K$15),12),"NA")</x:f>
        <x:v>85.850983574808</x:v>
      </x:c>
      <x:c r="R23" s="30" t="n">
        <x:f>IF(ISNUMBER(Q23),COUNTIFS($Q$6:$Q$151,"&gt;"&amp;Q23)+(COUNTIFS($Q$6:$Q$151,Q23)+1)/2,"NA")</x:f>
        <x:v>17.5</x:v>
      </x:c>
      <x:c r="S23" s="31" t="n">
        <x:f>IF(OR(B23="s3",B23="s6"),COUNTIFS($B$6:$B$151,B23,$I$6:$I$151,"&gt;"&amp;I23)+(COUNTIFS($B$6:$B$151,B23,$I$6:$I$151,I23)+1)/2,"NA")</x:f>
        <x:v>16.5</x:v>
      </x:c>
      <x:c r="T23" s="26" t="str">
        <x:f>IF(COUNTIFS($I$6:$I$151,"&gt;"&amp;I23)&gt;=30,"非前20%",IF(COUNTIFS($I$6:$I$151,"&gt;="&amp;I23)&gt;=30,"边界同分","严格前20%"))</x:f>
        <x:v>严格前20%</x:v>
      </x:c>
      <x:c r="U23" s="26" t="str">
        <x:f>IF(COUNTIFS($I$6:$I$151,"&lt;"&amp;I23)&gt;=30,"非后20%",IF(COUNTIFS($I$6:$I$151,"&lt;="&amp;I23)&gt;=30,"边界同分","严格后20%"))</x:f>
        <x:v>非后20%</x:v>
      </x:c>
      <x:c r="V23" s="22" t="n">
        <x:f>'指标计算'!P122</x:f>
        <x:v>0.24416812895873055</x:v>
      </x:c>
      <x:c r="W23" s="22" t="n">
        <x:f>'指标计算'!Q122</x:f>
        <x:v>0.24416812895873055</x:v>
      </x:c>
      <x:c r="X23" s="22" t="str">
        <x:v>["S0407"]</x:v>
      </x:c>
      <x:c r="Y23" s="22" t="str">
        <x:v>evidence/student_evidence.jsonl；student_key=2025秋:259895</x:v>
      </x:c>
      <x:c r="Z23" s="26" t="n">
        <x:f>IF(OR(B23="s3",B23="s6"),COUNTIFS($B$6:$B$151,B23,$K$6:$K$151,"&gt;"&amp;K23)+(COUNTIFS($B$6:$B$151,B23,$K$6:$K$151,K23)+1)/2,"NA")</x:f>
        <x:v>17.5</x:v>
      </x:c>
      <x:c r="AA23" s="26" t="n">
        <x:f>IF(OR(B23="s3",B23="s6"),COUNTIFS($B$6:$B$151,B23,$M$6:$M$151,"&gt;"&amp;M23)+(COUNTIFS($B$6:$B$151,B23,$M$6:$M$151,M23)+1)/2,"NA")</x:f>
        <x:v>16.5</x:v>
      </x:c>
      <x:c r="AB23" s="26" t="n">
        <x:f>IF(OR(B23="s3",B23="s6"),COUNTIFS($B$6:$B$151,B23,$O$6:$O$151,"&gt;"&amp;O23)+(COUNTIFS($B$6:$B$151,B23,$O$6:$O$151,O23)+1)/2,"NA")</x:f>
        <x:v>16.5</x:v>
      </x:c>
      <x:c r="AC23" s="26" t="n">
        <x:f>IF(OR(B23="s3",B23="s6"),COUNTIFS($B$6:$B$151,B23,$Q$6:$Q$151,"&gt;"&amp;Q23)+(COUNTIFS($B$6:$B$151,B23,$Q$6:$Q$151,Q23)+1)/2,"NA")</x:f>
        <x:v>16.5</x:v>
      </x:c>
      <x:c r="AD23" s="25" t="n">
        <x:v>67.02804440329429</x:v>
      </x:c>
      <x:c r="AE23" s="25" t="n">
        <x:v>20.5</x:v>
      </x:c>
      <x:c r="AF23" s="25" t="n">
        <x:v>19.5</x:v>
      </x:c>
      <x:c r="AG23" s="25" t="n">
        <x:v>3</x:v>
      </x:c>
    </x:row>
    <x:row r="24" ht="23" customHeight="1">
      <x:c r="A24" s="21" t="str">
        <x:v>2026春:259443</x:v>
      </x:c>
      <x:c r="B24" s="22" t="str">
        <x:v>s3</x:v>
      </x:c>
      <x:c r="C24" s="24" t="n">
        <x:v>1</x:v>
      </x:c>
      <x:c r="D24" s="24" t="n">
        <x:v>1</x:v>
      </x:c>
      <x:c r="E24" s="29" t="n">
        <x:f>'指标计算'!S147</x:f>
        <x:v>0.5101736720399471</x:v>
      </x:c>
      <x:c r="F24" s="29" t="n">
        <x:f>'指标计算'!T147</x:f>
        <x:v>0.6220840644793653</x:v>
      </x:c>
      <x:c r="G24" s="29" t="n">
        <x:f>'指标计算'!U147</x:f>
        <x:v>0.6220840644793653</x:v>
      </x:c>
      <x:c r="H24" s="29" t="n">
        <x:f>'指标计算'!V147</x:f>
        <x:v>1</x:v>
      </x:c>
      <x:c r="I24" s="30" t="n">
        <x:f>IF(COUNT('总览与权重'!$H$11:$K$11)=4,ROUND(100*SUMPRODUCT(E24:H24,'总览与权重'!$H$11:$K$11),12),"NA")</x:f>
        <x:v>70.188572740373</x:v>
      </x:c>
      <x:c r="J24" s="30" t="n">
        <x:f>IF(ISNUMBER(I24),COUNTIFS($I$6:$I$151,"&gt;"&amp;I24)+(COUNTIFS($I$6:$I$151,I24)+1)/2,"NA")</x:f>
        <x:v>17.5</x:v>
      </x:c>
      <x:c r="K24" s="30" t="n">
        <x:f>IF(COUNT('总览与权重'!$H$12:$K$12)=4,ROUND(100*SUMPRODUCT(E24:H24,'总览与权重'!$H$12:$K$12),12),"NA")</x:f>
        <x:v>67.528517309561</x:v>
      </x:c>
      <x:c r="L24" s="30" t="n">
        <x:f>IF(ISNUMBER(K24),COUNTIFS($K$6:$K$151,"&gt;"&amp;K24)+(COUNTIFS($K$6:$K$151,K24)+1)/2,"NA")</x:f>
        <x:v>20.5</x:v>
      </x:c>
      <x:c r="M24" s="30" t="n">
        <x:f>IF(COUNT('总览与权重'!$H$13:$K$13)=4,ROUND(100*SUMPRODUCT(E24:H24,'总览与权重'!$H$13:$K$13),12),"NA")</x:f>
        <x:v>72.637704380173</x:v>
      </x:c>
      <x:c r="N24" s="30" t="n">
        <x:f>IF(ISNUMBER(M24),COUNTIFS($M$6:$M$151,"&gt;"&amp;M24)+(COUNTIFS($M$6:$M$151,M24)+1)/2,"NA")</x:f>
        <x:v>17.5</x:v>
      </x:c>
      <x:c r="O24" s="30" t="n">
        <x:f>IF(COUNT('总览与权重'!$H$14:$K$14)=4,ROUND(100*SUMPRODUCT(E24:H24,'总览与权重'!$H$14:$K$14),12),"NA")</x:f>
        <x:v>73.514676390112</x:v>
      </x:c>
      <x:c r="P24" s="30" t="n">
        <x:f>IF(ISNUMBER(O24),COUNTIFS($O$6:$O$151,"&gt;"&amp;O24)+(COUNTIFS($O$6:$O$151,O24)+1)/2,"NA")</x:f>
        <x:v>18.5</x:v>
      </x:c>
      <x:c r="Q24" s="30" t="n">
        <x:f>IF(COUNT('总览与权重'!$H$15:$K$15)=4,ROUND(100*SUMPRODUCT(E24:H24,'总览与权重'!$H$15:$K$15),12),"NA")</x:f>
        <x:v>85.850983574808</x:v>
      </x:c>
      <x:c r="R24" s="30" t="n">
        <x:f>IF(ISNUMBER(Q24),COUNTIFS($Q$6:$Q$151,"&gt;"&amp;Q24)+(COUNTIFS($Q$6:$Q$151,Q24)+1)/2,"NA")</x:f>
        <x:v>17.5</x:v>
      </x:c>
      <x:c r="S24" s="31" t="n">
        <x:f>IF(OR(B24="s3",B24="s6"),COUNTIFS($B$6:$B$151,B24,$I$6:$I$151,"&gt;"&amp;I24)+(COUNTIFS($B$6:$B$151,B24,$I$6:$I$151,I24)+1)/2,"NA")</x:f>
        <x:v>16.5</x:v>
      </x:c>
      <x:c r="T24" s="26" t="str">
        <x:f>IF(COUNTIFS($I$6:$I$151,"&gt;"&amp;I24)&gt;=30,"非前20%",IF(COUNTIFS($I$6:$I$151,"&gt;="&amp;I24)&gt;=30,"边界同分","严格前20%"))</x:f>
        <x:v>严格前20%</x:v>
      </x:c>
      <x:c r="U24" s="26" t="str">
        <x:f>IF(COUNTIFS($I$6:$I$151,"&lt;"&amp;I24)&gt;=30,"非后20%",IF(COUNTIFS($I$6:$I$151,"&lt;="&amp;I24)&gt;=30,"边界同分","严格后20%"))</x:f>
        <x:v>非后20%</x:v>
      </x:c>
      <x:c r="V24" s="22" t="n">
        <x:f>'指标计算'!P147</x:f>
        <x:v>0.24416812895873055</x:v>
      </x:c>
      <x:c r="W24" s="22" t="n">
        <x:f>'指标计算'!Q147</x:f>
        <x:v>0.24416812895873055</x:v>
      </x:c>
      <x:c r="X24" s="22" t="str">
        <x:v>["S0850"]</x:v>
      </x:c>
      <x:c r="Y24" s="22" t="str">
        <x:v>evidence/student_evidence.jsonl；student_key=2026春:259443</x:v>
      </x:c>
      <x:c r="Z24" s="26" t="n">
        <x:f>IF(OR(B24="s3",B24="s6"),COUNTIFS($B$6:$B$151,B24,$K$6:$K$151,"&gt;"&amp;K24)+(COUNTIFS($B$6:$B$151,B24,$K$6:$K$151,K24)+1)/2,"NA")</x:f>
        <x:v>17.5</x:v>
      </x:c>
      <x:c r="AA24" s="26" t="n">
        <x:f>IF(OR(B24="s3",B24="s6"),COUNTIFS($B$6:$B$151,B24,$M$6:$M$151,"&gt;"&amp;M24)+(COUNTIFS($B$6:$B$151,B24,$M$6:$M$151,M24)+1)/2,"NA")</x:f>
        <x:v>16.5</x:v>
      </x:c>
      <x:c r="AB24" s="26" t="n">
        <x:f>IF(OR(B24="s3",B24="s6"),COUNTIFS($B$6:$B$151,B24,$O$6:$O$151,"&gt;"&amp;O24)+(COUNTIFS($B$6:$B$151,B24,$O$6:$O$151,O24)+1)/2,"NA")</x:f>
        <x:v>16.5</x:v>
      </x:c>
      <x:c r="AC24" s="26" t="n">
        <x:f>IF(OR(B24="s3",B24="s6"),COUNTIFS($B$6:$B$151,B24,$Q$6:$Q$151,"&gt;"&amp;Q24)+(COUNTIFS($B$6:$B$151,B24,$Q$6:$Q$151,Q24)+1)/2,"NA")</x:f>
        <x:v>16.5</x:v>
      </x:c>
      <x:c r="AD24" s="25" t="n">
        <x:v>67.02804440329429</x:v>
      </x:c>
      <x:c r="AE24" s="25" t="n">
        <x:v>20.5</x:v>
      </x:c>
      <x:c r="AF24" s="25" t="n">
        <x:v>19.5</x:v>
      </x:c>
      <x:c r="AG24" s="25" t="n">
        <x:v>3</x:v>
      </x:c>
    </x:row>
    <x:row r="25" ht="23" customHeight="1">
      <x:c r="A25" s="21" t="str">
        <x:v>2025秋:25P025</x:v>
      </x:c>
      <x:c r="B25" s="22" t="str">
        <x:v>s3</x:v>
      </x:c>
      <x:c r="C25" s="24" t="n">
        <x:v>1</x:v>
      </x:c>
      <x:c r="D25" s="24" t="n">
        <x:v>1</x:v>
      </x:c>
      <x:c r="E25" s="29" t="n">
        <x:f>'指标计算'!S141</x:f>
        <x:v>0.5101240724484921</x:v>
      </x:c>
      <x:c r="F25" s="29" t="n">
        <x:f>'指标计算'!T141</x:f>
        <x:v>0.6214888693819057</x:v>
      </x:c>
      <x:c r="G25" s="29" t="n">
        <x:f>'指标计算'!U141</x:f>
        <x:v>0.6214888693819057</x:v>
      </x:c>
      <x:c r="H25" s="29" t="n">
        <x:f>'指标计算'!V141</x:f>
        <x:v>1</x:v>
      </x:c>
      <x:c r="I25" s="30" t="n">
        <x:f>IF(COUNT('总览与权重'!$H$11:$K$11)=4,ROUND(100*SUMPRODUCT(E25:H25,'总览与权重'!$H$11:$K$11),12),"NA")</x:f>
        <x:v>70.163276948731</x:v>
      </x:c>
      <x:c r="J25" s="30" t="n">
        <x:f>IF(ISNUMBER(I25),COUNTIFS($I$6:$I$151,"&gt;"&amp;I25)+(COUNTIFS($I$6:$I$151,I25)+1)/2,"NA")</x:f>
        <x:v>20</x:v>
      </x:c>
      <x:c r="K25" s="30" t="n">
        <x:f>IF(COUNT('总览与权重'!$H$12:$K$12)=4,ROUND(100*SUMPRODUCT(E25:H25,'总览与权重'!$H$12:$K$12),12),"NA")</x:f>
        <x:v>67.491813611884</x:v>
      </x:c>
      <x:c r="L25" s="30" t="n">
        <x:f>IF(ISNUMBER(K25),COUNTIFS($K$6:$K$151,"&gt;"&amp;K25)+(COUNTIFS($K$6:$K$151,K25)+1)/2,"NA")</x:f>
        <x:v>23</x:v>
      </x:c>
      <x:c r="M25" s="30" t="n">
        <x:f>IF(COUNT('总览与权重'!$H$13:$K$13)=4,ROUND(100*SUMPRODUCT(E25:H25,'总览与权重'!$H$13:$K$13),12),"NA")</x:f>
        <x:v>72.612656586489</x:v>
      </x:c>
      <x:c r="N25" s="30" t="n">
        <x:f>IF(ISNUMBER(M25),COUNTIFS($M$6:$M$151,"&gt;"&amp;M25)+(COUNTIFS($M$6:$M$151,M25)+1)/2,"NA")</x:f>
        <x:v>20</x:v>
      </x:c>
      <x:c r="O25" s="30" t="n">
        <x:f>IF(COUNT('总览与权重'!$H$14:$K$14)=4,ROUND(100*SUMPRODUCT(E25:H25,'总览与权重'!$H$14:$K$14),12),"NA")</x:f>
        <x:v>73.473164881911</x:v>
      </x:c>
      <x:c r="P25" s="30" t="n">
        <x:f>IF(ISNUMBER(O25),COUNTIFS($O$6:$O$151,"&gt;"&amp;O25)+(COUNTIFS($O$6:$O$151,O25)+1)/2,"NA")</x:f>
        <x:v>21</x:v>
      </x:c>
      <x:c r="Q25" s="30" t="n">
        <x:f>IF(COUNT('总览与权重'!$H$15:$K$15)=4,ROUND(100*SUMPRODUCT(E25:H25,'总览与权重'!$H$15:$K$15),12),"NA")</x:f>
        <x:v>85.82880725482</x:v>
      </x:c>
      <x:c r="R25" s="30" t="n">
        <x:f>IF(ISNUMBER(Q25),COUNTIFS($Q$6:$Q$151,"&gt;"&amp;Q25)+(COUNTIFS($Q$6:$Q$151,Q25)+1)/2,"NA")</x:f>
        <x:v>20</x:v>
      </x:c>
      <x:c r="S25" s="31" t="n">
        <x:f>IF(OR(B25="s3",B25="s6"),COUNTIFS($B$6:$B$151,B25,$I$6:$I$151,"&gt;"&amp;I25)+(COUNTIFS($B$6:$B$151,B25,$I$6:$I$151,I25)+1)/2,"NA")</x:f>
        <x:v>19</x:v>
      </x:c>
      <x:c r="T25" s="26" t="str">
        <x:f>IF(COUNTIFS($I$6:$I$151,"&gt;"&amp;I25)&gt;=30,"非前20%",IF(COUNTIFS($I$6:$I$151,"&gt;="&amp;I25)&gt;=30,"边界同分","严格前20%"))</x:f>
        <x:v>严格前20%</x:v>
      </x:c>
      <x:c r="U25" s="26" t="str">
        <x:f>IF(COUNTIFS($I$6:$I$151,"&lt;"&amp;I25)&gt;=30,"非后20%",IF(COUNTIFS($I$6:$I$151,"&lt;="&amp;I25)&gt;=30,"边界同分","严格后20%"))</x:f>
        <x:v>非后20%</x:v>
      </x:c>
      <x:c r="V25" s="22" t="n">
        <x:f>'指标计算'!P141</x:f>
        <x:v>0.24297773876381143</x:v>
      </x:c>
      <x:c r="W25" s="22" t="n">
        <x:f>'指标计算'!Q141</x:f>
        <x:v>0.24297773876381143</x:v>
      </x:c>
      <x:c r="X25" s="22" t="str">
        <x:v>["S0130"]</x:v>
      </x:c>
      <x:c r="Y25" s="22" t="str">
        <x:v>evidence/student_evidence.jsonl；student_key=2025秋:25P025</x:v>
      </x:c>
      <x:c r="Z25" s="26" t="n">
        <x:f>IF(OR(B25="s3",B25="s6"),COUNTIFS($B$6:$B$151,B25,$K$6:$K$151,"&gt;"&amp;K25)+(COUNTIFS($B$6:$B$151,B25,$K$6:$K$151,K25)+1)/2,"NA")</x:f>
        <x:v>20</x:v>
      </x:c>
      <x:c r="AA25" s="26" t="n">
        <x:f>IF(OR(B25="s3",B25="s6"),COUNTIFS($B$6:$B$151,B25,$M$6:$M$151,"&gt;"&amp;M25)+(COUNTIFS($B$6:$B$151,B25,$M$6:$M$151,M25)+1)/2,"NA")</x:f>
        <x:v>19</x:v>
      </x:c>
      <x:c r="AB25" s="26" t="n">
        <x:f>IF(OR(B25="s3",B25="s6"),COUNTIFS($B$6:$B$151,B25,$O$6:$O$151,"&gt;"&amp;O25)+(COUNTIFS($B$6:$B$151,B25,$O$6:$O$151,O25)+1)/2,"NA")</x:f>
        <x:v>19</x:v>
      </x:c>
      <x:c r="AC25" s="26" t="n">
        <x:f>IF(OR(B25="s3",B25="s6"),COUNTIFS($B$6:$B$151,B25,$Q$6:$Q$151,"&gt;"&amp;Q25)+(COUNTIFS($B$6:$B$151,B25,$Q$6:$Q$151,Q25)+1)/2,"NA")</x:f>
        <x:v>19</x:v>
      </x:c>
      <x:c r="AD25" s="25" t="n">
        <x:v>67.00274861165225</x:v>
      </x:c>
      <x:c r="AE25" s="25" t="n">
        <x:v>23</x:v>
      </x:c>
      <x:c r="AF25" s="25" t="n">
        <x:v>22</x:v>
      </x:c>
      <x:c r="AG25" s="25" t="n">
        <x:v>3</x:v>
      </x:c>
    </x:row>
    <x:row r="26" ht="23" customHeight="1">
      <x:c r="A26" s="21" t="str">
        <x:v>2025秋:259043</x:v>
      </x:c>
      <x:c r="B26" s="22" t="str">
        <x:v>s3</x:v>
      </x:c>
      <x:c r="C26" s="24" t="n">
        <x:v>1</x:v>
      </x:c>
      <x:c r="D26" s="24" t="n">
        <x:v>1</x:v>
      </x:c>
      <x:c r="E26" s="29" t="n">
        <x:f>'指标计算'!S68</x:f>
        <x:v>0.5095672781971367</x:v>
      </x:c>
      <x:c r="F26" s="29" t="n">
        <x:f>'指标计算'!T68</x:f>
        <x:v>0.6148073383656395</x:v>
      </x:c>
      <x:c r="G26" s="29" t="n">
        <x:f>'指标计算'!U68</x:f>
        <x:v>0.6148073383656395</x:v>
      </x:c>
      <x:c r="H26" s="29" t="n">
        <x:f>'指标计算'!V68</x:f>
        <x:v>1</x:v>
      </x:c>
      <x:c r="I26" s="30" t="n">
        <x:f>IF(COUNT('总览与权重'!$H$11:$K$11)=4,ROUND(100*SUMPRODUCT(E26:H26,'总览与权重'!$H$11:$K$11),12),"NA")</x:f>
        <x:v>69.87931188054</x:v>
      </x:c>
      <x:c r="J26" s="30" t="n">
        <x:f>IF(ISNUMBER(I26),COUNTIFS($I$6:$I$151,"&gt;"&amp;I26)+(COUNTIFS($I$6:$I$151,I26)+1)/2,"NA")</x:f>
        <x:v>21</x:v>
      </x:c>
      <x:c r="K26" s="30" t="n">
        <x:f>IF(COUNT('总览与权重'!$H$12:$K$12)=4,ROUND(100*SUMPRODUCT(E26:H26,'总览与权重'!$H$12:$K$12),12),"NA")</x:f>
        <x:v>67.079785865881</x:v>
      </x:c>
      <x:c r="L26" s="30" t="n">
        <x:f>IF(ISNUMBER(K26),COUNTIFS($K$6:$K$151,"&gt;"&amp;K26)+(COUNTIFS($K$6:$K$151,K26)+1)/2,"NA")</x:f>
        <x:v>24</x:v>
      </x:c>
      <x:c r="M26" s="30" t="n">
        <x:f>IF(COUNT('总览与权重'!$H$13:$K$13)=4,ROUND(100*SUMPRODUCT(E26:H26,'总览与权重'!$H$13:$K$13),12),"NA")</x:f>
        <x:v>72.331475489554</x:v>
      </x:c>
      <x:c r="N26" s="30" t="n">
        <x:f>IF(ISNUMBER(M26),COUNTIFS($M$6:$M$151,"&gt;"&amp;M26)+(COUNTIFS($M$6:$M$151,M26)+1)/2,"NA")</x:f>
        <x:v>21</x:v>
      </x:c>
      <x:c r="O26" s="30" t="n">
        <x:f>IF(COUNT('总览与权重'!$H$14:$K$14)=4,ROUND(100*SUMPRODUCT(E26:H26,'总览与权重'!$H$14:$K$14),12),"NA")</x:f>
        <x:v>73.00716569818</x:v>
      </x:c>
      <x:c r="P26" s="30" t="n">
        <x:f>IF(ISNUMBER(O26),COUNTIFS($O$6:$O$151,"&gt;"&amp;O26)+(COUNTIFS($O$6:$O$151,O26)+1)/2,"NA")</x:f>
        <x:v>23</x:v>
      </x:c>
      <x:c r="Q26" s="30" t="n">
        <x:f>IF(COUNT('总览与权重'!$H$15:$K$15)=4,ROUND(100*SUMPRODUCT(E26:H26,'总览与权重'!$H$15:$K$15),12),"NA")</x:f>
        <x:v>85.579860698536</x:v>
      </x:c>
      <x:c r="R26" s="30" t="n">
        <x:f>IF(ISNUMBER(Q26),COUNTIFS($Q$6:$Q$151,"&gt;"&amp;Q26)+(COUNTIFS($Q$6:$Q$151,Q26)+1)/2,"NA")</x:f>
        <x:v>21</x:v>
      </x:c>
      <x:c r="S26" s="31" t="n">
        <x:f>IF(OR(B26="s3",B26="s6"),COUNTIFS($B$6:$B$151,B26,$I$6:$I$151,"&gt;"&amp;I26)+(COUNTIFS($B$6:$B$151,B26,$I$6:$I$151,I26)+1)/2,"NA")</x:f>
        <x:v>20</x:v>
      </x:c>
      <x:c r="T26" s="26" t="str">
        <x:f>IF(COUNTIFS($I$6:$I$151,"&gt;"&amp;I26)&gt;=30,"非前20%",IF(COUNTIFS($I$6:$I$151,"&gt;="&amp;I26)&gt;=30,"边界同分","严格前20%"))</x:f>
        <x:v>严格前20%</x:v>
      </x:c>
      <x:c r="U26" s="26" t="str">
        <x:f>IF(COUNTIFS($I$6:$I$151,"&lt;"&amp;I26)&gt;=30,"非后20%",IF(COUNTIFS($I$6:$I$151,"&lt;="&amp;I26)&gt;=30,"边界同分","严格后20%"))</x:f>
        <x:v>非后20%</x:v>
      </x:c>
      <x:c r="V26" s="22" t="n">
        <x:f>'指标计算'!P68</x:f>
        <x:v>0.22961467673127894</x:v>
      </x:c>
      <x:c r="W26" s="22" t="n">
        <x:f>'指标计算'!Q68</x:f>
        <x:v>0.22961467673127894</x:v>
      </x:c>
      <x:c r="X26" s="22" t="str">
        <x:v>["S0066"]</x:v>
      </x:c>
      <x:c r="Y26" s="22" t="str">
        <x:v>evidence/student_evidence.jsonl；student_key=2025秋:259043</x:v>
      </x:c>
      <x:c r="Z26" s="26" t="n">
        <x:f>IF(OR(B26="s3",B26="s6"),COUNTIFS($B$6:$B$151,B26,$K$6:$K$151,"&gt;"&amp;K26)+(COUNTIFS($B$6:$B$151,B26,$K$6:$K$151,K26)+1)/2,"NA")</x:f>
        <x:v>21</x:v>
      </x:c>
      <x:c r="AA26" s="26" t="n">
        <x:f>IF(OR(B26="s3",B26="s6"),COUNTIFS($B$6:$B$151,B26,$M$6:$M$151,"&gt;"&amp;M26)+(COUNTIFS($B$6:$B$151,B26,$M$6:$M$151,M26)+1)/2,"NA")</x:f>
        <x:v>20</x:v>
      </x:c>
      <x:c r="AB26" s="26" t="n">
        <x:f>IF(OR(B26="s3",B26="s6"),COUNTIFS($B$6:$B$151,B26,$O$6:$O$151,"&gt;"&amp;O26)+(COUNTIFS($B$6:$B$151,B26,$O$6:$O$151,O26)+1)/2,"NA")</x:f>
        <x:v>20</x:v>
      </x:c>
      <x:c r="AC26" s="26" t="n">
        <x:f>IF(OR(B26="s3",B26="s6"),COUNTIFS($B$6:$B$151,B26,$Q$6:$Q$151,"&gt;"&amp;Q26)+(COUNTIFS($B$6:$B$151,B26,$Q$6:$Q$151,Q26)+1)/2,"NA")</x:f>
        <x:v>20</x:v>
      </x:c>
      <x:c r="AD26" s="25" t="n">
        <x:v>67.15642498394604</x:v>
      </x:c>
      <x:c r="AE26" s="25" t="n">
        <x:v>16</x:v>
      </x:c>
      <x:c r="AF26" s="25" t="n">
        <x:v>15</x:v>
      </x:c>
      <x:c r="AG26" s="25" t="n">
        <x:v>-5</x:v>
      </x:c>
    </x:row>
    <x:row r="27" ht="23" customHeight="1">
      <x:c r="A27" s="21" t="str">
        <x:v>2025秋:25A148</x:v>
      </x:c>
      <x:c r="B27" s="22" t="str">
        <x:v>s3</x:v>
      </x:c>
      <x:c r="C27" s="24" t="n">
        <x:v>1</x:v>
      </x:c>
      <x:c r="D27" s="24" t="n">
        <x:v>1</x:v>
      </x:c>
      <x:c r="E27" s="29" t="n">
        <x:f>'指标计算'!S138</x:f>
        <x:v>0.5094126400808077</x:v>
      </x:c>
      <x:c r="F27" s="29" t="n">
        <x:f>'指标计算'!T138</x:f>
        <x:v>0.6129516809696918</x:v>
      </x:c>
      <x:c r="G27" s="29" t="n">
        <x:f>'指标计算'!U138</x:f>
        <x:v>0.6129516809696918</x:v>
      </x:c>
      <x:c r="H27" s="29" t="n">
        <x:f>'指标计算'!V138</x:f>
        <x:v>1</x:v>
      </x:c>
      <x:c r="I27" s="30" t="n">
        <x:f>IF(COUNT('总览与权重'!$H$11:$K$11)=4,ROUND(100*SUMPRODUCT(E27:H27,'总览与权重'!$H$11:$K$11),12),"NA")</x:f>
        <x:v>69.800446441212</x:v>
      </x:c>
      <x:c r="J27" s="30" t="n">
        <x:f>IF(ISNUMBER(I27),COUNTIFS($I$6:$I$151,"&gt;"&amp;I27)+(COUNTIFS($I$6:$I$151,I27)+1)/2,"NA")</x:f>
        <x:v>22.5</x:v>
      </x:c>
      <x:c r="K27" s="30" t="n">
        <x:f>IF(COUNT('总览与权重'!$H$12:$K$12)=4,ROUND(100*SUMPRODUCT(E27:H27,'总览与权重'!$H$12:$K$12),12),"NA")</x:f>
        <x:v>66.965353659798</x:v>
      </x:c>
      <x:c r="L27" s="30" t="n">
        <x:f>IF(ISNUMBER(K27),COUNTIFS($K$6:$K$151,"&gt;"&amp;K27)+(COUNTIFS($K$6:$K$151,K27)+1)/2,"NA")</x:f>
        <x:v>25.5</x:v>
      </x:c>
      <x:c r="M27" s="30" t="n">
        <x:f>IF(COUNT('总览与权重'!$H$13:$K$13)=4,ROUND(100*SUMPRODUCT(E27:H27,'总览与权重'!$H$13:$K$13),12),"NA")</x:f>
        <x:v>72.253383240808</x:v>
      </x:c>
      <x:c r="N27" s="30" t="n">
        <x:f>IF(ISNUMBER(M27),COUNTIFS($M$6:$M$151,"&gt;"&amp;M27)+(COUNTIFS($M$6:$M$151,M27)+1)/2,"NA")</x:f>
        <x:v>22.5</x:v>
      </x:c>
      <x:c r="O27" s="30" t="n">
        <x:f>IF(COUNT('总览与权重'!$H$14:$K$14)=4,ROUND(100*SUMPRODUCT(E27:H27,'总览与权重'!$H$14:$K$14),12),"NA")</x:f>
        <x:v>72.877744038729</x:v>
      </x:c>
      <x:c r="P27" s="30" t="n">
        <x:f>IF(ISNUMBER(O27),COUNTIFS($O$6:$O$151,"&gt;"&amp;O27)+(COUNTIFS($O$6:$O$151,O27)+1)/2,"NA")</x:f>
        <x:v>24.5</x:v>
      </x:c>
      <x:c r="Q27" s="30" t="n">
        <x:f>IF(COUNT('总览与权重'!$H$15:$K$15)=4,ROUND(100*SUMPRODUCT(E27:H27,'总览与权重'!$H$15:$K$15),12),"NA")</x:f>
        <x:v>85.510720928439</x:v>
      </x:c>
      <x:c r="R27" s="30" t="n">
        <x:f>IF(ISNUMBER(Q27),COUNTIFS($Q$6:$Q$151,"&gt;"&amp;Q27)+(COUNTIFS($Q$6:$Q$151,Q27)+1)/2,"NA")</x:f>
        <x:v>22.5</x:v>
      </x:c>
      <x:c r="S27" s="31" t="n">
        <x:f>IF(OR(B27="s3",B27="s6"),COUNTIFS($B$6:$B$151,B27,$I$6:$I$151,"&gt;"&amp;I27)+(COUNTIFS($B$6:$B$151,B27,$I$6:$I$151,I27)+1)/2,"NA")</x:f>
        <x:v>21.5</x:v>
      </x:c>
      <x:c r="T27" s="26" t="str">
        <x:f>IF(COUNTIFS($I$6:$I$151,"&gt;"&amp;I27)&gt;=30,"非前20%",IF(COUNTIFS($I$6:$I$151,"&gt;="&amp;I27)&gt;=30,"边界同分","严格前20%"))</x:f>
        <x:v>严格前20%</x:v>
      </x:c>
      <x:c r="U27" s="26" t="str">
        <x:f>IF(COUNTIFS($I$6:$I$151,"&lt;"&amp;I27)&gt;=30,"非后20%",IF(COUNTIFS($I$6:$I$151,"&lt;="&amp;I27)&gt;=30,"边界同分","严格后20%"))</x:f>
        <x:v>非后20%</x:v>
      </x:c>
      <x:c r="V27" s="22" t="n">
        <x:f>'指标计算'!P138</x:f>
        <x:v>0.22590336193938357</x:v>
      </x:c>
      <x:c r="W27" s="22" t="n">
        <x:f>'指标计算'!Q138</x:f>
        <x:v>0.22590336193938357</x:v>
      </x:c>
      <x:c r="X27" s="22" t="str">
        <x:v>["S0067"]</x:v>
      </x:c>
      <x:c r="Y27" s="22" t="str">
        <x:v>evidence/student_evidence.jsonl；student_key=2025秋:25A148</x:v>
      </x:c>
      <x:c r="Z27" s="26" t="n">
        <x:f>IF(OR(B27="s3",B27="s6"),COUNTIFS($B$6:$B$151,B27,$K$6:$K$151,"&gt;"&amp;K27)+(COUNTIFS($B$6:$B$151,B27,$K$6:$K$151,K27)+1)/2,"NA")</x:f>
        <x:v>22.5</x:v>
      </x:c>
      <x:c r="AA27" s="26" t="n">
        <x:f>IF(OR(B27="s3",B27="s6"),COUNTIFS($B$6:$B$151,B27,$M$6:$M$151,"&gt;"&amp;M27)+(COUNTIFS($B$6:$B$151,B27,$M$6:$M$151,M27)+1)/2,"NA")</x:f>
        <x:v>21.5</x:v>
      </x:c>
      <x:c r="AB27" s="26" t="n">
        <x:f>IF(OR(B27="s3",B27="s6"),COUNTIFS($B$6:$B$151,B27,$O$6:$O$151,"&gt;"&amp;O27)+(COUNTIFS($B$6:$B$151,B27,$O$6:$O$151,O27)+1)/2,"NA")</x:f>
        <x:v>21.5</x:v>
      </x:c>
      <x:c r="AC27" s="26" t="n">
        <x:f>IF(OR(B27="s3",B27="s6"),COUNTIFS($B$6:$B$151,B27,$Q$6:$Q$151,"&gt;"&amp;Q27)+(COUNTIFS($B$6:$B$151,B27,$Q$6:$Q$151,Q27)+1)/2,"NA")</x:f>
        <x:v>21.5</x:v>
      </x:c>
      <x:c r="AD27" s="25" t="n">
        <x:v>66.63991810413317</x:v>
      </x:c>
      <x:c r="AE27" s="25" t="n">
        <x:v>27.5</x:v>
      </x:c>
      <x:c r="AF27" s="25" t="n">
        <x:v>26.5</x:v>
      </x:c>
      <x:c r="AG27" s="25" t="n">
        <x:v>5</x:v>
      </x:c>
    </x:row>
    <x:row r="28" ht="23" customHeight="1">
      <x:c r="A28" s="21" t="str">
        <x:v>2026春:268184</x:v>
      </x:c>
      <x:c r="B28" s="22" t="str">
        <x:v>s3</x:v>
      </x:c>
      <x:c r="C28" s="24" t="n">
        <x:v>1</x:v>
      </x:c>
      <x:c r="D28" s="24" t="n">
        <x:v>1</x:v>
      </x:c>
      <x:c r="E28" s="29" t="n">
        <x:f>'指标计算'!S166</x:f>
        <x:v>0.5094126400808077</x:v>
      </x:c>
      <x:c r="F28" s="29" t="n">
        <x:f>'指标计算'!T166</x:f>
        <x:v>0.6129516809696918</x:v>
      </x:c>
      <x:c r="G28" s="29" t="n">
        <x:f>'指标计算'!U166</x:f>
        <x:v>0.6129516809696918</x:v>
      </x:c>
      <x:c r="H28" s="29" t="n">
        <x:f>'指标计算'!V166</x:f>
        <x:v>1</x:v>
      </x:c>
      <x:c r="I28" s="30" t="n">
        <x:f>IF(COUNT('总览与权重'!$H$11:$K$11)=4,ROUND(100*SUMPRODUCT(E28:H28,'总览与权重'!$H$11:$K$11),12),"NA")</x:f>
        <x:v>69.800446441212</x:v>
      </x:c>
      <x:c r="J28" s="30" t="n">
        <x:f>IF(ISNUMBER(I28),COUNTIFS($I$6:$I$151,"&gt;"&amp;I28)+(COUNTIFS($I$6:$I$151,I28)+1)/2,"NA")</x:f>
        <x:v>22.5</x:v>
      </x:c>
      <x:c r="K28" s="30" t="n">
        <x:f>IF(COUNT('总览与权重'!$H$12:$K$12)=4,ROUND(100*SUMPRODUCT(E28:H28,'总览与权重'!$H$12:$K$12),12),"NA")</x:f>
        <x:v>66.965353659798</x:v>
      </x:c>
      <x:c r="L28" s="30" t="n">
        <x:f>IF(ISNUMBER(K28),COUNTIFS($K$6:$K$151,"&gt;"&amp;K28)+(COUNTIFS($K$6:$K$151,K28)+1)/2,"NA")</x:f>
        <x:v>25.5</x:v>
      </x:c>
      <x:c r="M28" s="30" t="n">
        <x:f>IF(COUNT('总览与权重'!$H$13:$K$13)=4,ROUND(100*SUMPRODUCT(E28:H28,'总览与权重'!$H$13:$K$13),12),"NA")</x:f>
        <x:v>72.253383240808</x:v>
      </x:c>
      <x:c r="N28" s="30" t="n">
        <x:f>IF(ISNUMBER(M28),COUNTIFS($M$6:$M$151,"&gt;"&amp;M28)+(COUNTIFS($M$6:$M$151,M28)+1)/2,"NA")</x:f>
        <x:v>22.5</x:v>
      </x:c>
      <x:c r="O28" s="30" t="n">
        <x:f>IF(COUNT('总览与权重'!$H$14:$K$14)=4,ROUND(100*SUMPRODUCT(E28:H28,'总览与权重'!$H$14:$K$14),12),"NA")</x:f>
        <x:v>72.877744038729</x:v>
      </x:c>
      <x:c r="P28" s="30" t="n">
        <x:f>IF(ISNUMBER(O28),COUNTIFS($O$6:$O$151,"&gt;"&amp;O28)+(COUNTIFS($O$6:$O$151,O28)+1)/2,"NA")</x:f>
        <x:v>24.5</x:v>
      </x:c>
      <x:c r="Q28" s="30" t="n">
        <x:f>IF(COUNT('总览与权重'!$H$15:$K$15)=4,ROUND(100*SUMPRODUCT(E28:H28,'总览与权重'!$H$15:$K$15),12),"NA")</x:f>
        <x:v>85.510720928439</x:v>
      </x:c>
      <x:c r="R28" s="30" t="n">
        <x:f>IF(ISNUMBER(Q28),COUNTIFS($Q$6:$Q$151,"&gt;"&amp;Q28)+(COUNTIFS($Q$6:$Q$151,Q28)+1)/2,"NA")</x:f>
        <x:v>22.5</x:v>
      </x:c>
      <x:c r="S28" s="31" t="n">
        <x:f>IF(OR(B28="s3",B28="s6"),COUNTIFS($B$6:$B$151,B28,$I$6:$I$151,"&gt;"&amp;I28)+(COUNTIFS($B$6:$B$151,B28,$I$6:$I$151,I28)+1)/2,"NA")</x:f>
        <x:v>21.5</x:v>
      </x:c>
      <x:c r="T28" s="26" t="str">
        <x:f>IF(COUNTIFS($I$6:$I$151,"&gt;"&amp;I28)&gt;=30,"非前20%",IF(COUNTIFS($I$6:$I$151,"&gt;="&amp;I28)&gt;=30,"边界同分","严格前20%"))</x:f>
        <x:v>严格前20%</x:v>
      </x:c>
      <x:c r="U28" s="26" t="str">
        <x:f>IF(COUNTIFS($I$6:$I$151,"&lt;"&amp;I28)&gt;=30,"非后20%",IF(COUNTIFS($I$6:$I$151,"&lt;="&amp;I28)&gt;=30,"边界同分","严格后20%"))</x:f>
        <x:v>非后20%</x:v>
      </x:c>
      <x:c r="V28" s="22" t="n">
        <x:f>'指标计算'!P166</x:f>
        <x:v>0.22590336193938357</x:v>
      </x:c>
      <x:c r="W28" s="22" t="n">
        <x:f>'指标计算'!Q166</x:f>
        <x:v>0.22590336193938357</x:v>
      </x:c>
      <x:c r="X28" s="22" t="str">
        <x:v>["S1054"]</x:v>
      </x:c>
      <x:c r="Y28" s="22" t="str">
        <x:v>evidence/student_evidence.jsonl；student_key=2026春:268184</x:v>
      </x:c>
      <x:c r="Z28" s="26" t="n">
        <x:f>IF(OR(B28="s3",B28="s6"),COUNTIFS($B$6:$B$151,B28,$K$6:$K$151,"&gt;"&amp;K28)+(COUNTIFS($B$6:$B$151,B28,$K$6:$K$151,K28)+1)/2,"NA")</x:f>
        <x:v>22.5</x:v>
      </x:c>
      <x:c r="AA28" s="26" t="n">
        <x:f>IF(OR(B28="s3",B28="s6"),COUNTIFS($B$6:$B$151,B28,$M$6:$M$151,"&gt;"&amp;M28)+(COUNTIFS($B$6:$B$151,B28,$M$6:$M$151,M28)+1)/2,"NA")</x:f>
        <x:v>21.5</x:v>
      </x:c>
      <x:c r="AB28" s="26" t="n">
        <x:f>IF(OR(B28="s3",B28="s6"),COUNTIFS($B$6:$B$151,B28,$O$6:$O$151,"&gt;"&amp;O28)+(COUNTIFS($B$6:$B$151,B28,$O$6:$O$151,O28)+1)/2,"NA")</x:f>
        <x:v>21.5</x:v>
      </x:c>
      <x:c r="AC28" s="26" t="n">
        <x:f>IF(OR(B28="s3",B28="s6"),COUNTIFS($B$6:$B$151,B28,$Q$6:$Q$151,"&gt;"&amp;Q28)+(COUNTIFS($B$6:$B$151,B28,$Q$6:$Q$151,Q28)+1)/2,"NA")</x:f>
        <x:v>21.5</x:v>
      </x:c>
      <x:c r="AD28" s="25" t="n">
        <x:v>66.63991810413317</x:v>
      </x:c>
      <x:c r="AE28" s="25" t="n">
        <x:v>27.5</x:v>
      </x:c>
      <x:c r="AF28" s="25" t="n">
        <x:v>26.5</x:v>
      </x:c>
      <x:c r="AG28" s="25" t="n">
        <x:v>5</x:v>
      </x:c>
    </x:row>
    <x:row r="29" ht="23" customHeight="1">
      <x:c r="A29" s="21" t="str">
        <x:v>2025秋:240957</x:v>
      </x:c>
      <x:c r="B29" s="22" t="str">
        <x:v>s3</x:v>
      </x:c>
      <x:c r="C29" s="24" t="n">
        <x:v>1</x:v>
      </x:c>
      <x:c r="D29" s="24" t="n">
        <x:v>1</x:v>
      </x:c>
      <x:c r="E29" s="29" t="n">
        <x:f>'指标计算'!S6</x:f>
        <x:v>0.5092316551794606</x:v>
      </x:c>
      <x:c r="F29" s="29" t="n">
        <x:f>'指标计算'!T6</x:f>
        <x:v>0.610779862153526</x:v>
      </x:c>
      <x:c r="G29" s="29" t="n">
        <x:f>'指标计算'!U6</x:f>
        <x:v>0.610779862153526</x:v>
      </x:c>
      <x:c r="H29" s="29" t="n">
        <x:f>'指标计算'!V6</x:f>
        <x:v>1</x:v>
      </x:c>
      <x:c r="I29" s="30" t="n">
        <x:f>IF(COUNT('总览与权重'!$H$11:$K$11)=4,ROUND(100*SUMPRODUCT(E29:H29,'总览与权重'!$H$11:$K$11),12),"NA")</x:f>
        <x:v>69.708144141525</x:v>
      </x:c>
      <x:c r="J29" s="30" t="n">
        <x:f>IF(ISNUMBER(I29),COUNTIFS($I$6:$I$151,"&gt;"&amp;I29)+(COUNTIFS($I$6:$I$151,I29)+1)/2,"NA")</x:f>
        <x:v>25</x:v>
      </x:c>
      <x:c r="K29" s="30" t="n">
        <x:f>IF(COUNT('总览与权重'!$H$12:$K$12)=4,ROUND(100*SUMPRODUCT(E29:H29,'总览与权重'!$H$12:$K$12),12),"NA")</x:f>
        <x:v>66.831424832801</x:v>
      </x:c>
      <x:c r="L29" s="30" t="n">
        <x:f>IF(ISNUMBER(K29),COUNTIFS($K$6:$K$151,"&gt;"&amp;K29)+(COUNTIFS($K$6:$K$151,K29)+1)/2,"NA")</x:f>
        <x:v>30</x:v>
      </x:c>
      <x:c r="M29" s="30" t="n">
        <x:f>IF(COUNT('总览与权重'!$H$13:$K$13)=4,ROUND(100*SUMPRODUCT(E29:H29,'总览与权重'!$H$13:$K$13),12),"NA")</x:f>
        <x:v>72.161985865628</x:v>
      </x:c>
      <x:c r="N29" s="30" t="n">
        <x:f>IF(ISNUMBER(M29),COUNTIFS($M$6:$M$151,"&gt;"&amp;M29)+(COUNTIFS($M$6:$M$151,M29)+1)/2,"NA")</x:f>
        <x:v>25</x:v>
      </x:c>
      <x:c r="O29" s="30" t="n">
        <x:f>IF(COUNT('总览与权重'!$H$14:$K$14)=4,ROUND(100*SUMPRODUCT(E29:H29,'总览与权重'!$H$14:$K$14),12),"NA")</x:f>
        <x:v>72.726271899622</x:v>
      </x:c>
      <x:c r="P29" s="30" t="n">
        <x:f>IF(ISNUMBER(O29),COUNTIFS($O$6:$O$151,"&gt;"&amp;O29)+(COUNTIFS($O$6:$O$151,O29)+1)/2,"NA")</x:f>
        <x:v>29</x:v>
      </x:c>
      <x:c r="Q29" s="30" t="n">
        <x:f>IF(COUNT('总览与权重'!$H$15:$K$15)=4,ROUND(100*SUMPRODUCT(E29:H29,'总览与权重'!$H$15:$K$15),12),"NA")</x:f>
        <x:v>85.429801328748</x:v>
      </x:c>
      <x:c r="R29" s="30" t="n">
        <x:f>IF(ISNUMBER(Q29),COUNTIFS($Q$6:$Q$151,"&gt;"&amp;Q29)+(COUNTIFS($Q$6:$Q$151,Q29)+1)/2,"NA")</x:f>
        <x:v>27</x:v>
      </x:c>
      <x:c r="S29" s="31" t="n">
        <x:f>IF(OR(B29="s3",B29="s6"),COUNTIFS($B$6:$B$151,B29,$I$6:$I$151,"&gt;"&amp;I29)+(COUNTIFS($B$6:$B$151,B29,$I$6:$I$151,I29)+1)/2,"NA")</x:f>
        <x:v>24</x:v>
      </x:c>
      <x:c r="T29" s="26" t="str">
        <x:f>IF(COUNTIFS($I$6:$I$151,"&gt;"&amp;I29)&gt;=30,"非前20%",IF(COUNTIFS($I$6:$I$151,"&gt;="&amp;I29)&gt;=30,"边界同分","严格前20%"))</x:f>
        <x:v>严格前20%</x:v>
      </x:c>
      <x:c r="U29" s="26" t="str">
        <x:f>IF(COUNTIFS($I$6:$I$151,"&lt;"&amp;I29)&gt;=30,"非后20%",IF(COUNTIFS($I$6:$I$151,"&lt;="&amp;I29)&gt;=30,"边界同分","严格后20%"))</x:f>
        <x:v>非后20%</x:v>
      </x:c>
      <x:c r="V29" s="22" t="n">
        <x:f>'指标计算'!P6</x:f>
        <x:v>0.22155972430705198</x:v>
      </x:c>
      <x:c r="W29" s="22" t="n">
        <x:f>'指标计算'!Q6</x:f>
        <x:v>0.22155972430705198</x:v>
      </x:c>
      <x:c r="X29" s="22" t="str">
        <x:v>["S0440"]</x:v>
      </x:c>
      <x:c r="Y29" s="22" t="str">
        <x:v>evidence/student_evidence.jsonl；student_key=2025秋:240957</x:v>
      </x:c>
      <x:c r="Z29" s="26" t="n">
        <x:f>IF(OR(B29="s3",B29="s6"),COUNTIFS($B$6:$B$151,B29,$K$6:$K$151,"&gt;"&amp;K29)+(COUNTIFS($B$6:$B$151,B29,$K$6:$K$151,K29)+1)/2,"NA")</x:f>
        <x:v>27</x:v>
      </x:c>
      <x:c r="AA29" s="26" t="n">
        <x:f>IF(OR(B29="s3",B29="s6"),COUNTIFS($B$6:$B$151,B29,$M$6:$M$151,"&gt;"&amp;M29)+(COUNTIFS($B$6:$B$151,B29,$M$6:$M$151,M29)+1)/2,"NA")</x:f>
        <x:v>24</x:v>
      </x:c>
      <x:c r="AB29" s="26" t="n">
        <x:f>IF(OR(B29="s3",B29="s6"),COUNTIFS($B$6:$B$151,B29,$O$6:$O$151,"&gt;"&amp;O29)+(COUNTIFS($B$6:$B$151,B29,$O$6:$O$151,O29)+1)/2,"NA")</x:f>
        <x:v>26</x:v>
      </x:c>
      <x:c r="AC29" s="26" t="n">
        <x:f>IF(OR(B29="s3",B29="s6"),COUNTIFS($B$6:$B$151,B29,$Q$6:$Q$151,"&gt;"&amp;Q29)+(COUNTIFS($B$6:$B$151,B29,$Q$6:$Q$151,Q29)+1)/2,"NA")</x:f>
        <x:v>26</x:v>
      </x:c>
      <x:c r="AD29" s="25" t="n">
        <x:v>66.54827083329995</x:v>
      </x:c>
      <x:c r="AE29" s="25" t="n">
        <x:v>30</x:v>
      </x:c>
      <x:c r="AF29" s="25" t="n">
        <x:v>29</x:v>
      </x:c>
      <x:c r="AG29" s="25" t="n">
        <x:v>5</x:v>
      </x:c>
    </x:row>
    <x:row r="30" ht="23" customHeight="1">
      <x:c r="A30" s="21" t="str">
        <x:v>2025秋:259425</x:v>
      </x:c>
      <x:c r="B30" s="22" t="str">
        <x:v>s3</x:v>
      </x:c>
      <x:c r="C30" s="24" t="n">
        <x:v>1</x:v>
      </x:c>
      <x:c r="D30" s="24" t="n">
        <x:v>1</x:v>
      </x:c>
      <x:c r="E30" s="29" t="n">
        <x:f>'指标计算'!S103</x:f>
        <x:v>0.5092316551794606</x:v>
      </x:c>
      <x:c r="F30" s="29" t="n">
        <x:f>'指标计算'!T103</x:f>
        <x:v>0.610779862153526</x:v>
      </x:c>
      <x:c r="G30" s="29" t="n">
        <x:f>'指标计算'!U103</x:f>
        <x:v>0.610779862153526</x:v>
      </x:c>
      <x:c r="H30" s="29" t="n">
        <x:f>'指标计算'!V103</x:f>
        <x:v>1</x:v>
      </x:c>
      <x:c r="I30" s="30" t="n">
        <x:f>IF(COUNT('总览与权重'!$H$11:$K$11)=4,ROUND(100*SUMPRODUCT(E30:H30,'总览与权重'!$H$11:$K$11),12),"NA")</x:f>
        <x:v>69.708144141525</x:v>
      </x:c>
      <x:c r="J30" s="30" t="n">
        <x:f>IF(ISNUMBER(I30),COUNTIFS($I$6:$I$151,"&gt;"&amp;I30)+(COUNTIFS($I$6:$I$151,I30)+1)/2,"NA")</x:f>
        <x:v>25</x:v>
      </x:c>
      <x:c r="K30" s="30" t="n">
        <x:f>IF(COUNT('总览与权重'!$H$12:$K$12)=4,ROUND(100*SUMPRODUCT(E30:H30,'总览与权重'!$H$12:$K$12),12),"NA")</x:f>
        <x:v>66.831424832801</x:v>
      </x:c>
      <x:c r="L30" s="30" t="n">
        <x:f>IF(ISNUMBER(K30),COUNTIFS($K$6:$K$151,"&gt;"&amp;K30)+(COUNTIFS($K$6:$K$151,K30)+1)/2,"NA")</x:f>
        <x:v>30</x:v>
      </x:c>
      <x:c r="M30" s="30" t="n">
        <x:f>IF(COUNT('总览与权重'!$H$13:$K$13)=4,ROUND(100*SUMPRODUCT(E30:H30,'总览与权重'!$H$13:$K$13),12),"NA")</x:f>
        <x:v>72.161985865628</x:v>
      </x:c>
      <x:c r="N30" s="30" t="n">
        <x:f>IF(ISNUMBER(M30),COUNTIFS($M$6:$M$151,"&gt;"&amp;M30)+(COUNTIFS($M$6:$M$151,M30)+1)/2,"NA")</x:f>
        <x:v>25</x:v>
      </x:c>
      <x:c r="O30" s="30" t="n">
        <x:f>IF(COUNT('总览与权重'!$H$14:$K$14)=4,ROUND(100*SUMPRODUCT(E30:H30,'总览与权重'!$H$14:$K$14),12),"NA")</x:f>
        <x:v>72.726271899622</x:v>
      </x:c>
      <x:c r="P30" s="30" t="n">
        <x:f>IF(ISNUMBER(O30),COUNTIFS($O$6:$O$151,"&gt;"&amp;O30)+(COUNTIFS($O$6:$O$151,O30)+1)/2,"NA")</x:f>
        <x:v>29</x:v>
      </x:c>
      <x:c r="Q30" s="30" t="n">
        <x:f>IF(COUNT('总览与权重'!$H$15:$K$15)=4,ROUND(100*SUMPRODUCT(E30:H30,'总览与权重'!$H$15:$K$15),12),"NA")</x:f>
        <x:v>85.429801328748</x:v>
      </x:c>
      <x:c r="R30" s="30" t="n">
        <x:f>IF(ISNUMBER(Q30),COUNTIFS($Q$6:$Q$151,"&gt;"&amp;Q30)+(COUNTIFS($Q$6:$Q$151,Q30)+1)/2,"NA")</x:f>
        <x:v>27</x:v>
      </x:c>
      <x:c r="S30" s="31" t="n">
        <x:f>IF(OR(B30="s3",B30="s6"),COUNTIFS($B$6:$B$151,B30,$I$6:$I$151,"&gt;"&amp;I30)+(COUNTIFS($B$6:$B$151,B30,$I$6:$I$151,I30)+1)/2,"NA")</x:f>
        <x:v>24</x:v>
      </x:c>
      <x:c r="T30" s="26" t="str">
        <x:f>IF(COUNTIFS($I$6:$I$151,"&gt;"&amp;I30)&gt;=30,"非前20%",IF(COUNTIFS($I$6:$I$151,"&gt;="&amp;I30)&gt;=30,"边界同分","严格前20%"))</x:f>
        <x:v>严格前20%</x:v>
      </x:c>
      <x:c r="U30" s="26" t="str">
        <x:f>IF(COUNTIFS($I$6:$I$151,"&lt;"&amp;I30)&gt;=30,"非后20%",IF(COUNTIFS($I$6:$I$151,"&lt;="&amp;I30)&gt;=30,"边界同分","严格后20%"))</x:f>
        <x:v>非后20%</x:v>
      </x:c>
      <x:c r="V30" s="22" t="n">
        <x:f>'指标计算'!P103</x:f>
        <x:v>0.22155972430705198</x:v>
      </x:c>
      <x:c r="W30" s="22" t="n">
        <x:f>'指标计算'!Q103</x:f>
        <x:v>0.22155972430705198</x:v>
      </x:c>
      <x:c r="X30" s="22" t="str">
        <x:v>["S0037"]</x:v>
      </x:c>
      <x:c r="Y30" s="22" t="str">
        <x:v>evidence/student_evidence.jsonl；student_key=2025秋:259425</x:v>
      </x:c>
      <x:c r="Z30" s="26" t="n">
        <x:f>IF(OR(B30="s3",B30="s6"),COUNTIFS($B$6:$B$151,B30,$K$6:$K$151,"&gt;"&amp;K30)+(COUNTIFS($B$6:$B$151,B30,$K$6:$K$151,K30)+1)/2,"NA")</x:f>
        <x:v>27</x:v>
      </x:c>
      <x:c r="AA30" s="26" t="n">
        <x:f>IF(OR(B30="s3",B30="s6"),COUNTIFS($B$6:$B$151,B30,$M$6:$M$151,"&gt;"&amp;M30)+(COUNTIFS($B$6:$B$151,B30,$M$6:$M$151,M30)+1)/2,"NA")</x:f>
        <x:v>24</x:v>
      </x:c>
      <x:c r="AB30" s="26" t="n">
        <x:f>IF(OR(B30="s3",B30="s6"),COUNTIFS($B$6:$B$151,B30,$O$6:$O$151,"&gt;"&amp;O30)+(COUNTIFS($B$6:$B$151,B30,$O$6:$O$151,O30)+1)/2,"NA")</x:f>
        <x:v>26</x:v>
      </x:c>
      <x:c r="AC30" s="26" t="n">
        <x:f>IF(OR(B30="s3",B30="s6"),COUNTIFS($B$6:$B$151,B30,$Q$6:$Q$151,"&gt;"&amp;Q30)+(COUNTIFS($B$6:$B$151,B30,$Q$6:$Q$151,Q30)+1)/2,"NA")</x:f>
        <x:v>26</x:v>
      </x:c>
      <x:c r="AD30" s="25" t="n">
        <x:v>66.54827083329995</x:v>
      </x:c>
      <x:c r="AE30" s="25" t="n">
        <x:v>30</x:v>
      </x:c>
      <x:c r="AF30" s="25" t="n">
        <x:v>29</x:v>
      </x:c>
      <x:c r="AG30" s="25" t="n">
        <x:v>5</x:v>
      </x:c>
    </x:row>
    <x:row r="31" ht="23" customHeight="1">
      <x:c r="A31" s="21" t="str">
        <x:v>2026春:268502</x:v>
      </x:c>
      <x:c r="B31" s="22" t="str">
        <x:v>s3</x:v>
      </x:c>
      <x:c r="C31" s="24" t="n">
        <x:v>1</x:v>
      </x:c>
      <x:c r="D31" s="24" t="n">
        <x:v>1</x:v>
      </x:c>
      <x:c r="E31" s="29" t="n">
        <x:f>'指标计算'!S176</x:f>
        <x:v>0.5092316551794606</x:v>
      </x:c>
      <x:c r="F31" s="29" t="n">
        <x:f>'指标计算'!T176</x:f>
        <x:v>0.610779862153526</x:v>
      </x:c>
      <x:c r="G31" s="29" t="n">
        <x:f>'指标计算'!U176</x:f>
        <x:v>0.610779862153526</x:v>
      </x:c>
      <x:c r="H31" s="29" t="n">
        <x:f>'指标计算'!V176</x:f>
        <x:v>1</x:v>
      </x:c>
      <x:c r="I31" s="30" t="n">
        <x:f>IF(COUNT('总览与权重'!$H$11:$K$11)=4,ROUND(100*SUMPRODUCT(E31:H31,'总览与权重'!$H$11:$K$11),12),"NA")</x:f>
        <x:v>69.708144141525</x:v>
      </x:c>
      <x:c r="J31" s="30" t="n">
        <x:f>IF(ISNUMBER(I31),COUNTIFS($I$6:$I$151,"&gt;"&amp;I31)+(COUNTIFS($I$6:$I$151,I31)+1)/2,"NA")</x:f>
        <x:v>25</x:v>
      </x:c>
      <x:c r="K31" s="30" t="n">
        <x:f>IF(COUNT('总览与权重'!$H$12:$K$12)=4,ROUND(100*SUMPRODUCT(E31:H31,'总览与权重'!$H$12:$K$12),12),"NA")</x:f>
        <x:v>66.831424832801</x:v>
      </x:c>
      <x:c r="L31" s="30" t="n">
        <x:f>IF(ISNUMBER(K31),COUNTIFS($K$6:$K$151,"&gt;"&amp;K31)+(COUNTIFS($K$6:$K$151,K31)+1)/2,"NA")</x:f>
        <x:v>30</x:v>
      </x:c>
      <x:c r="M31" s="30" t="n">
        <x:f>IF(COUNT('总览与权重'!$H$13:$K$13)=4,ROUND(100*SUMPRODUCT(E31:H31,'总览与权重'!$H$13:$K$13),12),"NA")</x:f>
        <x:v>72.161985865628</x:v>
      </x:c>
      <x:c r="N31" s="30" t="n">
        <x:f>IF(ISNUMBER(M31),COUNTIFS($M$6:$M$151,"&gt;"&amp;M31)+(COUNTIFS($M$6:$M$151,M31)+1)/2,"NA")</x:f>
        <x:v>25</x:v>
      </x:c>
      <x:c r="O31" s="30" t="n">
        <x:f>IF(COUNT('总览与权重'!$H$14:$K$14)=4,ROUND(100*SUMPRODUCT(E31:H31,'总览与权重'!$H$14:$K$14),12),"NA")</x:f>
        <x:v>72.726271899622</x:v>
      </x:c>
      <x:c r="P31" s="30" t="n">
        <x:f>IF(ISNUMBER(O31),COUNTIFS($O$6:$O$151,"&gt;"&amp;O31)+(COUNTIFS($O$6:$O$151,O31)+1)/2,"NA")</x:f>
        <x:v>29</x:v>
      </x:c>
      <x:c r="Q31" s="30" t="n">
        <x:f>IF(COUNT('总览与权重'!$H$15:$K$15)=4,ROUND(100*SUMPRODUCT(E31:H31,'总览与权重'!$H$15:$K$15),12),"NA")</x:f>
        <x:v>85.429801328748</x:v>
      </x:c>
      <x:c r="R31" s="30" t="n">
        <x:f>IF(ISNUMBER(Q31),COUNTIFS($Q$6:$Q$151,"&gt;"&amp;Q31)+(COUNTIFS($Q$6:$Q$151,Q31)+1)/2,"NA")</x:f>
        <x:v>27</x:v>
      </x:c>
      <x:c r="S31" s="31" t="n">
        <x:f>IF(OR(B31="s3",B31="s6"),COUNTIFS($B$6:$B$151,B31,$I$6:$I$151,"&gt;"&amp;I31)+(COUNTIFS($B$6:$B$151,B31,$I$6:$I$151,I31)+1)/2,"NA")</x:f>
        <x:v>24</x:v>
      </x:c>
      <x:c r="T31" s="26" t="str">
        <x:f>IF(COUNTIFS($I$6:$I$151,"&gt;"&amp;I31)&gt;=30,"非前20%",IF(COUNTIFS($I$6:$I$151,"&gt;="&amp;I31)&gt;=30,"边界同分","严格前20%"))</x:f>
        <x:v>严格前20%</x:v>
      </x:c>
      <x:c r="U31" s="26" t="str">
        <x:f>IF(COUNTIFS($I$6:$I$151,"&lt;"&amp;I31)&gt;=30,"非后20%",IF(COUNTIFS($I$6:$I$151,"&lt;="&amp;I31)&gt;=30,"边界同分","严格后20%"))</x:f>
        <x:v>非后20%</x:v>
      </x:c>
      <x:c r="V31" s="22" t="n">
        <x:f>'指标计算'!P176</x:f>
        <x:v>0.22155972430705198</x:v>
      </x:c>
      <x:c r="W31" s="22" t="n">
        <x:f>'指标计算'!Q176</x:f>
        <x:v>0.22155972430705198</x:v>
      </x:c>
      <x:c r="X31" s="22" t="str">
        <x:v>["S1220"]</x:v>
      </x:c>
      <x:c r="Y31" s="22" t="str">
        <x:v>evidence/student_evidence.jsonl；student_key=2026春:268502</x:v>
      </x:c>
      <x:c r="Z31" s="26" t="n">
        <x:f>IF(OR(B31="s3",B31="s6"),COUNTIFS($B$6:$B$151,B31,$K$6:$K$151,"&gt;"&amp;K31)+(COUNTIFS($B$6:$B$151,B31,$K$6:$K$151,K31)+1)/2,"NA")</x:f>
        <x:v>27</x:v>
      </x:c>
      <x:c r="AA31" s="26" t="n">
        <x:f>IF(OR(B31="s3",B31="s6"),COUNTIFS($B$6:$B$151,B31,$M$6:$M$151,"&gt;"&amp;M31)+(COUNTIFS($B$6:$B$151,B31,$M$6:$M$151,M31)+1)/2,"NA")</x:f>
        <x:v>24</x:v>
      </x:c>
      <x:c r="AB31" s="26" t="n">
        <x:f>IF(OR(B31="s3",B31="s6"),COUNTIFS($B$6:$B$151,B31,$O$6:$O$151,"&gt;"&amp;O31)+(COUNTIFS($B$6:$B$151,B31,$O$6:$O$151,O31)+1)/2,"NA")</x:f>
        <x:v>26</x:v>
      </x:c>
      <x:c r="AC31" s="26" t="n">
        <x:f>IF(OR(B31="s3",B31="s6"),COUNTIFS($B$6:$B$151,B31,$Q$6:$Q$151,"&gt;"&amp;Q31)+(COUNTIFS($B$6:$B$151,B31,$Q$6:$Q$151,Q31)+1)/2,"NA")</x:f>
        <x:v>26</x:v>
      </x:c>
      <x:c r="AD31" s="25" t="n">
        <x:v>66.54827083329995</x:v>
      </x:c>
      <x:c r="AE31" s="25" t="n">
        <x:v>30</x:v>
      </x:c>
      <x:c r="AF31" s="25" t="n">
        <x:v>29</x:v>
      </x:c>
      <x:c r="AG31" s="25" t="n">
        <x:v>5</x:v>
      </x:c>
    </x:row>
    <x:row r="32" ht="23" customHeight="1">
      <x:c r="A32" s="21" t="str">
        <x:v>2025秋:258431</x:v>
      </x:c>
      <x:c r="B32" s="22" t="str">
        <x:v>s3</x:v>
      </x:c>
      <x:c r="C32" s="24" t="n">
        <x:v>2</x:v>
      </x:c>
      <x:c r="D32" s="24" t="n">
        <x:v>1</x:v>
      </x:c>
      <x:c r="E32" s="29" t="n">
        <x:f>'指标计算'!S15</x:f>
        <x:v>0.5092245472116846</x:v>
      </x:c>
      <x:c r="F32" s="29" t="n">
        <x:f>'指标计算'!T15</x:f>
        <x:v>0.610694566540216</x:v>
      </x:c>
      <x:c r="G32" s="29" t="n">
        <x:f>'指标计算'!U15</x:f>
        <x:v>0.610694566540216</x:v>
      </x:c>
      <x:c r="H32" s="29" t="n">
        <x:f>'指标计算'!V15</x:f>
        <x:v>1</x:v>
      </x:c>
      <x:c r="I32" s="30" t="n">
        <x:f>IF(COUNT('总览与权重'!$H$11:$K$11)=4,ROUND(100*SUMPRODUCT(E32:H32,'总览与权重'!$H$11:$K$11),12),"NA")</x:f>
        <x:v>69.704519077959</x:v>
      </x:c>
      <x:c r="J32" s="30" t="n">
        <x:f>IF(ISNUMBER(I32),COUNTIFS($I$6:$I$151,"&gt;"&amp;I32)+(COUNTIFS($I$6:$I$151,I32)+1)/2,"NA")</x:f>
        <x:v>28</x:v>
      </x:c>
      <x:c r="K32" s="30" t="n">
        <x:f>IF(COUNT('总览与权重'!$H$12:$K$12)=4,ROUND(100*SUMPRODUCT(E32:H32,'总览与权重'!$H$12:$K$12),12),"NA")</x:f>
        <x:v>66.826164936647</x:v>
      </x:c>
      <x:c r="L32" s="30" t="n">
        <x:f>IF(ISNUMBER(K32),COUNTIFS($K$6:$K$151,"&gt;"&amp;K32)+(COUNTIFS($K$6:$K$151,K32)+1)/2,"NA")</x:f>
        <x:v>33</x:v>
      </x:c>
      <x:c r="M32" s="30" t="n">
        <x:f>IF(COUNT('总览与权重'!$H$13:$K$13)=4,ROUND(100*SUMPRODUCT(E32:H32,'总览与权重'!$H$13:$K$13),12),"NA")</x:f>
        <x:v>72.158396341901</x:v>
      </x:c>
      <x:c r="N32" s="30" t="n">
        <x:f>IF(ISNUMBER(M32),COUNTIFS($M$6:$M$151,"&gt;"&amp;M32)+(COUNTIFS($M$6:$M$151,M32)+1)/2,"NA")</x:f>
        <x:v>28</x:v>
      </x:c>
      <x:c r="O32" s="30" t="n">
        <x:f>IF(COUNT('总览与权重'!$H$14:$K$14)=4,ROUND(100*SUMPRODUCT(E32:H32,'总览与权重'!$H$14:$K$14),12),"NA")</x:f>
        <x:v>72.72032301065</x:v>
      </x:c>
      <x:c r="P32" s="30" t="n">
        <x:f>IF(ISNUMBER(O32),COUNTIFS($O$6:$O$151,"&gt;"&amp;O32)+(COUNTIFS($O$6:$O$151,O32)+1)/2,"NA")</x:f>
        <x:v>32</x:v>
      </x:c>
      <x:c r="Q32" s="30" t="n">
        <x:f>IF(COUNT('总览与权重'!$H$15:$K$15)=4,ROUND(100*SUMPRODUCT(E32:H32,'总览与权重'!$H$15:$K$15),12),"NA")</x:f>
        <x:v>85.426623307252</x:v>
      </x:c>
      <x:c r="R32" s="30" t="n">
        <x:f>IF(ISNUMBER(Q32),COUNTIFS($Q$6:$Q$151,"&gt;"&amp;Q32)+(COUNTIFS($Q$6:$Q$151,Q32)+1)/2,"NA")</x:f>
        <x:v>30</x:v>
      </x:c>
      <x:c r="S32" s="31" t="n">
        <x:f>IF(OR(B32="s3",B32="s6"),COUNTIFS($B$6:$B$151,B32,$I$6:$I$151,"&gt;"&amp;I32)+(COUNTIFS($B$6:$B$151,B32,$I$6:$I$151,I32)+1)/2,"NA")</x:f>
        <x:v>27</x:v>
      </x:c>
      <x:c r="T32" s="26" t="str">
        <x:f>IF(COUNTIFS($I$6:$I$151,"&gt;"&amp;I32)&gt;=30,"非前20%",IF(COUNTIFS($I$6:$I$151,"&gt;="&amp;I32)&gt;=30,"边界同分","严格前20%"))</x:f>
        <x:v>严格前20%</x:v>
      </x:c>
      <x:c r="U32" s="26" t="str">
        <x:f>IF(COUNTIFS($I$6:$I$151,"&lt;"&amp;I32)&gt;=30,"非后20%",IF(COUNTIFS($I$6:$I$151,"&lt;="&amp;I32)&gt;=30,"边界同分","严格后20%"))</x:f>
        <x:v>非后20%</x:v>
      </x:c>
      <x:c r="V32" s="22" t="n">
        <x:f>'指标计算'!P15</x:f>
        <x:v>0.22138913308043204</x:v>
      </x:c>
      <x:c r="W32" s="22" t="n">
        <x:f>'指标计算'!Q15</x:f>
        <x:v>0.22138913308043204</x:v>
      </x:c>
      <x:c r="X32" s="22" t="str">
        <x:v>["S0444","S0667"]</x:v>
      </x:c>
      <x:c r="Y32" s="22" t="str">
        <x:v>evidence/student_evidence.jsonl；student_key=2025秋:258431</x:v>
      </x:c>
      <x:c r="Z32" s="26" t="n">
        <x:f>IF(OR(B32="s3",B32="s6"),COUNTIFS($B$6:$B$151,B32,$K$6:$K$151,"&gt;"&amp;K32)+(COUNTIFS($B$6:$B$151,B32,$K$6:$K$151,K32)+1)/2,"NA")</x:f>
        <x:v>30</x:v>
      </x:c>
      <x:c r="AA32" s="26" t="n">
        <x:f>IF(OR(B32="s3",B32="s6"),COUNTIFS($B$6:$B$151,B32,$M$6:$M$151,"&gt;"&amp;M32)+(COUNTIFS($B$6:$B$151,B32,$M$6:$M$151,M32)+1)/2,"NA")</x:f>
        <x:v>27</x:v>
      </x:c>
      <x:c r="AB32" s="26" t="n">
        <x:f>IF(OR(B32="s3",B32="s6"),COUNTIFS($B$6:$B$151,B32,$O$6:$O$151,"&gt;"&amp;O32)+(COUNTIFS($B$6:$B$151,B32,$O$6:$O$151,O32)+1)/2,"NA")</x:f>
        <x:v>29</x:v>
      </x:c>
      <x:c r="AC32" s="26" t="n">
        <x:f>IF(OR(B32="s3",B32="s6"),COUNTIFS($B$6:$B$151,B32,$Q$6:$Q$151,"&gt;"&amp;Q32)+(COUNTIFS($B$6:$B$151,B32,$Q$6:$Q$151,Q32)+1)/2,"NA")</x:f>
        <x:v>29</x:v>
      </x:c>
      <x:c r="AD32" s="25" t="n">
        <x:v>66.54399074088045</x:v>
      </x:c>
      <x:c r="AE32" s="25" t="n">
        <x:v>33</x:v>
      </x:c>
      <x:c r="AF32" s="25" t="n">
        <x:v>32</x:v>
      </x:c>
      <x:c r="AG32" s="25" t="n">
        <x:v>5</x:v>
      </x:c>
    </x:row>
    <x:row r="33" ht="23" customHeight="1">
      <x:c r="A33" s="21" t="str">
        <x:v>2025秋:259326</x:v>
      </x:c>
      <x:c r="B33" s="22" t="str">
        <x:v>s3</x:v>
      </x:c>
      <x:c r="C33" s="24" t="n">
        <x:v>1</x:v>
      </x:c>
      <x:c r="D33" s="24" t="n">
        <x:v>1</x:v>
      </x:c>
      <x:c r="E33" s="29" t="n">
        <x:f>'指标计算'!S86</x:f>
        <x:v>0.5092245472116846</x:v>
      </x:c>
      <x:c r="F33" s="29" t="n">
        <x:f>'指标计算'!T86</x:f>
        <x:v>0.610694566540216</x:v>
      </x:c>
      <x:c r="G33" s="29" t="n">
        <x:f>'指标计算'!U86</x:f>
        <x:v>0.610694566540216</x:v>
      </x:c>
      <x:c r="H33" s="29" t="n">
        <x:f>'指标计算'!V86</x:f>
        <x:v>1</x:v>
      </x:c>
      <x:c r="I33" s="30" t="n">
        <x:f>IF(COUNT('总览与权重'!$H$11:$K$11)=4,ROUND(100*SUMPRODUCT(E33:H33,'总览与权重'!$H$11:$K$11),12),"NA")</x:f>
        <x:v>69.704519077959</x:v>
      </x:c>
      <x:c r="J33" s="30" t="n">
        <x:f>IF(ISNUMBER(I33),COUNTIFS($I$6:$I$151,"&gt;"&amp;I33)+(COUNTIFS($I$6:$I$151,I33)+1)/2,"NA")</x:f>
        <x:v>28</x:v>
      </x:c>
      <x:c r="K33" s="30" t="n">
        <x:f>IF(COUNT('总览与权重'!$H$12:$K$12)=4,ROUND(100*SUMPRODUCT(E33:H33,'总览与权重'!$H$12:$K$12),12),"NA")</x:f>
        <x:v>66.826164936647</x:v>
      </x:c>
      <x:c r="L33" s="30" t="n">
        <x:f>IF(ISNUMBER(K33),COUNTIFS($K$6:$K$151,"&gt;"&amp;K33)+(COUNTIFS($K$6:$K$151,K33)+1)/2,"NA")</x:f>
        <x:v>33</x:v>
      </x:c>
      <x:c r="M33" s="30" t="n">
        <x:f>IF(COUNT('总览与权重'!$H$13:$K$13)=4,ROUND(100*SUMPRODUCT(E33:H33,'总览与权重'!$H$13:$K$13),12),"NA")</x:f>
        <x:v>72.158396341901</x:v>
      </x:c>
      <x:c r="N33" s="30" t="n">
        <x:f>IF(ISNUMBER(M33),COUNTIFS($M$6:$M$151,"&gt;"&amp;M33)+(COUNTIFS($M$6:$M$151,M33)+1)/2,"NA")</x:f>
        <x:v>28</x:v>
      </x:c>
      <x:c r="O33" s="30" t="n">
        <x:f>IF(COUNT('总览与权重'!$H$14:$K$14)=4,ROUND(100*SUMPRODUCT(E33:H33,'总览与权重'!$H$14:$K$14),12),"NA")</x:f>
        <x:v>72.72032301065</x:v>
      </x:c>
      <x:c r="P33" s="30" t="n">
        <x:f>IF(ISNUMBER(O33),COUNTIFS($O$6:$O$151,"&gt;"&amp;O33)+(COUNTIFS($O$6:$O$151,O33)+1)/2,"NA")</x:f>
        <x:v>32</x:v>
      </x:c>
      <x:c r="Q33" s="30" t="n">
        <x:f>IF(COUNT('总览与权重'!$H$15:$K$15)=4,ROUND(100*SUMPRODUCT(E33:H33,'总览与权重'!$H$15:$K$15),12),"NA")</x:f>
        <x:v>85.426623307252</x:v>
      </x:c>
      <x:c r="R33" s="30" t="n">
        <x:f>IF(ISNUMBER(Q33),COUNTIFS($Q$6:$Q$151,"&gt;"&amp;Q33)+(COUNTIFS($Q$6:$Q$151,Q33)+1)/2,"NA")</x:f>
        <x:v>30</x:v>
      </x:c>
      <x:c r="S33" s="31" t="n">
        <x:f>IF(OR(B33="s3",B33="s6"),COUNTIFS($B$6:$B$151,B33,$I$6:$I$151,"&gt;"&amp;I33)+(COUNTIFS($B$6:$B$151,B33,$I$6:$I$151,I33)+1)/2,"NA")</x:f>
        <x:v>27</x:v>
      </x:c>
      <x:c r="T33" s="26" t="str">
        <x:f>IF(COUNTIFS($I$6:$I$151,"&gt;"&amp;I33)&gt;=30,"非前20%",IF(COUNTIFS($I$6:$I$151,"&gt;="&amp;I33)&gt;=30,"边界同分","严格前20%"))</x:f>
        <x:v>严格前20%</x:v>
      </x:c>
      <x:c r="U33" s="26" t="str">
        <x:f>IF(COUNTIFS($I$6:$I$151,"&lt;"&amp;I33)&gt;=30,"非后20%",IF(COUNTIFS($I$6:$I$151,"&lt;="&amp;I33)&gt;=30,"边界同分","严格后20%"))</x:f>
        <x:v>非后20%</x:v>
      </x:c>
      <x:c r="V33" s="22" t="n">
        <x:f>'指标计算'!P86</x:f>
        <x:v>0.22138913308043204</x:v>
      </x:c>
      <x:c r="W33" s="22" t="n">
        <x:f>'指标计算'!Q86</x:f>
        <x:v>0.22138913308043204</x:v>
      </x:c>
      <x:c r="X33" s="22" t="str">
        <x:v>["S0496"]</x:v>
      </x:c>
      <x:c r="Y33" s="22" t="str">
        <x:v>evidence/student_evidence.jsonl；student_key=2025秋:259326</x:v>
      </x:c>
      <x:c r="Z33" s="26" t="n">
        <x:f>IF(OR(B33="s3",B33="s6"),COUNTIFS($B$6:$B$151,B33,$K$6:$K$151,"&gt;"&amp;K33)+(COUNTIFS($B$6:$B$151,B33,$K$6:$K$151,K33)+1)/2,"NA")</x:f>
        <x:v>30</x:v>
      </x:c>
      <x:c r="AA33" s="26" t="n">
        <x:f>IF(OR(B33="s3",B33="s6"),COUNTIFS($B$6:$B$151,B33,$M$6:$M$151,"&gt;"&amp;M33)+(COUNTIFS($B$6:$B$151,B33,$M$6:$M$151,M33)+1)/2,"NA")</x:f>
        <x:v>27</x:v>
      </x:c>
      <x:c r="AB33" s="26" t="n">
        <x:f>IF(OR(B33="s3",B33="s6"),COUNTIFS($B$6:$B$151,B33,$O$6:$O$151,"&gt;"&amp;O33)+(COUNTIFS($B$6:$B$151,B33,$O$6:$O$151,O33)+1)/2,"NA")</x:f>
        <x:v>29</x:v>
      </x:c>
      <x:c r="AC33" s="26" t="n">
        <x:f>IF(OR(B33="s3",B33="s6"),COUNTIFS($B$6:$B$151,B33,$Q$6:$Q$151,"&gt;"&amp;Q33)+(COUNTIFS($B$6:$B$151,B33,$Q$6:$Q$151,Q33)+1)/2,"NA")</x:f>
        <x:v>29</x:v>
      </x:c>
      <x:c r="AD33" s="25" t="n">
        <x:v>66.54399074088045</x:v>
      </x:c>
      <x:c r="AE33" s="25" t="n">
        <x:v>33</x:v>
      </x:c>
      <x:c r="AF33" s="25" t="n">
        <x:v>32</x:v>
      </x:c>
      <x:c r="AG33" s="25" t="n">
        <x:v>5</x:v>
      </x:c>
    </x:row>
    <x:row r="34" ht="23" customHeight="1">
      <x:c r="A34" s="21" t="str">
        <x:v>2026春:268174</x:v>
      </x:c>
      <x:c r="B34" s="22" t="str">
        <x:v>s3</x:v>
      </x:c>
      <x:c r="C34" s="24" t="n">
        <x:v>1</x:v>
      </x:c>
      <x:c r="D34" s="24" t="n">
        <x:v>1</x:v>
      </x:c>
      <x:c r="E34" s="29" t="n">
        <x:f>'指标计算'!S163</x:f>
        <x:v>0.5092245472116846</x:v>
      </x:c>
      <x:c r="F34" s="29" t="n">
        <x:f>'指标计算'!T163</x:f>
        <x:v>0.610694566540216</x:v>
      </x:c>
      <x:c r="G34" s="29" t="n">
        <x:f>'指标计算'!U163</x:f>
        <x:v>0.610694566540216</x:v>
      </x:c>
      <x:c r="H34" s="29" t="n">
        <x:f>'指标计算'!V163</x:f>
        <x:v>1</x:v>
      </x:c>
      <x:c r="I34" s="30" t="n">
        <x:f>IF(COUNT('总览与权重'!$H$11:$K$11)=4,ROUND(100*SUMPRODUCT(E34:H34,'总览与权重'!$H$11:$K$11),12),"NA")</x:f>
        <x:v>69.704519077959</x:v>
      </x:c>
      <x:c r="J34" s="30" t="n">
        <x:f>IF(ISNUMBER(I34),COUNTIFS($I$6:$I$151,"&gt;"&amp;I34)+(COUNTIFS($I$6:$I$151,I34)+1)/2,"NA")</x:f>
        <x:v>28</x:v>
      </x:c>
      <x:c r="K34" s="30" t="n">
        <x:f>IF(COUNT('总览与权重'!$H$12:$K$12)=4,ROUND(100*SUMPRODUCT(E34:H34,'总览与权重'!$H$12:$K$12),12),"NA")</x:f>
        <x:v>66.826164936647</x:v>
      </x:c>
      <x:c r="L34" s="30" t="n">
        <x:f>IF(ISNUMBER(K34),COUNTIFS($K$6:$K$151,"&gt;"&amp;K34)+(COUNTIFS($K$6:$K$151,K34)+1)/2,"NA")</x:f>
        <x:v>33</x:v>
      </x:c>
      <x:c r="M34" s="30" t="n">
        <x:f>IF(COUNT('总览与权重'!$H$13:$K$13)=4,ROUND(100*SUMPRODUCT(E34:H34,'总览与权重'!$H$13:$K$13),12),"NA")</x:f>
        <x:v>72.158396341901</x:v>
      </x:c>
      <x:c r="N34" s="30" t="n">
        <x:f>IF(ISNUMBER(M34),COUNTIFS($M$6:$M$151,"&gt;"&amp;M34)+(COUNTIFS($M$6:$M$151,M34)+1)/2,"NA")</x:f>
        <x:v>28</x:v>
      </x:c>
      <x:c r="O34" s="30" t="n">
        <x:f>IF(COUNT('总览与权重'!$H$14:$K$14)=4,ROUND(100*SUMPRODUCT(E34:H34,'总览与权重'!$H$14:$K$14),12),"NA")</x:f>
        <x:v>72.72032301065</x:v>
      </x:c>
      <x:c r="P34" s="30" t="n">
        <x:f>IF(ISNUMBER(O34),COUNTIFS($O$6:$O$151,"&gt;"&amp;O34)+(COUNTIFS($O$6:$O$151,O34)+1)/2,"NA")</x:f>
        <x:v>32</x:v>
      </x:c>
      <x:c r="Q34" s="30" t="n">
        <x:f>IF(COUNT('总览与权重'!$H$15:$K$15)=4,ROUND(100*SUMPRODUCT(E34:H34,'总览与权重'!$H$15:$K$15),12),"NA")</x:f>
        <x:v>85.426623307252</x:v>
      </x:c>
      <x:c r="R34" s="30" t="n">
        <x:f>IF(ISNUMBER(Q34),COUNTIFS($Q$6:$Q$151,"&gt;"&amp;Q34)+(COUNTIFS($Q$6:$Q$151,Q34)+1)/2,"NA")</x:f>
        <x:v>30</x:v>
      </x:c>
      <x:c r="S34" s="31" t="n">
        <x:f>IF(OR(B34="s3",B34="s6"),COUNTIFS($B$6:$B$151,B34,$I$6:$I$151,"&gt;"&amp;I34)+(COUNTIFS($B$6:$B$151,B34,$I$6:$I$151,I34)+1)/2,"NA")</x:f>
        <x:v>27</x:v>
      </x:c>
      <x:c r="T34" s="26" t="str">
        <x:f>IF(COUNTIFS($I$6:$I$151,"&gt;"&amp;I34)&gt;=30,"非前20%",IF(COUNTIFS($I$6:$I$151,"&gt;="&amp;I34)&gt;=30,"边界同分","严格前20%"))</x:f>
        <x:v>严格前20%</x:v>
      </x:c>
      <x:c r="U34" s="26" t="str">
        <x:f>IF(COUNTIFS($I$6:$I$151,"&lt;"&amp;I34)&gt;=30,"非后20%",IF(COUNTIFS($I$6:$I$151,"&lt;="&amp;I34)&gt;=30,"边界同分","严格后20%"))</x:f>
        <x:v>非后20%</x:v>
      </x:c>
      <x:c r="V34" s="22" t="n">
        <x:f>'指标计算'!P163</x:f>
        <x:v>0.22138913308043204</x:v>
      </x:c>
      <x:c r="W34" s="22" t="n">
        <x:f>'指标计算'!Q163</x:f>
        <x:v>0.22138913308043204</x:v>
      </x:c>
      <x:c r="X34" s="22" t="str">
        <x:v>["S1044"]</x:v>
      </x:c>
      <x:c r="Y34" s="22" t="str">
        <x:v>evidence/student_evidence.jsonl；student_key=2026春:268174</x:v>
      </x:c>
      <x:c r="Z34" s="26" t="n">
        <x:f>IF(OR(B34="s3",B34="s6"),COUNTIFS($B$6:$B$151,B34,$K$6:$K$151,"&gt;"&amp;K34)+(COUNTIFS($B$6:$B$151,B34,$K$6:$K$151,K34)+1)/2,"NA")</x:f>
        <x:v>30</x:v>
      </x:c>
      <x:c r="AA34" s="26" t="n">
        <x:f>IF(OR(B34="s3",B34="s6"),COUNTIFS($B$6:$B$151,B34,$M$6:$M$151,"&gt;"&amp;M34)+(COUNTIFS($B$6:$B$151,B34,$M$6:$M$151,M34)+1)/2,"NA")</x:f>
        <x:v>27</x:v>
      </x:c>
      <x:c r="AB34" s="26" t="n">
        <x:f>IF(OR(B34="s3",B34="s6"),COUNTIFS($B$6:$B$151,B34,$O$6:$O$151,"&gt;"&amp;O34)+(COUNTIFS($B$6:$B$151,B34,$O$6:$O$151,O34)+1)/2,"NA")</x:f>
        <x:v>29</x:v>
      </x:c>
      <x:c r="AC34" s="26" t="n">
        <x:f>IF(OR(B34="s3",B34="s6"),COUNTIFS($B$6:$B$151,B34,$Q$6:$Q$151,"&gt;"&amp;Q34)+(COUNTIFS($B$6:$B$151,B34,$Q$6:$Q$151,Q34)+1)/2,"NA")</x:f>
        <x:v>29</x:v>
      </x:c>
      <x:c r="AD34" s="25" t="n">
        <x:v>66.54399074088045</x:v>
      </x:c>
      <x:c r="AE34" s="25" t="n">
        <x:v>33</x:v>
      </x:c>
      <x:c r="AF34" s="25" t="n">
        <x:v>32</x:v>
      </x:c>
      <x:c r="AG34" s="25" t="n">
        <x:v>5</x:v>
      </x:c>
    </x:row>
    <x:row r="35" ht="23" customHeight="1">
      <x:c r="A35" s="21" t="str">
        <x:v>2025秋:259016</x:v>
      </x:c>
      <x:c r="B35" s="22" t="str">
        <x:v>s3</x:v>
      </x:c>
      <x:c r="C35" s="24" t="n">
        <x:v>1</x:v>
      </x:c>
      <x:c r="D35" s="24" t="n">
        <x:v>1</x:v>
      </x:c>
      <x:c r="E35" s="29" t="n">
        <x:f>'指标计算'!S63</x:f>
        <x:v>0.5074350738214938</x:v>
      </x:c>
      <x:c r="F35" s="29" t="n">
        <x:f>'指标计算'!T63</x:f>
        <x:v>0.6115261073224061</x:v>
      </x:c>
      <x:c r="G35" s="29" t="n">
        <x:f>'指标计算'!U63</x:f>
        <x:v>0.6115261073224061</x:v>
      </x:c>
      <x:c r="H35" s="29" t="n">
        <x:f>'指标计算'!V63</x:f>
        <x:v>1</x:v>
      </x:c>
      <x:c r="I35" s="30" t="n">
        <x:f>IF(COUNT('总览与权重'!$H$11:$K$11)=4,ROUND(100*SUMPRODUCT(E35:H35,'总览与权重'!$H$11:$K$11),12),"NA")</x:f>
        <x:v>69.684096507541</x:v>
      </x:c>
      <x:c r="J35" s="30" t="n">
        <x:f>IF(ISNUMBER(I35),COUNTIFS($I$6:$I$151,"&gt;"&amp;I35)+(COUNTIFS($I$6:$I$151,I35)+1)/2,"NA")</x:f>
        <x:v>30.5</x:v>
      </x:c>
      <x:c r="K35" s="30" t="n">
        <x:f>IF(COUNT('总览与权重'!$H$12:$K$12)=4,ROUND(100*SUMPRODUCT(E35:H35,'总览与权重'!$H$12:$K$12),12),"NA")</x:f>
        <x:v>66.840267915774</x:v>
      </x:c>
      <x:c r="L35" s="30" t="n">
        <x:f>IF(ISNUMBER(K35),COUNTIFS($K$6:$K$151,"&gt;"&amp;K35)+(COUNTIFS($K$6:$K$151,K35)+1)/2,"NA")</x:f>
        <x:v>27.5</x:v>
      </x:c>
      <x:c r="M35" s="30" t="n">
        <x:f>IF(COUNT('总览与权重'!$H$13:$K$13)=4,ROUND(100*SUMPRODUCT(E35:H35,'总览与权重'!$H$13:$K$13),12),"NA")</x:f>
        <x:v>72.146921138434</x:v>
      </x:c>
      <x:c r="N35" s="30" t="n">
        <x:f>IF(ISNUMBER(M35),COUNTIFS($M$6:$M$151,"&gt;"&amp;M35)+(COUNTIFS($M$6:$M$151,M35)+1)/2,"NA")</x:f>
        <x:v>30.5</x:v>
      </x:c>
      <x:c r="O35" s="30" t="n">
        <x:f>IF(COUNT('总览与权重'!$H$14:$K$14)=4,ROUND(100*SUMPRODUCT(E35:H35,'总览与权重'!$H$14:$K$14),12),"NA")</x:f>
        <x:v>72.777799950856</x:v>
      </x:c>
      <x:c r="P35" s="30" t="n">
        <x:f>IF(ISNUMBER(O35),COUNTIFS($O$6:$O$151,"&gt;"&amp;O35)+(COUNTIFS($O$6:$O$151,O35)+1)/2,"NA")</x:f>
        <x:v>26.5</x:v>
      </x:c>
      <x:c r="Q35" s="30" t="n">
        <x:f>IF(COUNT('总览与权重'!$H$15:$K$15)=4,ROUND(100*SUMPRODUCT(E35:H35,'总览与权重'!$H$15:$K$15),12),"NA")</x:f>
        <x:v>85.457328696509</x:v>
      </x:c>
      <x:c r="R35" s="30" t="n">
        <x:f>IF(ISNUMBER(Q35),COUNTIFS($Q$6:$Q$151,"&gt;"&amp;Q35)+(COUNTIFS($Q$6:$Q$151,Q35)+1)/2,"NA")</x:f>
        <x:v>24.5</x:v>
      </x:c>
      <x:c r="S35" s="31" t="n">
        <x:f>IF(OR(B35="s3",B35="s6"),COUNTIFS($B$6:$B$151,B35,$I$6:$I$151,"&gt;"&amp;I35)+(COUNTIFS($B$6:$B$151,B35,$I$6:$I$151,I35)+1)/2,"NA")</x:f>
        <x:v>29.5</x:v>
      </x:c>
      <x:c r="T35" s="26" t="str">
        <x:f>IF(COUNTIFS($I$6:$I$151,"&gt;"&amp;I35)&gt;=30,"非前20%",IF(COUNTIFS($I$6:$I$151,"&gt;="&amp;I35)&gt;=30,"边界同分","严格前20%"))</x:f>
        <x:v>边界同分</x:v>
      </x:c>
      <x:c r="U35" s="26" t="str">
        <x:f>IF(COUNTIFS($I$6:$I$151,"&lt;"&amp;I35)&gt;=30,"非后20%",IF(COUNTIFS($I$6:$I$151,"&lt;="&amp;I35)&gt;=30,"边界同分","严格后20%"))</x:f>
        <x:v>非后20%</x:v>
      </x:c>
      <x:c r="V35" s="22" t="n">
        <x:f>'指标计算'!P63</x:f>
        <x:v>0.17844177171584968</x:v>
      </x:c>
      <x:c r="W35" s="22" t="n">
        <x:f>'指标计算'!Q63</x:f>
        <x:v>0.2230522146448121</x:v>
      </x:c>
      <x:c r="X35" s="22" t="str">
        <x:v>["S0203"]</x:v>
      </x:c>
      <x:c r="Y35" s="22" t="str">
        <x:v>evidence/student_evidence.jsonl；student_key=2025秋:259016</x:v>
      </x:c>
      <x:c r="Z35" s="26" t="n">
        <x:f>IF(OR(B35="s3",B35="s6"),COUNTIFS($B$6:$B$151,B35,$K$6:$K$151,"&gt;"&amp;K35)+(COUNTIFS($B$6:$B$151,B35,$K$6:$K$151,K35)+1)/2,"NA")</x:f>
        <x:v>24.5</x:v>
      </x:c>
      <x:c r="AA35" s="26" t="n">
        <x:f>IF(OR(B35="s3",B35="s6"),COUNTIFS($B$6:$B$151,B35,$M$6:$M$151,"&gt;"&amp;M35)+(COUNTIFS($B$6:$B$151,B35,$M$6:$M$151,M35)+1)/2,"NA")</x:f>
        <x:v>29.5</x:v>
      </x:c>
      <x:c r="AB35" s="26" t="n">
        <x:f>IF(OR(B35="s3",B35="s6"),COUNTIFS($B$6:$B$151,B35,$O$6:$O$151,"&gt;"&amp;O35)+(COUNTIFS($B$6:$B$151,B35,$O$6:$O$151,O35)+1)/2,"NA")</x:f>
        <x:v>23.5</x:v>
      </x:c>
      <x:c r="AC35" s="26" t="n">
        <x:f>IF(OR(B35="s3",B35="s6"),COUNTIFS($B$6:$B$151,B35,$Q$6:$Q$151,"&gt;"&amp;Q35)+(COUNTIFS($B$6:$B$151,B35,$Q$6:$Q$151,Q35)+1)/2,"NA")</x:f>
        <x:v>23.5</x:v>
      </x:c>
      <x:c r="AD35" s="25" t="n">
        <x:v>67.59477295274903</x:v>
      </x:c>
      <x:c r="AE35" s="25" t="n">
        <x:v>14.5</x:v>
      </x:c>
      <x:c r="AF35" s="25" t="n">
        <x:v>13.5</x:v>
      </x:c>
      <x:c r="AG35" s="25" t="n">
        <x:v>-16</x:v>
      </x:c>
    </x:row>
    <x:row r="36" ht="23" customHeight="1">
      <x:c r="A36" s="21" t="str">
        <x:v>2025秋:259024</x:v>
      </x:c>
      <x:c r="B36" s="22" t="str">
        <x:v>s3</x:v>
      </x:c>
      <x:c r="C36" s="24" t="n">
        <x:v>1</x:v>
      </x:c>
      <x:c r="D36" s="24" t="n">
        <x:v>1</x:v>
      </x:c>
      <x:c r="E36" s="29" t="n">
        <x:f>'指标计算'!S66</x:f>
        <x:v>0.5074350738214938</x:v>
      </x:c>
      <x:c r="F36" s="29" t="n">
        <x:f>'指标计算'!T66</x:f>
        <x:v>0.6115261073224061</x:v>
      </x:c>
      <x:c r="G36" s="29" t="n">
        <x:f>'指标计算'!U66</x:f>
        <x:v>0.6115261073224061</x:v>
      </x:c>
      <x:c r="H36" s="29" t="n">
        <x:f>'指标计算'!V66</x:f>
        <x:v>1</x:v>
      </x:c>
      <x:c r="I36" s="30" t="n">
        <x:f>IF(COUNT('总览与权重'!$H$11:$K$11)=4,ROUND(100*SUMPRODUCT(E36:H36,'总览与权重'!$H$11:$K$11),12),"NA")</x:f>
        <x:v>69.684096507541</x:v>
      </x:c>
      <x:c r="J36" s="30" t="n">
        <x:f>IF(ISNUMBER(I36),COUNTIFS($I$6:$I$151,"&gt;"&amp;I36)+(COUNTIFS($I$6:$I$151,I36)+1)/2,"NA")</x:f>
        <x:v>30.5</x:v>
      </x:c>
      <x:c r="K36" s="30" t="n">
        <x:f>IF(COUNT('总览与权重'!$H$12:$K$12)=4,ROUND(100*SUMPRODUCT(E36:H36,'总览与权重'!$H$12:$K$12),12),"NA")</x:f>
        <x:v>66.840267915774</x:v>
      </x:c>
      <x:c r="L36" s="30" t="n">
        <x:f>IF(ISNUMBER(K36),COUNTIFS($K$6:$K$151,"&gt;"&amp;K36)+(COUNTIFS($K$6:$K$151,K36)+1)/2,"NA")</x:f>
        <x:v>27.5</x:v>
      </x:c>
      <x:c r="M36" s="30" t="n">
        <x:f>IF(COUNT('总览与权重'!$H$13:$K$13)=4,ROUND(100*SUMPRODUCT(E36:H36,'总览与权重'!$H$13:$K$13),12),"NA")</x:f>
        <x:v>72.146921138434</x:v>
      </x:c>
      <x:c r="N36" s="30" t="n">
        <x:f>IF(ISNUMBER(M36),COUNTIFS($M$6:$M$151,"&gt;"&amp;M36)+(COUNTIFS($M$6:$M$151,M36)+1)/2,"NA")</x:f>
        <x:v>30.5</x:v>
      </x:c>
      <x:c r="O36" s="30" t="n">
        <x:f>IF(COUNT('总览与权重'!$H$14:$K$14)=4,ROUND(100*SUMPRODUCT(E36:H36,'总览与权重'!$H$14:$K$14),12),"NA")</x:f>
        <x:v>72.777799950856</x:v>
      </x:c>
      <x:c r="P36" s="30" t="n">
        <x:f>IF(ISNUMBER(O36),COUNTIFS($O$6:$O$151,"&gt;"&amp;O36)+(COUNTIFS($O$6:$O$151,O36)+1)/2,"NA")</x:f>
        <x:v>26.5</x:v>
      </x:c>
      <x:c r="Q36" s="30" t="n">
        <x:f>IF(COUNT('总览与权重'!$H$15:$K$15)=4,ROUND(100*SUMPRODUCT(E36:H36,'总览与权重'!$H$15:$K$15),12),"NA")</x:f>
        <x:v>85.457328696509</x:v>
      </x:c>
      <x:c r="R36" s="30" t="n">
        <x:f>IF(ISNUMBER(Q36),COUNTIFS($Q$6:$Q$151,"&gt;"&amp;Q36)+(COUNTIFS($Q$6:$Q$151,Q36)+1)/2,"NA")</x:f>
        <x:v>24.5</x:v>
      </x:c>
      <x:c r="S36" s="31" t="n">
        <x:f>IF(OR(B36="s3",B36="s6"),COUNTIFS($B$6:$B$151,B36,$I$6:$I$151,"&gt;"&amp;I36)+(COUNTIFS($B$6:$B$151,B36,$I$6:$I$151,I36)+1)/2,"NA")</x:f>
        <x:v>29.5</x:v>
      </x:c>
      <x:c r="T36" s="26" t="str">
        <x:f>IF(COUNTIFS($I$6:$I$151,"&gt;"&amp;I36)&gt;=30,"非前20%",IF(COUNTIFS($I$6:$I$151,"&gt;="&amp;I36)&gt;=30,"边界同分","严格前20%"))</x:f>
        <x:v>边界同分</x:v>
      </x:c>
      <x:c r="U36" s="26" t="str">
        <x:f>IF(COUNTIFS($I$6:$I$151,"&lt;"&amp;I36)&gt;=30,"非后20%",IF(COUNTIFS($I$6:$I$151,"&lt;="&amp;I36)&gt;=30,"边界同分","严格后20%"))</x:f>
        <x:v>非后20%</x:v>
      </x:c>
      <x:c r="V36" s="22" t="n">
        <x:f>'指标计算'!P66</x:f>
        <x:v>0.17844177171584968</x:v>
      </x:c>
      <x:c r="W36" s="22" t="n">
        <x:f>'指标计算'!Q66</x:f>
        <x:v>0.2230522146448121</x:v>
      </x:c>
      <x:c r="X36" s="22" t="str">
        <x:v>["S0359"]</x:v>
      </x:c>
      <x:c r="Y36" s="22" t="str">
        <x:v>evidence/student_evidence.jsonl；student_key=2025秋:259024</x:v>
      </x:c>
      <x:c r="Z36" s="26" t="n">
        <x:f>IF(OR(B36="s3",B36="s6"),COUNTIFS($B$6:$B$151,B36,$K$6:$K$151,"&gt;"&amp;K36)+(COUNTIFS($B$6:$B$151,B36,$K$6:$K$151,K36)+1)/2,"NA")</x:f>
        <x:v>24.5</x:v>
      </x:c>
      <x:c r="AA36" s="26" t="n">
        <x:f>IF(OR(B36="s3",B36="s6"),COUNTIFS($B$6:$B$151,B36,$M$6:$M$151,"&gt;"&amp;M36)+(COUNTIFS($B$6:$B$151,B36,$M$6:$M$151,M36)+1)/2,"NA")</x:f>
        <x:v>29.5</x:v>
      </x:c>
      <x:c r="AB36" s="26" t="n">
        <x:f>IF(OR(B36="s3",B36="s6"),COUNTIFS($B$6:$B$151,B36,$O$6:$O$151,"&gt;"&amp;O36)+(COUNTIFS($B$6:$B$151,B36,$O$6:$O$151,O36)+1)/2,"NA")</x:f>
        <x:v>23.5</x:v>
      </x:c>
      <x:c r="AC36" s="26" t="n">
        <x:f>IF(OR(B36="s3",B36="s6"),COUNTIFS($B$6:$B$151,B36,$Q$6:$Q$151,"&gt;"&amp;Q36)+(COUNTIFS($B$6:$B$151,B36,$Q$6:$Q$151,Q36)+1)/2,"NA")</x:f>
        <x:v>23.5</x:v>
      </x:c>
      <x:c r="AD36" s="25" t="n">
        <x:v>67.59477295274903</x:v>
      </x:c>
      <x:c r="AE36" s="25" t="n">
        <x:v>14.5</x:v>
      </x:c>
      <x:c r="AF36" s="25" t="n">
        <x:v>13.5</x:v>
      </x:c>
      <x:c r="AG36" s="25" t="n">
        <x:v>-16</x:v>
      </x:c>
    </x:row>
    <x:row r="37" ht="23" customHeight="1">
      <x:c r="A37" s="21" t="str">
        <x:v>2025秋:258924</x:v>
      </x:c>
      <x:c r="B37" s="22" t="str">
        <x:v>s3</x:v>
      </x:c>
      <x:c r="C37" s="24" t="n">
        <x:v>1</x:v>
      </x:c>
      <x:c r="D37" s="24" t="n">
        <x:v>1</x:v>
      </x:c>
      <x:c r="E37" s="29" t="n">
        <x:f>'指标计算'!S44</x:f>
        <x:v>0.5089824311470269</x:v>
      </x:c>
      <x:c r="F37" s="29" t="n">
        <x:f>'指标计算'!T44</x:f>
        <x:v>0.6077891737643235</x:v>
      </x:c>
      <x:c r="G37" s="29" t="n">
        <x:f>'指标计算'!U44</x:f>
        <x:v>0.6077891737643235</x:v>
      </x:c>
      <x:c r="H37" s="29" t="n">
        <x:f>'指标计算'!V44</x:f>
        <x:v>1</x:v>
      </x:c>
      <x:c r="I37" s="30" t="n">
        <x:f>IF(COUNT('总览与权重'!$H$11:$K$11)=4,ROUND(100*SUMPRODUCT(E37:H37,'总览与权重'!$H$11:$K$11),12),"NA")</x:f>
        <x:v>69.581039884984</x:v>
      </x:c>
      <x:c r="J37" s="30" t="n">
        <x:f>IF(ISNUMBER(I37),COUNTIFS($I$6:$I$151,"&gt;"&amp;I37)+(COUNTIFS($I$6:$I$151,I37)+1)/2,"NA")</x:f>
        <x:v>32.5</x:v>
      </x:c>
      <x:c r="K37" s="30" t="n">
        <x:f>IF(COUNT('总览与权重'!$H$12:$K$12)=4,ROUND(100*SUMPRODUCT(E37:H37,'总览与权重'!$H$12:$K$12),12),"NA")</x:f>
        <x:v>66.6469990488</x:v>
      </x:c>
      <x:c r="L37" s="30" t="n">
        <x:f>IF(ISNUMBER(K37),COUNTIFS($K$6:$K$151,"&gt;"&amp;K37)+(COUNTIFS($K$6:$K$151,K37)+1)/2,"NA")</x:f>
        <x:v>35.5</x:v>
      </x:c>
      <x:c r="M37" s="30" t="n">
        <x:f>IF(COUNT('总览与权重'!$H$13:$K$13)=4,ROUND(100*SUMPRODUCT(E37:H37,'总览与权重'!$H$13:$K$13),12),"NA")</x:f>
        <x:v>72.036127729249</x:v>
      </x:c>
      <x:c r="N37" s="30" t="n">
        <x:f>IF(ISNUMBER(M37),COUNTIFS($M$6:$M$151,"&gt;"&amp;M37)+(COUNTIFS($M$6:$M$151,M37)+1)/2,"NA")</x:f>
        <x:v>32.5</x:v>
      </x:c>
      <x:c r="O37" s="30" t="n">
        <x:f>IF(COUNT('总览与权重'!$H$14:$K$14)=4,ROUND(100*SUMPRODUCT(E37:H37,'总览与权重'!$H$14:$K$14),12),"NA")</x:f>
        <x:v>72.517688216515</x:v>
      </x:c>
      <x:c r="P37" s="30" t="n">
        <x:f>IF(ISNUMBER(O37),COUNTIFS($O$6:$O$151,"&gt;"&amp;O37)+(COUNTIFS($O$6:$O$151,O37)+1)/2,"NA")</x:f>
        <x:v>34.5</x:v>
      </x:c>
      <x:c r="Q37" s="30" t="n">
        <x:f>IF(COUNT('总览与权重'!$H$15:$K$15)=4,ROUND(100*SUMPRODUCT(E37:H37,'总览与权重'!$H$15:$K$15),12),"NA")</x:f>
        <x:v>85.318371542132</x:v>
      </x:c>
      <x:c r="R37" s="30" t="n">
        <x:f>IF(ISNUMBER(Q37),COUNTIFS($Q$6:$Q$151,"&gt;"&amp;Q37)+(COUNTIFS($Q$6:$Q$151,Q37)+1)/2,"NA")</x:f>
        <x:v>32.5</x:v>
      </x:c>
      <x:c r="S37" s="31" t="n">
        <x:f>IF(OR(B37="s3",B37="s6"),COUNTIFS($B$6:$B$151,B37,$I$6:$I$151,"&gt;"&amp;I37)+(COUNTIFS($B$6:$B$151,B37,$I$6:$I$151,I37)+1)/2,"NA")</x:f>
        <x:v>31.5</x:v>
      </x:c>
      <x:c r="T37" s="26" t="str">
        <x:f>IF(COUNTIFS($I$6:$I$151,"&gt;"&amp;I37)&gt;=30,"非前20%",IF(COUNTIFS($I$6:$I$151,"&gt;="&amp;I37)&gt;=30,"边界同分","严格前20%"))</x:f>
        <x:v>非前20%</x:v>
      </x:c>
      <x:c r="U37" s="26" t="str">
        <x:f>IF(COUNTIFS($I$6:$I$151,"&lt;"&amp;I37)&gt;=30,"非后20%",IF(COUNTIFS($I$6:$I$151,"&lt;="&amp;I37)&gt;=30,"边界同分","严格后20%"))</x:f>
        <x:v>非后20%</x:v>
      </x:c>
      <x:c r="V37" s="22" t="n">
        <x:f>'指标计算'!P44</x:f>
        <x:v>0.21557834752864694</x:v>
      </x:c>
      <x:c r="W37" s="22" t="n">
        <x:f>'指标计算'!Q44</x:f>
        <x:v>0.21557834752864694</x:v>
      </x:c>
      <x:c r="X37" s="22" t="str">
        <x:v>["S0075"]</x:v>
      </x:c>
      <x:c r="Y37" s="22" t="str">
        <x:v>evidence/student_evidence.jsonl；student_key=2025秋:258924</x:v>
      </x:c>
      <x:c r="Z37" s="26" t="n">
        <x:f>IF(OR(B37="s3",B37="s6"),COUNTIFS($B$6:$B$151,B37,$K$6:$K$151,"&gt;"&amp;K37)+(COUNTIFS($B$6:$B$151,B37,$K$6:$K$151,K37)+1)/2,"NA")</x:f>
        <x:v>32.5</x:v>
      </x:c>
      <x:c r="AA37" s="26" t="n">
        <x:f>IF(OR(B37="s3",B37="s6"),COUNTIFS($B$6:$B$151,B37,$M$6:$M$151,"&gt;"&amp;M37)+(COUNTIFS($B$6:$B$151,B37,$M$6:$M$151,M37)+1)/2,"NA")</x:f>
        <x:v>31.5</x:v>
      </x:c>
      <x:c r="AB37" s="26" t="n">
        <x:f>IF(OR(B37="s3",B37="s6"),COUNTIFS($B$6:$B$151,B37,$O$6:$O$151,"&gt;"&amp;O37)+(COUNTIFS($B$6:$B$151,B37,$O$6:$O$151,O37)+1)/2,"NA")</x:f>
        <x:v>31.5</x:v>
      </x:c>
      <x:c r="AC37" s="26" t="n">
        <x:f>IF(OR(B37="s3",B37="s6"),COUNTIFS($B$6:$B$151,B37,$Q$6:$Q$151,"&gt;"&amp;Q37)+(COUNTIFS($B$6:$B$151,B37,$Q$6:$Q$151,Q37)+1)/2,"NA")</x:f>
        <x:v>31.5</x:v>
      </x:c>
      <x:c r="AD37" s="25" t="n">
        <x:v>66.42116657675885</x:v>
      </x:c>
      <x:c r="AE37" s="25" t="n">
        <x:v>35.5</x:v>
      </x:c>
      <x:c r="AF37" s="25" t="n">
        <x:v>34.5</x:v>
      </x:c>
      <x:c r="AG37" s="25" t="n">
        <x:v>3</x:v>
      </x:c>
    </x:row>
    <x:row r="38" ht="23" customHeight="1">
      <x:c r="A38" s="21" t="str">
        <x:v>2025秋:259334</x:v>
      </x:c>
      <x:c r="B38" s="22" t="str">
        <x:v>s3</x:v>
      </x:c>
      <x:c r="C38" s="24" t="n">
        <x:v>1</x:v>
      </x:c>
      <x:c r="D38" s="24" t="n">
        <x:v>1</x:v>
      </x:c>
      <x:c r="E38" s="29" t="n">
        <x:f>'指标计算'!S89</x:f>
        <x:v>0.5089824311470269</x:v>
      </x:c>
      <x:c r="F38" s="29" t="n">
        <x:f>'指标计算'!T89</x:f>
        <x:v>0.6077891737643235</x:v>
      </x:c>
      <x:c r="G38" s="29" t="n">
        <x:f>'指标计算'!U89</x:f>
        <x:v>0.6077891737643235</x:v>
      </x:c>
      <x:c r="H38" s="29" t="n">
        <x:f>'指标计算'!V89</x:f>
        <x:v>1</x:v>
      </x:c>
      <x:c r="I38" s="30" t="n">
        <x:f>IF(COUNT('总览与权重'!$H$11:$K$11)=4,ROUND(100*SUMPRODUCT(E38:H38,'总览与权重'!$H$11:$K$11),12),"NA")</x:f>
        <x:v>69.581039884984</x:v>
      </x:c>
      <x:c r="J38" s="30" t="n">
        <x:f>IF(ISNUMBER(I38),COUNTIFS($I$6:$I$151,"&gt;"&amp;I38)+(COUNTIFS($I$6:$I$151,I38)+1)/2,"NA")</x:f>
        <x:v>32.5</x:v>
      </x:c>
      <x:c r="K38" s="30" t="n">
        <x:f>IF(COUNT('总览与权重'!$H$12:$K$12)=4,ROUND(100*SUMPRODUCT(E38:H38,'总览与权重'!$H$12:$K$12),12),"NA")</x:f>
        <x:v>66.6469990488</x:v>
      </x:c>
      <x:c r="L38" s="30" t="n">
        <x:f>IF(ISNUMBER(K38),COUNTIFS($K$6:$K$151,"&gt;"&amp;K38)+(COUNTIFS($K$6:$K$151,K38)+1)/2,"NA")</x:f>
        <x:v>35.5</x:v>
      </x:c>
      <x:c r="M38" s="30" t="n">
        <x:f>IF(COUNT('总览与权重'!$H$13:$K$13)=4,ROUND(100*SUMPRODUCT(E38:H38,'总览与权重'!$H$13:$K$13),12),"NA")</x:f>
        <x:v>72.036127729249</x:v>
      </x:c>
      <x:c r="N38" s="30" t="n">
        <x:f>IF(ISNUMBER(M38),COUNTIFS($M$6:$M$151,"&gt;"&amp;M38)+(COUNTIFS($M$6:$M$151,M38)+1)/2,"NA")</x:f>
        <x:v>32.5</x:v>
      </x:c>
      <x:c r="O38" s="30" t="n">
        <x:f>IF(COUNT('总览与权重'!$H$14:$K$14)=4,ROUND(100*SUMPRODUCT(E38:H38,'总览与权重'!$H$14:$K$14),12),"NA")</x:f>
        <x:v>72.517688216515</x:v>
      </x:c>
      <x:c r="P38" s="30" t="n">
        <x:f>IF(ISNUMBER(O38),COUNTIFS($O$6:$O$151,"&gt;"&amp;O38)+(COUNTIFS($O$6:$O$151,O38)+1)/2,"NA")</x:f>
        <x:v>34.5</x:v>
      </x:c>
      <x:c r="Q38" s="30" t="n">
        <x:f>IF(COUNT('总览与权重'!$H$15:$K$15)=4,ROUND(100*SUMPRODUCT(E38:H38,'总览与权重'!$H$15:$K$15),12),"NA")</x:f>
        <x:v>85.318371542132</x:v>
      </x:c>
      <x:c r="R38" s="30" t="n">
        <x:f>IF(ISNUMBER(Q38),COUNTIFS($Q$6:$Q$151,"&gt;"&amp;Q38)+(COUNTIFS($Q$6:$Q$151,Q38)+1)/2,"NA")</x:f>
        <x:v>32.5</x:v>
      </x:c>
      <x:c r="S38" s="31" t="n">
        <x:f>IF(OR(B38="s3",B38="s6"),COUNTIFS($B$6:$B$151,B38,$I$6:$I$151,"&gt;"&amp;I38)+(COUNTIFS($B$6:$B$151,B38,$I$6:$I$151,I38)+1)/2,"NA")</x:f>
        <x:v>31.5</x:v>
      </x:c>
      <x:c r="T38" s="26" t="str">
        <x:f>IF(COUNTIFS($I$6:$I$151,"&gt;"&amp;I38)&gt;=30,"非前20%",IF(COUNTIFS($I$6:$I$151,"&gt;="&amp;I38)&gt;=30,"边界同分","严格前20%"))</x:f>
        <x:v>非前20%</x:v>
      </x:c>
      <x:c r="U38" s="26" t="str">
        <x:f>IF(COUNTIFS($I$6:$I$151,"&lt;"&amp;I38)&gt;=30,"非后20%",IF(COUNTIFS($I$6:$I$151,"&lt;="&amp;I38)&gt;=30,"边界同分","严格后20%"))</x:f>
        <x:v>非后20%</x:v>
      </x:c>
      <x:c r="V38" s="22" t="n">
        <x:f>'指标计算'!P89</x:f>
        <x:v>0.21557834752864694</x:v>
      </x:c>
      <x:c r="W38" s="22" t="n">
        <x:f>'指标计算'!Q89</x:f>
        <x:v>0.21557834752864694</x:v>
      </x:c>
      <x:c r="X38" s="22" t="str">
        <x:v>["S0399"]</x:v>
      </x:c>
      <x:c r="Y38" s="22" t="str">
        <x:v>evidence/student_evidence.jsonl；student_key=2025秋:259334</x:v>
      </x:c>
      <x:c r="Z38" s="26" t="n">
        <x:f>IF(OR(B38="s3",B38="s6"),COUNTIFS($B$6:$B$151,B38,$K$6:$K$151,"&gt;"&amp;K38)+(COUNTIFS($B$6:$B$151,B38,$K$6:$K$151,K38)+1)/2,"NA")</x:f>
        <x:v>32.5</x:v>
      </x:c>
      <x:c r="AA38" s="26" t="n">
        <x:f>IF(OR(B38="s3",B38="s6"),COUNTIFS($B$6:$B$151,B38,$M$6:$M$151,"&gt;"&amp;M38)+(COUNTIFS($B$6:$B$151,B38,$M$6:$M$151,M38)+1)/2,"NA")</x:f>
        <x:v>31.5</x:v>
      </x:c>
      <x:c r="AB38" s="26" t="n">
        <x:f>IF(OR(B38="s3",B38="s6"),COUNTIFS($B$6:$B$151,B38,$O$6:$O$151,"&gt;"&amp;O38)+(COUNTIFS($B$6:$B$151,B38,$O$6:$O$151,O38)+1)/2,"NA")</x:f>
        <x:v>31.5</x:v>
      </x:c>
      <x:c r="AC38" s="26" t="n">
        <x:f>IF(OR(B38="s3",B38="s6"),COUNTIFS($B$6:$B$151,B38,$Q$6:$Q$151,"&gt;"&amp;Q38)+(COUNTIFS($B$6:$B$151,B38,$Q$6:$Q$151,Q38)+1)/2,"NA")</x:f>
        <x:v>31.5</x:v>
      </x:c>
      <x:c r="AD38" s="25" t="n">
        <x:v>66.42116657675885</x:v>
      </x:c>
      <x:c r="AE38" s="25" t="n">
        <x:v>35.5</x:v>
      </x:c>
      <x:c r="AF38" s="25" t="n">
        <x:v>34.5</x:v>
      </x:c>
      <x:c r="AG38" s="25" t="n">
        <x:v>3</x:v>
      </x:c>
    </x:row>
    <x:row r="39" ht="23" customHeight="1">
      <x:c r="A39" s="21" t="str">
        <x:v>2025秋:258755</x:v>
      </x:c>
      <x:c r="B39" s="22" t="str">
        <x:v>s3</x:v>
      </x:c>
      <x:c r="C39" s="24" t="n">
        <x:v>1</x:v>
      </x:c>
      <x:c r="D39" s="24" t="n">
        <x:v>1</x:v>
      </x:c>
      <x:c r="E39" s="29" t="n">
        <x:f>'指标计算'!S22</x:f>
        <x:v>0.5088924222024812</x:v>
      </x:c>
      <x:c r="F39" s="29" t="n">
        <x:f>'指标计算'!T22</x:f>
        <x:v>0.6067090664297745</x:v>
      </x:c>
      <x:c r="G39" s="29" t="n">
        <x:f>'指标计算'!U22</x:f>
        <x:v>0.6067090664297745</x:v>
      </x:c>
      <x:c r="H39" s="29" t="n">
        <x:f>'指标计算'!V22</x:f>
        <x:v>1</x:v>
      </x:c>
      <x:c r="I39" s="30" t="n">
        <x:f>IF(COUNT('总览与权重'!$H$11:$K$11)=4,ROUND(100*SUMPRODUCT(E39:H39,'总览与权重'!$H$11:$K$11),12),"NA")</x:f>
        <x:v>69.535135323265</x:v>
      </x:c>
      <x:c r="J39" s="30" t="n">
        <x:f>IF(ISNUMBER(I39),COUNTIFS($I$6:$I$151,"&gt;"&amp;I39)+(COUNTIFS($I$6:$I$151,I39)+1)/2,"NA")</x:f>
        <x:v>34.5</x:v>
      </x:c>
      <x:c r="K39" s="30" t="n">
        <x:f>IF(COUNT('总览与权重'!$H$12:$K$12)=4,ROUND(100*SUMPRODUCT(E39:H39,'总览与权重'!$H$12:$K$12),12),"NA")</x:f>
        <x:v>66.580392429836</x:v>
      </x:c>
      <x:c r="L39" s="30" t="n">
        <x:f>IF(ISNUMBER(K39),COUNTIFS($K$6:$K$151,"&gt;"&amp;K39)+(COUNTIFS($K$6:$K$151,K39)+1)/2,"NA")</x:f>
        <x:v>37.5</x:v>
      </x:c>
      <x:c r="M39" s="30" t="n">
        <x:f>IF(COUNT('总览与权重'!$H$13:$K$13)=4,ROUND(100*SUMPRODUCT(E39:H39,'总览与权重'!$H$13:$K$13),12),"NA")</x:f>
        <x:v>71.990673212253</x:v>
      </x:c>
      <x:c r="N39" s="30" t="n">
        <x:f>IF(ISNUMBER(M39),COUNTIFS($M$6:$M$151,"&gt;"&amp;M39)+(COUNTIFS($M$6:$M$151,M39)+1)/2,"NA")</x:f>
        <x:v>34.5</x:v>
      </x:c>
      <x:c r="O39" s="30" t="n">
        <x:f>IF(COUNT('总览与权重'!$H$14:$K$14)=4,ROUND(100*SUMPRODUCT(E39:H39,'总览与权重'!$H$14:$K$14),12),"NA")</x:f>
        <x:v>72.442356808936</x:v>
      </x:c>
      <x:c r="P39" s="30" t="n">
        <x:f>IF(ISNUMBER(O39),COUNTIFS($O$6:$O$151,"&gt;"&amp;O39)+(COUNTIFS($O$6:$O$151,O39)+1)/2,"NA")</x:f>
        <x:v>36.5</x:v>
      </x:c>
      <x:c r="Q39" s="30" t="n">
        <x:f>IF(COUNT('总览与权重'!$H$15:$K$15)=4,ROUND(100*SUMPRODUCT(E39:H39,'总览与权重'!$H$15:$K$15),12),"NA")</x:f>
        <x:v>85.278127921217</x:v>
      </x:c>
      <x:c r="R39" s="30" t="n">
        <x:f>IF(ISNUMBER(Q39),COUNTIFS($Q$6:$Q$151,"&gt;"&amp;Q39)+(COUNTIFS($Q$6:$Q$151,Q39)+1)/2,"NA")</x:f>
        <x:v>34.5</x:v>
      </x:c>
      <x:c r="S39" s="31" t="n">
        <x:f>IF(OR(B39="s3",B39="s6"),COUNTIFS($B$6:$B$151,B39,$I$6:$I$151,"&gt;"&amp;I39)+(COUNTIFS($B$6:$B$151,B39,$I$6:$I$151,I39)+1)/2,"NA")</x:f>
        <x:v>33.5</x:v>
      </x:c>
      <x:c r="T39" s="26" t="str">
        <x:f>IF(COUNTIFS($I$6:$I$151,"&gt;"&amp;I39)&gt;=30,"非前20%",IF(COUNTIFS($I$6:$I$151,"&gt;="&amp;I39)&gt;=30,"边界同分","严格前20%"))</x:f>
        <x:v>非前20%</x:v>
      </x:c>
      <x:c r="U39" s="26" t="str">
        <x:f>IF(COUNTIFS($I$6:$I$151,"&lt;"&amp;I39)&gt;=30,"非后20%",IF(COUNTIFS($I$6:$I$151,"&lt;="&amp;I39)&gt;=30,"边界同分","严格后20%"))</x:f>
        <x:v>非后20%</x:v>
      </x:c>
      <x:c r="V39" s="22" t="n">
        <x:f>'指标计算'!P22</x:f>
        <x:v>0.21341813285954894</x:v>
      </x:c>
      <x:c r="W39" s="22" t="n">
        <x:f>'指标计算'!Q22</x:f>
        <x:v>0.21341813285954894</x:v>
      </x:c>
      <x:c r="X39" s="22" t="str">
        <x:v>["S0263"]</x:v>
      </x:c>
      <x:c r="Y39" s="22" t="str">
        <x:v>evidence/student_evidence.jsonl；student_key=2025秋:258755</x:v>
      </x:c>
      <x:c r="Z39" s="26" t="n">
        <x:f>IF(OR(B39="s3",B39="s6"),COUNTIFS($B$6:$B$151,B39,$K$6:$K$151,"&gt;"&amp;K39)+(COUNTIFS($B$6:$B$151,B39,$K$6:$K$151,K39)+1)/2,"NA")</x:f>
        <x:v>34.5</x:v>
      </x:c>
      <x:c r="AA39" s="26" t="n">
        <x:f>IF(OR(B39="s3",B39="s6"),COUNTIFS($B$6:$B$151,B39,$M$6:$M$151,"&gt;"&amp;M39)+(COUNTIFS($B$6:$B$151,B39,$M$6:$M$151,M39)+1)/2,"NA")</x:f>
        <x:v>33.5</x:v>
      </x:c>
      <x:c r="AB39" s="26" t="n">
        <x:f>IF(OR(B39="s3",B39="s6"),COUNTIFS($B$6:$B$151,B39,$O$6:$O$151,"&gt;"&amp;O39)+(COUNTIFS($B$6:$B$151,B39,$O$6:$O$151,O39)+1)/2,"NA")</x:f>
        <x:v>33.5</x:v>
      </x:c>
      <x:c r="AC39" s="26" t="n">
        <x:f>IF(OR(B39="s3",B39="s6"),COUNTIFS($B$6:$B$151,B39,$Q$6:$Q$151,"&gt;"&amp;Q39)+(COUNTIFS($B$6:$B$151,B39,$Q$6:$Q$151,Q39)+1)/2,"NA")</x:f>
        <x:v>33.5</x:v>
      </x:c>
      <x:c r="AD39" s="25" t="n">
        <x:v>66.37526201504052</x:v>
      </x:c>
      <x:c r="AE39" s="25" t="n">
        <x:v>38.5</x:v>
      </x:c>
      <x:c r="AF39" s="25" t="n">
        <x:v>37.5</x:v>
      </x:c>
      <x:c r="AG39" s="25" t="n">
        <x:v>4</x:v>
      </x:c>
    </x:row>
    <x:row r="40" ht="23" customHeight="1">
      <x:c r="A40" s="21" t="str">
        <x:v>2025秋:259789</x:v>
      </x:c>
      <x:c r="B40" s="22" t="str">
        <x:v>s3</x:v>
      </x:c>
      <x:c r="C40" s="24" t="n">
        <x:v>1</x:v>
      </x:c>
      <x:c r="D40" s="24" t="n">
        <x:v>1</x:v>
      </x:c>
      <x:c r="E40" s="29" t="n">
        <x:f>'指标计算'!S111</x:f>
        <x:v>0.5088924222024812</x:v>
      </x:c>
      <x:c r="F40" s="29" t="n">
        <x:f>'指标计算'!T111</x:f>
        <x:v>0.6067090664297745</x:v>
      </x:c>
      <x:c r="G40" s="29" t="n">
        <x:f>'指标计算'!U111</x:f>
        <x:v>0.6067090664297745</x:v>
      </x:c>
      <x:c r="H40" s="29" t="n">
        <x:f>'指标计算'!V111</x:f>
        <x:v>1</x:v>
      </x:c>
      <x:c r="I40" s="30" t="n">
        <x:f>IF(COUNT('总览与权重'!$H$11:$K$11)=4,ROUND(100*SUMPRODUCT(E40:H40,'总览与权重'!$H$11:$K$11),12),"NA")</x:f>
        <x:v>69.535135323265</x:v>
      </x:c>
      <x:c r="J40" s="30" t="n">
        <x:f>IF(ISNUMBER(I40),COUNTIFS($I$6:$I$151,"&gt;"&amp;I40)+(COUNTIFS($I$6:$I$151,I40)+1)/2,"NA")</x:f>
        <x:v>34.5</x:v>
      </x:c>
      <x:c r="K40" s="30" t="n">
        <x:f>IF(COUNT('总览与权重'!$H$12:$K$12)=4,ROUND(100*SUMPRODUCT(E40:H40,'总览与权重'!$H$12:$K$12),12),"NA")</x:f>
        <x:v>66.580392429836</x:v>
      </x:c>
      <x:c r="L40" s="30" t="n">
        <x:f>IF(ISNUMBER(K40),COUNTIFS($K$6:$K$151,"&gt;"&amp;K40)+(COUNTIFS($K$6:$K$151,K40)+1)/2,"NA")</x:f>
        <x:v>37.5</x:v>
      </x:c>
      <x:c r="M40" s="30" t="n">
        <x:f>IF(COUNT('总览与权重'!$H$13:$K$13)=4,ROUND(100*SUMPRODUCT(E40:H40,'总览与权重'!$H$13:$K$13),12),"NA")</x:f>
        <x:v>71.990673212253</x:v>
      </x:c>
      <x:c r="N40" s="30" t="n">
        <x:f>IF(ISNUMBER(M40),COUNTIFS($M$6:$M$151,"&gt;"&amp;M40)+(COUNTIFS($M$6:$M$151,M40)+1)/2,"NA")</x:f>
        <x:v>34.5</x:v>
      </x:c>
      <x:c r="O40" s="30" t="n">
        <x:f>IF(COUNT('总览与权重'!$H$14:$K$14)=4,ROUND(100*SUMPRODUCT(E40:H40,'总览与权重'!$H$14:$K$14),12),"NA")</x:f>
        <x:v>72.442356808936</x:v>
      </x:c>
      <x:c r="P40" s="30" t="n">
        <x:f>IF(ISNUMBER(O40),COUNTIFS($O$6:$O$151,"&gt;"&amp;O40)+(COUNTIFS($O$6:$O$151,O40)+1)/2,"NA")</x:f>
        <x:v>36.5</x:v>
      </x:c>
      <x:c r="Q40" s="30" t="n">
        <x:f>IF(COUNT('总览与权重'!$H$15:$K$15)=4,ROUND(100*SUMPRODUCT(E40:H40,'总览与权重'!$H$15:$K$15),12),"NA")</x:f>
        <x:v>85.278127921217</x:v>
      </x:c>
      <x:c r="R40" s="30" t="n">
        <x:f>IF(ISNUMBER(Q40),COUNTIFS($Q$6:$Q$151,"&gt;"&amp;Q40)+(COUNTIFS($Q$6:$Q$151,Q40)+1)/2,"NA")</x:f>
        <x:v>34.5</x:v>
      </x:c>
      <x:c r="S40" s="31" t="n">
        <x:f>IF(OR(B40="s3",B40="s6"),COUNTIFS($B$6:$B$151,B40,$I$6:$I$151,"&gt;"&amp;I40)+(COUNTIFS($B$6:$B$151,B40,$I$6:$I$151,I40)+1)/2,"NA")</x:f>
        <x:v>33.5</x:v>
      </x:c>
      <x:c r="T40" s="26" t="str">
        <x:f>IF(COUNTIFS($I$6:$I$151,"&gt;"&amp;I40)&gt;=30,"非前20%",IF(COUNTIFS($I$6:$I$151,"&gt;="&amp;I40)&gt;=30,"边界同分","严格前20%"))</x:f>
        <x:v>非前20%</x:v>
      </x:c>
      <x:c r="U40" s="26" t="str">
        <x:f>IF(COUNTIFS($I$6:$I$151,"&lt;"&amp;I40)&gt;=30,"非后20%",IF(COUNTIFS($I$6:$I$151,"&lt;="&amp;I40)&gt;=30,"边界同分","严格后20%"))</x:f>
        <x:v>非后20%</x:v>
      </x:c>
      <x:c r="V40" s="22" t="n">
        <x:f>'指标计算'!P111</x:f>
        <x:v>0.21341813285954894</x:v>
      </x:c>
      <x:c r="W40" s="22" t="n">
        <x:f>'指标计算'!Q111</x:f>
        <x:v>0.21341813285954894</x:v>
      </x:c>
      <x:c r="X40" s="22" t="str">
        <x:v>["S0022"]</x:v>
      </x:c>
      <x:c r="Y40" s="22" t="str">
        <x:v>evidence/student_evidence.jsonl；student_key=2025秋:259789</x:v>
      </x:c>
      <x:c r="Z40" s="26" t="n">
        <x:f>IF(OR(B40="s3",B40="s6"),COUNTIFS($B$6:$B$151,B40,$K$6:$K$151,"&gt;"&amp;K40)+(COUNTIFS($B$6:$B$151,B40,$K$6:$K$151,K40)+1)/2,"NA")</x:f>
        <x:v>34.5</x:v>
      </x:c>
      <x:c r="AA40" s="26" t="n">
        <x:f>IF(OR(B40="s3",B40="s6"),COUNTIFS($B$6:$B$151,B40,$M$6:$M$151,"&gt;"&amp;M40)+(COUNTIFS($B$6:$B$151,B40,$M$6:$M$151,M40)+1)/2,"NA")</x:f>
        <x:v>33.5</x:v>
      </x:c>
      <x:c r="AB40" s="26" t="n">
        <x:f>IF(OR(B40="s3",B40="s6"),COUNTIFS($B$6:$B$151,B40,$O$6:$O$151,"&gt;"&amp;O40)+(COUNTIFS($B$6:$B$151,B40,$O$6:$O$151,O40)+1)/2,"NA")</x:f>
        <x:v>33.5</x:v>
      </x:c>
      <x:c r="AC40" s="26" t="n">
        <x:f>IF(OR(B40="s3",B40="s6"),COUNTIFS($B$6:$B$151,B40,$Q$6:$Q$151,"&gt;"&amp;Q40)+(COUNTIFS($B$6:$B$151,B40,$Q$6:$Q$151,Q40)+1)/2,"NA")</x:f>
        <x:v>33.5</x:v>
      </x:c>
      <x:c r="AD40" s="25" t="n">
        <x:v>66.37526201504052</x:v>
      </x:c>
      <x:c r="AE40" s="25" t="n">
        <x:v>38.5</x:v>
      </x:c>
      <x:c r="AF40" s="25" t="n">
        <x:v>37.5</x:v>
      </x:c>
      <x:c r="AG40" s="25" t="n">
        <x:v>4</x:v>
      </x:c>
    </x:row>
    <x:row r="41" ht="23" customHeight="1">
      <x:c r="A41" s="21" t="str">
        <x:v>2025秋:258526</x:v>
      </x:c>
      <x:c r="B41" s="22" t="str">
        <x:v>s3</x:v>
      </x:c>
      <x:c r="C41" s="24" t="n">
        <x:v>1</x:v>
      </x:c>
      <x:c r="D41" s="24" t="n">
        <x:v>1</x:v>
      </x:c>
      <x:c r="E41" s="29" t="n">
        <x:f>'指标计算'!S20</x:f>
        <x:v>0.508789417654904</x:v>
      </x:c>
      <x:c r="F41" s="29" t="n">
        <x:f>'指标计算'!T20</x:f>
        <x:v>0.6054730118588489</x:v>
      </x:c>
      <x:c r="G41" s="29" t="n">
        <x:f>'指标计算'!U20</x:f>
        <x:v>0.6054730118588489</x:v>
      </x:c>
      <x:c r="H41" s="29" t="n">
        <x:f>'指标计算'!V20</x:f>
        <x:v>1</x:v>
      </x:c>
      <x:c r="I41" s="30" t="n">
        <x:f>IF(COUNT('总览与权重'!$H$11:$K$11)=4,ROUND(100*SUMPRODUCT(E41:H41,'总览与权重'!$H$11:$K$11),12),"NA")</x:f>
        <x:v>69.482603004001</x:v>
      </x:c>
      <x:c r="J41" s="30" t="n">
        <x:f>IF(ISNUMBER(I41),COUNTIFS($I$6:$I$151,"&gt;"&amp;I41)+(COUNTIFS($I$6:$I$151,I41)+1)/2,"NA")</x:f>
        <x:v>36</x:v>
      </x:c>
      <x:c r="K41" s="30" t="n">
        <x:f>IF(COUNT('总览与权重'!$H$12:$K$12)=4,ROUND(100*SUMPRODUCT(E41:H41,'总览与权重'!$H$12:$K$12),12),"NA")</x:f>
        <x:v>66.504169064629</x:v>
      </x:c>
      <x:c r="L41" s="30" t="n">
        <x:f>IF(ISNUMBER(K41),COUNTIFS($K$6:$K$151,"&gt;"&amp;K41)+(COUNTIFS($K$6:$K$151,K41)+1)/2,"NA")</x:f>
        <x:v>39</x:v>
      </x:c>
      <x:c r="M41" s="30" t="n">
        <x:f>IF(COUNT('总览与权重'!$H$13:$K$13)=4,ROUND(100*SUMPRODUCT(E41:H41,'总览与权重'!$H$13:$K$13),12),"NA")</x:f>
        <x:v>71.938655915727</x:v>
      </x:c>
      <x:c r="N41" s="30" t="n">
        <x:f>IF(ISNUMBER(M41),COUNTIFS($M$6:$M$151,"&gt;"&amp;M41)+(COUNTIFS($M$6:$M$151,M41)+1)/2,"NA")</x:f>
        <x:v>36</x:v>
      </x:c>
      <x:c r="O41" s="30" t="n">
        <x:f>IF(COUNT('总览与权重'!$H$14:$K$14)=4,ROUND(100*SUMPRODUCT(E41:H41,'总览与权重'!$H$14:$K$14),12),"NA")</x:f>
        <x:v>72.356148959313</x:v>
      </x:c>
      <x:c r="P41" s="30" t="n">
        <x:f>IF(ISNUMBER(O41),COUNTIFS($O$6:$O$151,"&gt;"&amp;O41)+(COUNTIFS($O$6:$O$151,O41)+1)/2,"NA")</x:f>
        <x:v>38</x:v>
      </x:c>
      <x:c r="Q41" s="30" t="n">
        <x:f>IF(COUNT('总览与权重'!$H$15:$K$15)=4,ROUND(100*SUMPRODUCT(E41:H41,'总览与权重'!$H$15:$K$15),12),"NA")</x:f>
        <x:v>85.232073876409</x:v>
      </x:c>
      <x:c r="R41" s="30" t="n">
        <x:f>IF(ISNUMBER(Q41),COUNTIFS($Q$6:$Q$151,"&gt;"&amp;Q41)+(COUNTIFS($Q$6:$Q$151,Q41)+1)/2,"NA")</x:f>
        <x:v>36</x:v>
      </x:c>
      <x:c r="S41" s="31" t="n">
        <x:f>IF(OR(B41="s3",B41="s6"),COUNTIFS($B$6:$B$151,B41,$I$6:$I$151,"&gt;"&amp;I41)+(COUNTIFS($B$6:$B$151,B41,$I$6:$I$151,I41)+1)/2,"NA")</x:f>
        <x:v>35</x:v>
      </x:c>
      <x:c r="T41" s="26" t="str">
        <x:f>IF(COUNTIFS($I$6:$I$151,"&gt;"&amp;I41)&gt;=30,"非前20%",IF(COUNTIFS($I$6:$I$151,"&gt;="&amp;I41)&gt;=30,"边界同分","严格前20%"))</x:f>
        <x:v>非前20%</x:v>
      </x:c>
      <x:c r="U41" s="26" t="str">
        <x:f>IF(COUNTIFS($I$6:$I$151,"&lt;"&amp;I41)&gt;=30,"非后20%",IF(COUNTIFS($I$6:$I$151,"&lt;="&amp;I41)&gt;=30,"边界同分","严格后20%"))</x:f>
        <x:v>非后20%</x:v>
      </x:c>
      <x:c r="V41" s="22" t="n">
        <x:f>'指标计算'!P20</x:f>
        <x:v>0.21094602371769783</x:v>
      </x:c>
      <x:c r="W41" s="22" t="n">
        <x:f>'指标计算'!Q20</x:f>
        <x:v>0.21094602371769783</x:v>
      </x:c>
      <x:c r="X41" s="22" t="str">
        <x:v>["S0300"]</x:v>
      </x:c>
      <x:c r="Y41" s="22" t="str">
        <x:v>evidence/student_evidence.jsonl；student_key=2025秋:258526</x:v>
      </x:c>
      <x:c r="Z41" s="26" t="n">
        <x:f>IF(OR(B41="s3",B41="s6"),COUNTIFS($B$6:$B$151,B41,$K$6:$K$151,"&gt;"&amp;K41)+(COUNTIFS($B$6:$B$151,B41,$K$6:$K$151,K41)+1)/2,"NA")</x:f>
        <x:v>36</x:v>
      </x:c>
      <x:c r="AA41" s="26" t="n">
        <x:f>IF(OR(B41="s3",B41="s6"),COUNTIFS($B$6:$B$151,B41,$M$6:$M$151,"&gt;"&amp;M41)+(COUNTIFS($B$6:$B$151,B41,$M$6:$M$151,M41)+1)/2,"NA")</x:f>
        <x:v>35</x:v>
      </x:c>
      <x:c r="AB41" s="26" t="n">
        <x:f>IF(OR(B41="s3",B41="s6"),COUNTIFS($B$6:$B$151,B41,$O$6:$O$151,"&gt;"&amp;O41)+(COUNTIFS($B$6:$B$151,B41,$O$6:$O$151,O41)+1)/2,"NA")</x:f>
        <x:v>35</x:v>
      </x:c>
      <x:c r="AC41" s="26" t="n">
        <x:f>IF(OR(B41="s3",B41="s6"),COUNTIFS($B$6:$B$151,B41,$Q$6:$Q$151,"&gt;"&amp;Q41)+(COUNTIFS($B$6:$B$151,B41,$Q$6:$Q$151,Q41)+1)/2,"NA")</x:f>
        <x:v>35</x:v>
      </x:c>
      <x:c r="AD41" s="25" t="n">
        <x:v>66.75971610740744</x:v>
      </x:c>
      <x:c r="AE41" s="25" t="n">
        <x:v>24</x:v>
      </x:c>
      <x:c r="AF41" s="25" t="n">
        <x:v>23</x:v>
      </x:c>
      <x:c r="AG41" s="25" t="n">
        <x:v>-12</x:v>
      </x:c>
    </x:row>
    <x:row r="42" ht="23" customHeight="1">
      <x:c r="A42" s="21" t="str">
        <x:v>2025秋:252265</x:v>
      </x:c>
      <x:c r="B42" s="22" t="str">
        <x:v>s3</x:v>
      </x:c>
      <x:c r="C42" s="24" t="n">
        <x:v>1</x:v>
      </x:c>
      <x:c r="D42" s="24" t="n">
        <x:v>1</x:v>
      </x:c>
      <x:c r="E42" s="29" t="n">
        <x:f>'指标计算'!S7</x:f>
        <x:v>0.5086176733722524</x:v>
      </x:c>
      <x:c r="F42" s="29" t="n">
        <x:f>'指标计算'!T7</x:f>
        <x:v>0.6034120804670291</x:v>
      </x:c>
      <x:c r="G42" s="29" t="n">
        <x:f>'指标计算'!U7</x:f>
        <x:v>0.6034120804670291</x:v>
      </x:c>
      <x:c r="H42" s="29" t="n">
        <x:f>'指标计算'!V7</x:f>
        <x:v>1</x:v>
      </x:c>
      <x:c r="I42" s="30" t="n">
        <x:f>IF(COUNT('总览与权重'!$H$11:$K$11)=4,ROUND(100*SUMPRODUCT(E42:H42,'总览与权重'!$H$11:$K$11),12),"NA")</x:f>
        <x:v>69.395013419849</x:v>
      </x:c>
      <x:c r="J42" s="30" t="n">
        <x:f>IF(ISNUMBER(I42),COUNTIFS($I$6:$I$151,"&gt;"&amp;I42)+(COUNTIFS($I$6:$I$151,I42)+1)/2,"NA")</x:f>
        <x:v>37.5</x:v>
      </x:c>
      <x:c r="K42" s="30" t="n">
        <x:f>IF(COUNT('总览与权重'!$H$12:$K$12)=4,ROUND(100*SUMPRODUCT(E42:H42,'总览与权重'!$H$12:$K$12),12),"NA")</x:f>
        <x:v>66.377078295467</x:v>
      </x:c>
      <x:c r="L42" s="30" t="n">
        <x:f>IF(ISNUMBER(K42),COUNTIFS($K$6:$K$151,"&gt;"&amp;K42)+(COUNTIFS($K$6:$K$151,K42)+1)/2,"NA")</x:f>
        <x:v>40.5</x:v>
      </x:c>
      <x:c r="M42" s="30" t="n">
        <x:f>IF(COUNT('总览与权重'!$H$13:$K$13)=4,ROUND(100*SUMPRODUCT(E42:H42,'总览与权重'!$H$13:$K$13),12),"NA")</x:f>
        <x:v>71.851925052987</x:v>
      </x:c>
      <x:c r="N42" s="30" t="n">
        <x:f>IF(ISNUMBER(M42),COUNTIFS($M$6:$M$151,"&gt;"&amp;M42)+(COUNTIFS($M$6:$M$151,M42)+1)/2,"NA")</x:f>
        <x:v>37.5</x:v>
      </x:c>
      <x:c r="O42" s="30" t="n">
        <x:f>IF(COUNT('总览与权重'!$H$14:$K$14)=4,ROUND(100*SUMPRODUCT(E42:H42,'总览与权重'!$H$14:$K$14),12),"NA")</x:f>
        <x:v>72.212410593963</x:v>
      </x:c>
      <x:c r="P42" s="30" t="n">
        <x:f>IF(ISNUMBER(O42),COUNTIFS($O$6:$O$151,"&gt;"&amp;O42)+(COUNTIFS($O$6:$O$151,O42)+1)/2,"NA")</x:f>
        <x:v>40.5</x:v>
      </x:c>
      <x:c r="Q42" s="30" t="n">
        <x:f>IF(COUNT('总览与权重'!$H$15:$K$15)=4,ROUND(100*SUMPRODUCT(E42:H42,'总览与权重'!$H$15:$K$15),12),"NA")</x:f>
        <x:v>85.155285821174</x:v>
      </x:c>
      <x:c r="R42" s="30" t="n">
        <x:f>IF(ISNUMBER(Q42),COUNTIFS($Q$6:$Q$151,"&gt;"&amp;Q42)+(COUNTIFS($Q$6:$Q$151,Q42)+1)/2,"NA")</x:f>
        <x:v>38.5</x:v>
      </x:c>
      <x:c r="S42" s="31" t="n">
        <x:f>IF(OR(B42="s3",B42="s6"),COUNTIFS($B$6:$B$151,B42,$I$6:$I$151,"&gt;"&amp;I42)+(COUNTIFS($B$6:$B$151,B42,$I$6:$I$151,I42)+1)/2,"NA")</x:f>
        <x:v>36.5</x:v>
      </x:c>
      <x:c r="T42" s="26" t="str">
        <x:f>IF(COUNTIFS($I$6:$I$151,"&gt;"&amp;I42)&gt;=30,"非前20%",IF(COUNTIFS($I$6:$I$151,"&gt;="&amp;I42)&gt;=30,"边界同分","严格前20%"))</x:f>
        <x:v>非前20%</x:v>
      </x:c>
      <x:c r="U42" s="26" t="str">
        <x:f>IF(COUNTIFS($I$6:$I$151,"&lt;"&amp;I42)&gt;=30,"非后20%",IF(COUNTIFS($I$6:$I$151,"&lt;="&amp;I42)&gt;=30,"边界同分","严格后20%"))</x:f>
        <x:v>非后20%</x:v>
      </x:c>
      <x:c r="V42" s="22" t="n">
        <x:f>'指标计算'!P7</x:f>
        <x:v>0.2068241609340583</x:v>
      </x:c>
      <x:c r="W42" s="22" t="n">
        <x:f>'指标计算'!Q7</x:f>
        <x:v>0.2068241609340583</x:v>
      </x:c>
      <x:c r="X42" s="22" t="str">
        <x:v>["S0248"]</x:v>
      </x:c>
      <x:c r="Y42" s="22" t="str">
        <x:v>evidence/student_evidence.jsonl；student_key=2025秋:252265</x:v>
      </x:c>
      <x:c r="Z42" s="26" t="n">
        <x:f>IF(OR(B42="s3",B42="s6"),COUNTIFS($B$6:$B$151,B42,$K$6:$K$151,"&gt;"&amp;K42)+(COUNTIFS($B$6:$B$151,B42,$K$6:$K$151,K42)+1)/2,"NA")</x:f>
        <x:v>37.5</x:v>
      </x:c>
      <x:c r="AA42" s="26" t="n">
        <x:f>IF(OR(B42="s3",B42="s6"),COUNTIFS($B$6:$B$151,B42,$M$6:$M$151,"&gt;"&amp;M42)+(COUNTIFS($B$6:$B$151,B42,$M$6:$M$151,M42)+1)/2,"NA")</x:f>
        <x:v>36.5</x:v>
      </x:c>
      <x:c r="AB42" s="26" t="n">
        <x:f>IF(OR(B42="s3",B42="s6"),COUNTIFS($B$6:$B$151,B42,$O$6:$O$151,"&gt;"&amp;O42)+(COUNTIFS($B$6:$B$151,B42,$O$6:$O$151,O42)+1)/2,"NA")</x:f>
        <x:v>37.5</x:v>
      </x:c>
      <x:c r="AC42" s="26" t="n">
        <x:f>IF(OR(B42="s3",B42="s6"),COUNTIFS($B$6:$B$151,B42,$Q$6:$Q$151,"&gt;"&amp;Q42)+(COUNTIFS($B$6:$B$151,B42,$Q$6:$Q$151,Q42)+1)/2,"NA")</x:f>
        <x:v>37.5</x:v>
      </x:c>
      <x:c r="AD42" s="25" t="n">
        <x:v>66.67212652325509</x:v>
      </x:c>
      <x:c r="AE42" s="25" t="n">
        <x:v>25.5</x:v>
      </x:c>
      <x:c r="AF42" s="25" t="n">
        <x:v>24.5</x:v>
      </x:c>
      <x:c r="AG42" s="25" t="n">
        <x:v>-12</x:v>
      </x:c>
    </x:row>
    <x:row r="43" ht="23" customHeight="1">
      <x:c r="A43" s="21" t="str">
        <x:v>2025秋:259865</x:v>
      </x:c>
      <x:c r="B43" s="22" t="str">
        <x:v>s3</x:v>
      </x:c>
      <x:c r="C43" s="24" t="n">
        <x:v>1</x:v>
      </x:c>
      <x:c r="D43" s="24" t="n">
        <x:v>1</x:v>
      </x:c>
      <x:c r="E43" s="29" t="n">
        <x:f>'指标计算'!S117</x:f>
        <x:v>0.5086176733722524</x:v>
      </x:c>
      <x:c r="F43" s="29" t="n">
        <x:f>'指标计算'!T117</x:f>
        <x:v>0.6034120804670291</x:v>
      </x:c>
      <x:c r="G43" s="29" t="n">
        <x:f>'指标计算'!U117</x:f>
        <x:v>0.6034120804670291</x:v>
      </x:c>
      <x:c r="H43" s="29" t="n">
        <x:f>'指标计算'!V117</x:f>
        <x:v>1</x:v>
      </x:c>
      <x:c r="I43" s="30" t="n">
        <x:f>IF(COUNT('总览与权重'!$H$11:$K$11)=4,ROUND(100*SUMPRODUCT(E43:H43,'总览与权重'!$H$11:$K$11),12),"NA")</x:f>
        <x:v>69.395013419849</x:v>
      </x:c>
      <x:c r="J43" s="30" t="n">
        <x:f>IF(ISNUMBER(I43),COUNTIFS($I$6:$I$151,"&gt;"&amp;I43)+(COUNTIFS($I$6:$I$151,I43)+1)/2,"NA")</x:f>
        <x:v>37.5</x:v>
      </x:c>
      <x:c r="K43" s="30" t="n">
        <x:f>IF(COUNT('总览与权重'!$H$12:$K$12)=4,ROUND(100*SUMPRODUCT(E43:H43,'总览与权重'!$H$12:$K$12),12),"NA")</x:f>
        <x:v>66.377078295467</x:v>
      </x:c>
      <x:c r="L43" s="30" t="n">
        <x:f>IF(ISNUMBER(K43),COUNTIFS($K$6:$K$151,"&gt;"&amp;K43)+(COUNTIFS($K$6:$K$151,K43)+1)/2,"NA")</x:f>
        <x:v>40.5</x:v>
      </x:c>
      <x:c r="M43" s="30" t="n">
        <x:f>IF(COUNT('总览与权重'!$H$13:$K$13)=4,ROUND(100*SUMPRODUCT(E43:H43,'总览与权重'!$H$13:$K$13),12),"NA")</x:f>
        <x:v>71.851925052987</x:v>
      </x:c>
      <x:c r="N43" s="30" t="n">
        <x:f>IF(ISNUMBER(M43),COUNTIFS($M$6:$M$151,"&gt;"&amp;M43)+(COUNTIFS($M$6:$M$151,M43)+1)/2,"NA")</x:f>
        <x:v>37.5</x:v>
      </x:c>
      <x:c r="O43" s="30" t="n">
        <x:f>IF(COUNT('总览与权重'!$H$14:$K$14)=4,ROUND(100*SUMPRODUCT(E43:H43,'总览与权重'!$H$14:$K$14),12),"NA")</x:f>
        <x:v>72.212410593963</x:v>
      </x:c>
      <x:c r="P43" s="30" t="n">
        <x:f>IF(ISNUMBER(O43),COUNTIFS($O$6:$O$151,"&gt;"&amp;O43)+(COUNTIFS($O$6:$O$151,O43)+1)/2,"NA")</x:f>
        <x:v>40.5</x:v>
      </x:c>
      <x:c r="Q43" s="30" t="n">
        <x:f>IF(COUNT('总览与权重'!$H$15:$K$15)=4,ROUND(100*SUMPRODUCT(E43:H43,'总览与权重'!$H$15:$K$15),12),"NA")</x:f>
        <x:v>85.155285821174</x:v>
      </x:c>
      <x:c r="R43" s="30" t="n">
        <x:f>IF(ISNUMBER(Q43),COUNTIFS($Q$6:$Q$151,"&gt;"&amp;Q43)+(COUNTIFS($Q$6:$Q$151,Q43)+1)/2,"NA")</x:f>
        <x:v>38.5</x:v>
      </x:c>
      <x:c r="S43" s="31" t="n">
        <x:f>IF(OR(B43="s3",B43="s6"),COUNTIFS($B$6:$B$151,B43,$I$6:$I$151,"&gt;"&amp;I43)+(COUNTIFS($B$6:$B$151,B43,$I$6:$I$151,I43)+1)/2,"NA")</x:f>
        <x:v>36.5</x:v>
      </x:c>
      <x:c r="T43" s="26" t="str">
        <x:f>IF(COUNTIFS($I$6:$I$151,"&gt;"&amp;I43)&gt;=30,"非前20%",IF(COUNTIFS($I$6:$I$151,"&gt;="&amp;I43)&gt;=30,"边界同分","严格前20%"))</x:f>
        <x:v>非前20%</x:v>
      </x:c>
      <x:c r="U43" s="26" t="str">
        <x:f>IF(COUNTIFS($I$6:$I$151,"&lt;"&amp;I43)&gt;=30,"非后20%",IF(COUNTIFS($I$6:$I$151,"&lt;="&amp;I43)&gt;=30,"边界同分","严格后20%"))</x:f>
        <x:v>非后20%</x:v>
      </x:c>
      <x:c r="V43" s="22" t="n">
        <x:f>'指标计算'!P117</x:f>
        <x:v>0.2068241609340583</x:v>
      </x:c>
      <x:c r="W43" s="22" t="n">
        <x:f>'指标计算'!Q117</x:f>
        <x:v>0.2068241609340583</x:v>
      </x:c>
      <x:c r="X43" s="22" t="str">
        <x:v>["S0397"]</x:v>
      </x:c>
      <x:c r="Y43" s="22" t="str">
        <x:v>evidence/student_evidence.jsonl；student_key=2025秋:259865</x:v>
      </x:c>
      <x:c r="Z43" s="26" t="n">
        <x:f>IF(OR(B43="s3",B43="s6"),COUNTIFS($B$6:$B$151,B43,$K$6:$K$151,"&gt;"&amp;K43)+(COUNTIFS($B$6:$B$151,B43,$K$6:$K$151,K43)+1)/2,"NA")</x:f>
        <x:v>37.5</x:v>
      </x:c>
      <x:c r="AA43" s="26" t="n">
        <x:f>IF(OR(B43="s3",B43="s6"),COUNTIFS($B$6:$B$151,B43,$M$6:$M$151,"&gt;"&amp;M43)+(COUNTIFS($B$6:$B$151,B43,$M$6:$M$151,M43)+1)/2,"NA")</x:f>
        <x:v>36.5</x:v>
      </x:c>
      <x:c r="AB43" s="26" t="n">
        <x:f>IF(OR(B43="s3",B43="s6"),COUNTIFS($B$6:$B$151,B43,$O$6:$O$151,"&gt;"&amp;O43)+(COUNTIFS($B$6:$B$151,B43,$O$6:$O$151,O43)+1)/2,"NA")</x:f>
        <x:v>37.5</x:v>
      </x:c>
      <x:c r="AC43" s="26" t="n">
        <x:f>IF(OR(B43="s3",B43="s6"),COUNTIFS($B$6:$B$151,B43,$Q$6:$Q$151,"&gt;"&amp;Q43)+(COUNTIFS($B$6:$B$151,B43,$Q$6:$Q$151,Q43)+1)/2,"NA")</x:f>
        <x:v>37.5</x:v>
      </x:c>
      <x:c r="AD43" s="25" t="n">
        <x:v>66.67212652325509</x:v>
      </x:c>
      <x:c r="AE43" s="25" t="n">
        <x:v>25.5</x:v>
      </x:c>
      <x:c r="AF43" s="25" t="n">
        <x:v>24.5</x:v>
      </x:c>
      <x:c r="AG43" s="25" t="n">
        <x:v>-12</x:v>
      </x:c>
    </x:row>
    <x:row r="44" ht="23" customHeight="1">
      <x:c r="A44" s="21" t="str">
        <x:v>2025秋:258938</x:v>
      </x:c>
      <x:c r="B44" s="22" t="str">
        <x:v>s3</x:v>
      </x:c>
      <x:c r="C44" s="24" t="n">
        <x:v>2</x:v>
      </x:c>
      <x:c r="D44" s="24" t="n">
        <x:v>2</x:v>
      </x:c>
      <x:c r="E44" s="29" t="n">
        <x:f>'指标计算'!S48</x:f>
        <x:v>0.5056138547598114</x:v>
      </x:c>
      <x:c r="F44" s="29" t="n">
        <x:f>'指标计算'!T48</x:f>
        <x:v>0.5374256983987429</x:v>
      </x:c>
      <x:c r="G44" s="29" t="n">
        <x:f>'指标计算'!U48</x:f>
        <x:v>0.6697279999298902</x:v>
      </x:c>
      <x:c r="H44" s="29" t="n">
        <x:f>'指标计算'!V48</x:f>
        <x:v>1</x:v>
      </x:c>
      <x:c r="I44" s="30" t="n">
        <x:f>IF(COUNT('总览与权重'!$H$11:$K$11)=4,ROUND(100*SUMPRODUCT(E44:H44,'总览与权重'!$H$11:$K$11),12),"NA")</x:f>
        <x:v>68.649978101711</x:v>
      </x:c>
      <x:c r="J44" s="30" t="n">
        <x:f>IF(ISNUMBER(I44),COUNTIFS($I$6:$I$151,"&gt;"&amp;I44)+(COUNTIFS($I$6:$I$151,I44)+1)/2,"NA")</x:f>
        <x:v>39</x:v>
      </x:c>
      <x:c r="K44" s="30" t="n">
        <x:f>IF(COUNT('总览与权重'!$H$12:$K$12)=4,ROUND(100*SUMPRODUCT(E44:H44,'总览与权重'!$H$12:$K$12),12),"NA")</x:f>
        <x:v>67.649911060367</x:v>
      </x:c>
      <x:c r="L44" s="30" t="n">
        <x:f>IF(ISNUMBER(K44),COUNTIFS($K$6:$K$151,"&gt;"&amp;K44)+(COUNTIFS($K$6:$K$151,K44)+1)/2,"NA")</x:f>
        <x:v>16</x:v>
      </x:c>
      <x:c r="M44" s="30" t="n">
        <x:f>IF(COUNT('总览与权重'!$H$13:$K$13)=4,ROUND(100*SUMPRODUCT(E44:H44,'总览与权重'!$H$13:$K$13),12),"NA")</x:f>
        <x:v>70.460397320256</x:v>
      </x:c>
      <x:c r="N44" s="30" t="n">
        <x:f>IF(ISNUMBER(M44),COUNTIFS($M$6:$M$151,"&gt;"&amp;M44)+(COUNTIFS($M$6:$M$151,M44)+1)/2,"NA")</x:f>
        <x:v>39</x:v>
      </x:c>
      <x:c r="O44" s="30" t="n">
        <x:f>IF(COUNT('总览与权重'!$H$14:$K$14)=4,ROUND(100*SUMPRODUCT(E44:H44,'总览与权重'!$H$14:$K$14),12),"NA")</x:f>
        <x:v>72.243483505234</x:v>
      </x:c>
      <x:c r="P44" s="30" t="n">
        <x:f>IF(ISNUMBER(O44),COUNTIFS($O$6:$O$151,"&gt;"&amp;O44)+(COUNTIFS($O$6:$O$151,O44)+1)/2,"NA")</x:f>
        <x:v>39</x:v>
      </x:c>
      <x:c r="Q44" s="30" t="n">
        <x:f>IF(COUNT('总览与权重'!$H$15:$K$15)=4,ROUND(100*SUMPRODUCT(E44:H44,'总览与权重'!$H$15:$K$15),12),"NA")</x:f>
        <x:v>85.00000000000</x:v>
      </x:c>
      <x:c r="R44" s="30" t="n">
        <x:f>IF(ISNUMBER(Q44),COUNTIFS($Q$6:$Q$151,"&gt;"&amp;Q44)+(COUNTIFS($Q$6:$Q$151,Q44)+1)/2,"NA")</x:f>
        <x:v>37</x:v>
      </x:c>
      <x:c r="S44" s="31" t="n">
        <x:f>IF(OR(B44="s3",B44="s6"),COUNTIFS($B$6:$B$151,B44,$I$6:$I$151,"&gt;"&amp;I44)+(COUNTIFS($B$6:$B$151,B44,$I$6:$I$151,I44)+1)/2,"NA")</x:f>
        <x:v>38</x:v>
      </x:c>
      <x:c r="T44" s="26" t="str">
        <x:f>IF(COUNTIFS($I$6:$I$151,"&gt;"&amp;I44)&gt;=30,"非前20%",IF(COUNTIFS($I$6:$I$151,"&gt;="&amp;I44)&gt;=30,"边界同分","严格前20%"))</x:f>
        <x:v>非前20%</x:v>
      </x:c>
      <x:c r="U44" s="26" t="str">
        <x:f>IF(COUNTIFS($I$6:$I$151,"&lt;"&amp;I44)&gt;=30,"非后20%",IF(COUNTIFS($I$6:$I$151,"&lt;="&amp;I44)&gt;=30,"边界同分","严格后20%"))</x:f>
        <x:v>非后20%</x:v>
      </x:c>
      <x:c r="V44" s="22" t="n">
        <x:f>'指标计算'!P48</x:f>
        <x:v>0.13473251423547417</x:v>
      </x:c>
      <x:c r="W44" s="22" t="n">
        <x:f>'指标计算'!Q48</x:f>
        <x:v>0.07485139679748565</x:v>
      </x:c>
      <x:c r="X44" s="22" t="str">
        <x:v>["S0073","S0374"]</x:v>
      </x:c>
      <x:c r="Y44" s="22" t="str">
        <x:v>evidence/student_evidence.jsonl；student_key=2025秋:258938</x:v>
      </x:c>
      <x:c r="Z44" s="26" t="n">
        <x:f>IF(OR(B44="s3",B44="s6"),COUNTIFS($B$6:$B$151,B44,$K$6:$K$151,"&gt;"&amp;K44)+(COUNTIFS($B$6:$B$151,B44,$K$6:$K$151,K44)+1)/2,"NA")</x:f>
        <x:v>13</x:v>
      </x:c>
      <x:c r="AA44" s="26" t="n">
        <x:f>IF(OR(B44="s3",B44="s6"),COUNTIFS($B$6:$B$151,B44,$M$6:$M$151,"&gt;"&amp;M44)+(COUNTIFS($B$6:$B$151,B44,$M$6:$M$151,M44)+1)/2,"NA")</x:f>
        <x:v>38</x:v>
      </x:c>
      <x:c r="AB44" s="26" t="n">
        <x:f>IF(OR(B44="s3",B44="s6"),COUNTIFS($B$6:$B$151,B44,$O$6:$O$151,"&gt;"&amp;O44)+(COUNTIFS($B$6:$B$151,B44,$O$6:$O$151,O44)+1)/2,"NA")</x:f>
        <x:v>36</x:v>
      </x:c>
      <x:c r="AC44" s="26" t="n">
        <x:f>IF(OR(B44="s3",B44="s6"),COUNTIFS($B$6:$B$151,B44,$Q$6:$Q$151,"&gt;"&amp;Q44)+(COUNTIFS($B$6:$B$151,B44,$Q$6:$Q$151,Q44)+1)/2,"NA")</x:f>
        <x:v>36</x:v>
      </x:c>
      <x:c r="AD44" s="25" t="n">
        <x:v>66.0328025915274</x:v>
      </x:c>
      <x:c r="AE44" s="25" t="n">
        <x:v>40</x:v>
      </x:c>
      <x:c r="AF44" s="25" t="n">
        <x:v>39</x:v>
      </x:c>
      <x:c r="AG44" s="25" t="n">
        <x:v>1</x:v>
      </x:c>
    </x:row>
    <x:row r="45" ht="23" customHeight="1">
      <x:c r="A45" s="21" t="str">
        <x:v>2025秋:259437</x:v>
      </x:c>
      <x:c r="B45" s="22" t="str">
        <x:v>s3</x:v>
      </x:c>
      <x:c r="C45" s="24" t="n">
        <x:v>2</x:v>
      </x:c>
      <x:c r="D45" s="24" t="n">
        <x:v>2</x:v>
      </x:c>
      <x:c r="E45" s="29" t="n">
        <x:f>'指标计算'!S106</x:f>
        <x:v>0.5074807414309134</x:v>
      </x:c>
      <x:c r="F45" s="29" t="n">
        <x:f>'指标计算'!T106</x:f>
        <x:v>0.5561055607318508</x:v>
      </x:c>
      <x:c r="G45" s="29" t="n">
        <x:f>'指标计算'!U106</x:f>
        <x:v>0.6034120804670291</x:v>
      </x:c>
      <x:c r="H45" s="29" t="n">
        <x:f>'指标计算'!V106</x:f>
        <x:v>1</x:v>
      </x:c>
      <x:c r="I45" s="30" t="n">
        <x:f>IF(COUNT('总览与权重'!$H$11:$K$11)=4,ROUND(100*SUMPRODUCT(E45:H45,'总览与权重'!$H$11:$K$11),12),"NA")</x:f>
        <x:v>68.178242468229</x:v>
      </x:c>
      <x:c r="J45" s="30" t="n">
        <x:f>IF(ISNUMBER(I45),COUNTIFS($I$6:$I$151,"&gt;"&amp;I45)+(COUNTIFS($I$6:$I$151,I45)+1)/2,"NA")</x:f>
        <x:v>40</x:v>
      </x:c>
      <x:c r="K45" s="30" t="n">
        <x:f>IF(COUNT('总览与权重'!$H$12:$K$12)=4,ROUND(100*SUMPRODUCT(E45:H45,'总览与权重'!$H$12:$K$12),12),"NA")</x:f>
        <x:v>65.408209261936</x:v>
      </x:c>
      <x:c r="L45" s="30" t="n">
        <x:f>IF(ISNUMBER(K45),COUNTIFS($K$6:$K$151,"&gt;"&amp;K45)+(COUNTIFS($K$6:$K$151,K45)+1)/2,"NA")</x:f>
        <x:v>43</x:v>
      </x:c>
      <x:c r="M45" s="30" t="n">
        <x:f>IF(COUNT('总览与权重'!$H$13:$K$13)=4,ROUND(100*SUMPRODUCT(E45:H45,'总览与权重'!$H$13:$K$13),12),"NA")</x:f>
        <x:v>70.404306162399</x:v>
      </x:c>
      <x:c r="N45" s="30" t="n">
        <x:f>IF(ISNUMBER(M45),COUNTIFS($M$6:$M$151,"&gt;"&amp;M45)+(COUNTIFS($M$6:$M$151,M45)+1)/2,"NA")</x:f>
        <x:v>40</x:v>
      </x:c>
      <x:c r="O45" s="30" t="n">
        <x:f>IF(COUNT('总览与权重'!$H$14:$K$14)=4,ROUND(100*SUMPRODUCT(E45:H45,'总览与权重'!$H$14:$K$14),12),"NA")</x:f>
        <x:v>70.570263890944</x:v>
      </x:c>
      <x:c r="P45" s="30" t="n">
        <x:f>IF(ISNUMBER(O45),COUNTIFS($O$6:$O$151,"&gt;"&amp;O45)+(COUNTIFS($O$6:$O$151,O45)+1)/2,"NA")</x:f>
        <x:v>42</x:v>
      </x:c>
      <x:c r="Q45" s="30" t="n">
        <x:f>IF(COUNT('总览与权重'!$H$15:$K$15)=4,ROUND(100*SUMPRODUCT(E45:H45,'总览与权重'!$H$15:$K$15),12),"NA")</x:f>
        <x:v>84.278016544958</x:v>
      </x:c>
      <x:c r="R45" s="30" t="n">
        <x:f>IF(ISNUMBER(Q45),COUNTIFS($Q$6:$Q$151,"&gt;"&amp;Q45)+(COUNTIFS($Q$6:$Q$151,Q45)+1)/2,"NA")</x:f>
        <x:v>40</x:v>
      </x:c>
      <x:c r="S45" s="31" t="n">
        <x:f>IF(OR(B45="s3",B45="s6"),COUNTIFS($B$6:$B$151,B45,$I$6:$I$151,"&gt;"&amp;I45)+(COUNTIFS($B$6:$B$151,B45,$I$6:$I$151,I45)+1)/2,"NA")</x:f>
        <x:v>39</x:v>
      </x:c>
      <x:c r="T45" s="26" t="str">
        <x:f>IF(COUNTIFS($I$6:$I$151,"&gt;"&amp;I45)&gt;=30,"非前20%",IF(COUNTIFS($I$6:$I$151,"&gt;="&amp;I45)&gt;=30,"边界同分","严格前20%"))</x:f>
        <x:v>非前20%</x:v>
      </x:c>
      <x:c r="U45" s="26" t="str">
        <x:f>IF(COUNTIFS($I$6:$I$151,"&lt;"&amp;I45)&gt;=30,"非后20%",IF(COUNTIFS($I$6:$I$151,"&lt;="&amp;I45)&gt;=30,"边界同分","严格后20%"))</x:f>
        <x:v>非后20%</x:v>
      </x:c>
      <x:c r="V45" s="22" t="n">
        <x:f>'指标计算'!P106</x:f>
        <x:v>0.17953779434192269</x:v>
      </x:c>
      <x:c r="W45" s="22" t="n">
        <x:f>'指标计算'!Q106</x:f>
        <x:v>0.11221112146370167</x:v>
      </x:c>
      <x:c r="X45" s="22" t="str">
        <x:v>["S0187","S0384"]</x:v>
      </x:c>
      <x:c r="Y45" s="22" t="str">
        <x:v>evidence/student_evidence.jsonl；student_key=2025秋:259437</x:v>
      </x:c>
      <x:c r="Z45" s="26" t="n">
        <x:f>IF(OR(B45="s3",B45="s6"),COUNTIFS($B$6:$B$151,B45,$K$6:$K$151,"&gt;"&amp;K45)+(COUNTIFS($B$6:$B$151,B45,$K$6:$K$151,K45)+1)/2,"NA")</x:f>
        <x:v>40</x:v>
      </x:c>
      <x:c r="AA45" s="26" t="n">
        <x:f>IF(OR(B45="s3",B45="s6"),COUNTIFS($B$6:$B$151,B45,$M$6:$M$151,"&gt;"&amp;M45)+(COUNTIFS($B$6:$B$151,B45,$M$6:$M$151,M45)+1)/2,"NA")</x:f>
        <x:v>39</x:v>
      </x:c>
      <x:c r="AB45" s="26" t="n">
        <x:f>IF(OR(B45="s3",B45="s6"),COUNTIFS($B$6:$B$151,B45,$O$6:$O$151,"&gt;"&amp;O45)+(COUNTIFS($B$6:$B$151,B45,$O$6:$O$151,O45)+1)/2,"NA")</x:f>
        <x:v>39</x:v>
      </x:c>
      <x:c r="AC45" s="26" t="n">
        <x:f>IF(OR(B45="s3",B45="s6"),COUNTIFS($B$6:$B$151,B45,$Q$6:$Q$151,"&gt;"&amp;Q45)+(COUNTIFS($B$6:$B$151,B45,$Q$6:$Q$151,Q45)+1)/2,"NA")</x:f>
        <x:v>39</x:v>
      </x:c>
      <x:c r="AD45" s="25" t="n">
        <x:v>65.78720684658094</x:v>
      </x:c>
      <x:c r="AE45" s="25" t="n">
        <x:v>42</x:v>
      </x:c>
      <x:c r="AF45" s="25" t="n">
        <x:v>41</x:v>
      </x:c>
      <x:c r="AG45" s="25" t="n">
        <x:v>2</x:v>
      </x:c>
    </x:row>
    <x:row r="46" ht="23" customHeight="1">
      <x:c r="A46" s="21" t="str">
        <x:v>2025秋:259869</x:v>
      </x:c>
      <x:c r="B46" s="22" t="str">
        <x:v>s6</x:v>
      </x:c>
      <x:c r="C46" s="24" t="n">
        <x:v>1</x:v>
      </x:c>
      <x:c r="D46" s="24" t="n">
        <x:v>1</x:v>
      </x:c>
      <x:c r="E46" s="29" t="n">
        <x:f>'指标计算'!S118</x:f>
        <x:v>0.5350952380952381</x:v>
      </x:c>
      <x:c r="F46" s="29" t="n">
        <x:f>'指标计算'!T118</x:f>
        <x:v>0.9211428571428572</x:v>
      </x:c>
      <x:c r="G46" s="29" t="n">
        <x:f>'指标计算'!U118</x:f>
        <x:v>0.9211428571428572</x:v>
      </x:c>
      <x:c r="H46" s="29" t="n">
        <x:f>'指标计算'!V118</x:f>
        <x:v>0.5</x:v>
      </x:c>
      <x:c r="I46" s="30" t="n">
        <x:f>IF(COUNT('总览与权重'!$H$11:$K$11)=4,ROUND(100*SUMPRODUCT(E46:H46,'总览与权重'!$H$11:$K$11),12),"NA")</x:f>
        <x:v>67.898571428571</x:v>
      </x:c>
      <x:c r="J46" s="30" t="n">
        <x:f>IF(ISNUMBER(I46),COUNTIFS($I$6:$I$151,"&gt;"&amp;I46)+(COUNTIFS($I$6:$I$151,I46)+1)/2,"NA")</x:f>
        <x:v>41</x:v>
      </x:c>
      <x:c r="K46" s="30" t="n">
        <x:f>IF(COUNT('总览与权重'!$H$12:$K$12)=4,ROUND(100*SUMPRODUCT(E46:H46,'总览与权重'!$H$12:$K$12),12),"NA")</x:f>
        <x:v>75.970476190476</x:v>
      </x:c>
      <x:c r="L46" s="30" t="n">
        <x:f>IF(ISNUMBER(K46),COUNTIFS($K$6:$K$151,"&gt;"&amp;K46)+(COUNTIFS($K$6:$K$151,K46)+1)/2,"NA")</x:f>
        <x:v>2</x:v>
      </x:c>
      <x:c r="M46" s="30" t="n">
        <x:f>IF(COUNT('总览与权重'!$H$13:$K$13)=4,ROUND(100*SUMPRODUCT(E46:H46,'总览与权重'!$H$13:$K$13),12),"NA")</x:f>
        <x:v>67.723095238095</x:v>
      </x:c>
      <x:c r="N46" s="30" t="n">
        <x:f>IF(ISNUMBER(M46),COUNTIFS($M$6:$M$151,"&gt;"&amp;M46)+(COUNTIFS($M$6:$M$151,M46)+1)/2,"NA")</x:f>
        <x:v>46</x:v>
      </x:c>
      <x:c r="O46" s="30" t="n">
        <x:f>IF(COUNT('总览与权重'!$H$14:$K$14)=4,ROUND(100*SUMPRODUCT(E46:H46,'总览与权重'!$H$14:$K$14),12),"NA")</x:f>
        <x:v>79.372344030902</x:v>
      </x:c>
      <x:c r="P46" s="30" t="n">
        <x:f>IF(ISNUMBER(O46),COUNTIFS($O$6:$O$151,"&gt;"&amp;O46)+(COUNTIFS($O$6:$O$151,O46)+1)/2,"NA")</x:f>
        <x:v>2</x:v>
      </x:c>
      <x:c r="Q46" s="30" t="n">
        <x:f>IF(COUNT('总览与权重'!$H$15:$K$15)=4,ROUND(100*SUMPRODUCT(E46:H46,'总览与权重'!$H$15:$K$15),12),"NA")</x:f>
        <x:v>65.691323400876</x:v>
      </x:c>
      <x:c r="R46" s="30" t="n">
        <x:f>IF(ISNUMBER(Q46),COUNTIFS($Q$6:$Q$151,"&gt;"&amp;Q46)+(COUNTIFS($Q$6:$Q$151,Q46)+1)/2,"NA")</x:f>
        <x:v>96</x:v>
      </x:c>
      <x:c r="S46" s="31" t="n">
        <x:f>IF(OR(B46="s3",B46="s6"),COUNTIFS($B$6:$B$151,B46,$I$6:$I$151,"&gt;"&amp;I46)+(COUNTIFS($B$6:$B$151,B46,$I$6:$I$151,I46)+1)/2,"NA")</x:f>
        <x:v>2</x:v>
      </x:c>
      <x:c r="T46" s="26" t="str">
        <x:f>IF(COUNTIFS($I$6:$I$151,"&gt;"&amp;I46)&gt;=30,"非前20%",IF(COUNTIFS($I$6:$I$151,"&gt;="&amp;I46)&gt;=30,"边界同分","严格前20%"))</x:f>
        <x:v>非前20%</x:v>
      </x:c>
      <x:c r="U46" s="26" t="str">
        <x:f>IF(COUNTIFS($I$6:$I$151,"&lt;"&amp;I46)&gt;=30,"非后20%",IF(COUNTIFS($I$6:$I$151,"&lt;="&amp;I46)&gt;=30,"边界同分","严格后20%"))</x:f>
        <x:v>非后20%</x:v>
      </x:c>
      <x:c r="V46" s="22" t="n">
        <x:f>'指标计算'!P118</x:f>
        <x:v>0.8422857142857143</x:v>
      </x:c>
      <x:c r="W46" s="22" t="n">
        <x:f>'指标计算'!Q118</x:f>
        <x:v>0.8422857142857143</x:v>
      </x:c>
      <x:c r="X46" s="22" t="str">
        <x:v>["S0220"]</x:v>
      </x:c>
      <x:c r="Y46" s="22" t="str">
        <x:v>evidence/student_evidence.jsonl；student_key=2025秋:259869</x:v>
      </x:c>
      <x:c r="Z46" s="26" t="n">
        <x:f>IF(OR(B46="s3",B46="s6"),COUNTIFS($B$6:$B$151,B46,$K$6:$K$151,"&gt;"&amp;K46)+(COUNTIFS($B$6:$B$151,B46,$K$6:$K$151,K46)+1)/2,"NA")</x:f>
        <x:v>2</x:v>
      </x:c>
      <x:c r="AA46" s="26" t="n">
        <x:f>IF(OR(B46="s3",B46="s6"),COUNTIFS($B$6:$B$151,B46,$M$6:$M$151,"&gt;"&amp;M46)+(COUNTIFS($B$6:$B$151,B46,$M$6:$M$151,M46)+1)/2,"NA")</x:f>
        <x:v>2</x:v>
      </x:c>
      <x:c r="AB46" s="26" t="n">
        <x:f>IF(OR(B46="s3",B46="s6"),COUNTIFS($B$6:$B$151,B46,$O$6:$O$151,"&gt;"&amp;O46)+(COUNTIFS($B$6:$B$151,B46,$O$6:$O$151,O46)+1)/2,"NA")</x:f>
        <x:v>2</x:v>
      </x:c>
      <x:c r="AC46" s="26" t="n">
        <x:f>IF(OR(B46="s3",B46="s6"),COUNTIFS($B$6:$B$151,B46,$Q$6:$Q$151,"&gt;"&amp;Q46)+(COUNTIFS($B$6:$B$151,B46,$Q$6:$Q$151,Q46)+1)/2,"NA")</x:f>
        <x:v>3</x:v>
      </x:c>
      <x:c r="AD46" s="25" t="n">
        <x:v>64.25571428571428</x:v>
      </x:c>
      <x:c r="AE46" s="25" t="n">
        <x:v>45</x:v>
      </x:c>
      <x:c r="AF46" s="25" t="n">
        <x:v>2</x:v>
      </x:c>
      <x:c r="AG46" s="25" t="n">
        <x:v>4</x:v>
      </x:c>
    </x:row>
    <x:row r="47" ht="23" customHeight="1">
      <x:c r="A47" s="21" t="str">
        <x:v>2025秋:259317</x:v>
      </x:c>
      <x:c r="B47" s="22" t="str">
        <x:v>s3</x:v>
      </x:c>
      <x:c r="C47" s="24" t="n">
        <x:v>1</x:v>
      </x:c>
      <x:c r="D47" s="24" t="n">
        <x:v>1</x:v>
      </x:c>
      <x:c r="E47" s="29" t="n">
        <x:f>'指标计算'!S82</x:f>
        <x:v>0.5028930461326979</x:v>
      </x:c>
      <x:c r="F47" s="29" t="n">
        <x:f>'指标计算'!T82</x:f>
        <x:v>0.5578609226539579</x:v>
      </x:c>
      <x:c r="G47" s="29" t="n">
        <x:f>'指标计算'!U82</x:f>
        <x:v>0.5578609226539579</x:v>
      </x:c>
      <x:c r="H47" s="29" t="n">
        <x:f>'指标计算'!V82</x:f>
        <x:v>1</x:v>
      </x:c>
      <x:c r="I47" s="30" t="n">
        <x:f>IF(COUNT('总览与权重'!$H$11:$K$11)=4,ROUND(100*SUMPRODUCT(E47:H47,'总览与权重'!$H$11:$K$11),12),"NA")</x:f>
        <x:v>67.401228290139</x:v>
      </x:c>
      <x:c r="J47" s="30" t="n">
        <x:f>IF(ISNUMBER(I47),COUNTIFS($I$6:$I$151,"&gt;"&amp;I47)+(COUNTIFS($I$6:$I$151,I47)+1)/2,"NA")</x:f>
        <x:v>42</x:v>
      </x:c>
      <x:c r="K47" s="30" t="n">
        <x:f>IF(COUNT('总览与权重'!$H$12:$K$12)=4,ROUND(100*SUMPRODUCT(E47:H47,'总览与权重'!$H$12:$K$12),12),"NA")</x:f>
        <x:v>63.529516281891</x:v>
      </x:c>
      <x:c r="L47" s="30" t="n">
        <x:f>IF(ISNUMBER(K47),COUNTIFS($K$6:$K$151,"&gt;"&amp;K47)+(COUNTIFS($K$6:$K$151,K47)+1)/2,"NA")</x:f>
        <x:v>46</x:v>
      </x:c>
      <x:c r="M47" s="30" t="n">
        <x:f>IF(COUNT('总览与权重'!$H$13:$K$13)=4,ROUND(100*SUMPRODUCT(E47:H47,'总览与权重'!$H$13:$K$13),12),"NA")</x:f>
        <x:v>69.886763059476</x:v>
      </x:c>
      <x:c r="N47" s="30" t="n">
        <x:f>IF(ISNUMBER(M47),COUNTIFS($M$6:$M$151,"&gt;"&amp;M47)+(COUNTIFS($M$6:$M$151,M47)+1)/2,"NA")</x:f>
        <x:v>41</x:v>
      </x:c>
      <x:c r="O47" s="30" t="n">
        <x:f>IF(COUNT('总览与权重'!$H$14:$K$14)=4,ROUND(100*SUMPRODUCT(E47:H47,'总览与权重'!$H$14:$K$14),12),"NA")</x:f>
        <x:v>69.034935855009</x:v>
      </x:c>
      <x:c r="P47" s="30" t="n">
        <x:f>IF(ISNUMBER(O47),COUNTIFS($O$6:$O$151,"&gt;"&amp;O47)+(COUNTIFS($O$6:$O$151,O47)+1)/2,"NA")</x:f>
        <x:v>44</x:v>
      </x:c>
      <x:c r="Q47" s="30" t="n">
        <x:f>IF(COUNT('总览与权重'!$H$15:$K$15)=4,ROUND(100*SUMPRODUCT(E47:H47,'总览与权重'!$H$15:$K$15),12),"NA")</x:f>
        <x:v>83.457812045346</x:v>
      </x:c>
      <x:c r="R47" s="30" t="n">
        <x:f>IF(ISNUMBER(Q47),COUNTIFS($Q$6:$Q$151,"&gt;"&amp;Q47)+(COUNTIFS($Q$6:$Q$151,Q47)+1)/2,"NA")</x:f>
        <x:v>41</x:v>
      </x:c>
      <x:c r="S47" s="31" t="n">
        <x:f>IF(OR(B47="s3",B47="s6"),COUNTIFS($B$6:$B$151,B47,$I$6:$I$151,"&gt;"&amp;I47)+(COUNTIFS($B$6:$B$151,B47,$I$6:$I$151,I47)+1)/2,"NA")</x:f>
        <x:v>40</x:v>
      </x:c>
      <x:c r="T47" s="26" t="str">
        <x:f>IF(COUNTIFS($I$6:$I$151,"&gt;"&amp;I47)&gt;=30,"非前20%",IF(COUNTIFS($I$6:$I$151,"&gt;="&amp;I47)&gt;=30,"边界同分","严格前20%"))</x:f>
        <x:v>非前20%</x:v>
      </x:c>
      <x:c r="U47" s="26" t="str">
        <x:f>IF(COUNTIFS($I$6:$I$151,"&lt;"&amp;I47)&gt;=30,"非后20%",IF(COUNTIFS($I$6:$I$151,"&lt;="&amp;I47)&gt;=30,"边界同分","严格后20%"))</x:f>
        <x:v>非后20%</x:v>
      </x:c>
      <x:c r="V47" s="22" t="n">
        <x:f>'指标计算'!P82</x:f>
        <x:v>0.06943310718474952</x:v>
      </x:c>
      <x:c r="W47" s="22" t="n">
        <x:f>'指标计算'!Q82</x:f>
        <x:v>0.11572184530791586</x:v>
      </x:c>
      <x:c r="X47" s="22" t="str">
        <x:v>["S0003"]</x:v>
      </x:c>
      <x:c r="Y47" s="22" t="str">
        <x:v>evidence/student_evidence.jsonl；student_key=2025秋:259317</x:v>
      </x:c>
      <x:c r="Z47" s="26" t="n">
        <x:f>IF(OR(B47="s3",B47="s6"),COUNTIFS($B$6:$B$151,B47,$K$6:$K$151,"&gt;"&amp;K47)+(COUNTIFS($B$6:$B$151,B47,$K$6:$K$151,K47)+1)/2,"NA")</x:f>
        <x:v>43</x:v>
      </x:c>
      <x:c r="AA47" s="26" t="n">
        <x:f>IF(OR(B47="s3",B47="s6"),COUNTIFS($B$6:$B$151,B47,$M$6:$M$151,"&gt;"&amp;M47)+(COUNTIFS($B$6:$B$151,B47,$M$6:$M$151,M47)+1)/2,"NA")</x:f>
        <x:v>40</x:v>
      </x:c>
      <x:c r="AB47" s="26" t="n">
        <x:f>IF(OR(B47="s3",B47="s6"),COUNTIFS($B$6:$B$151,B47,$O$6:$O$151,"&gt;"&amp;O47)+(COUNTIFS($B$6:$B$151,B47,$O$6:$O$151,O47)+1)/2,"NA")</x:f>
        <x:v>41</x:v>
      </x:c>
      <x:c r="AC47" s="26" t="n">
        <x:f>IF(OR(B47="s3",B47="s6"),COUNTIFS($B$6:$B$151,B47,$Q$6:$Q$151,"&gt;"&amp;Q47)+(COUNTIFS($B$6:$B$151,B47,$Q$6:$Q$151,Q47)+1)/2,"NA")</x:f>
        <x:v>40</x:v>
      </x:c>
      <x:c r="AD47" s="25" t="n">
        <x:v>66.37551795175733</x:v>
      </x:c>
      <x:c r="AE47" s="25" t="n">
        <x:v>37</x:v>
      </x:c>
      <x:c r="AF47" s="25" t="n">
        <x:v>36</x:v>
      </x:c>
      <x:c r="AG47" s="25" t="n">
        <x:v>-5</x:v>
      </x:c>
    </x:row>
    <x:row r="48" ht="23" customHeight="1">
      <x:c r="A48" s="21" t="str">
        <x:v>2025秋:259877</x:v>
      </x:c>
      <x:c r="B48" s="22" t="str">
        <x:v>s3</x:v>
      </x:c>
      <x:c r="C48" s="24" t="n">
        <x:v>1</x:v>
      </x:c>
      <x:c r="D48" s="24" t="n">
        <x:v>1</x:v>
      </x:c>
      <x:c r="E48" s="29" t="n">
        <x:f>'指标计算'!S120</x:f>
        <x:v>0.5033638622451285</x:v>
      </x:c>
      <x:c r="F48" s="29" t="n">
        <x:f>'指标计算'!T120</x:f>
        <x:v>0.5504579336769273</x:v>
      </x:c>
      <x:c r="G48" s="29" t="n">
        <x:f>'指标计算'!U120</x:f>
        <x:v>0.5504579336769273</x:v>
      </x:c>
      <x:c r="H48" s="29" t="n">
        <x:f>'指标计算'!V120</x:f>
        <x:v>1</x:v>
      </x:c>
      <x:c r="I48" s="30" t="n">
        <x:f>IF(COUNT('总览与权重'!$H$11:$K$11)=4,ROUND(100*SUMPRODUCT(E48:H48,'总览与权重'!$H$11:$K$11),12),"NA")</x:f>
        <x:v>67.119233214431</x:v>
      </x:c>
      <x:c r="J48" s="30" t="n">
        <x:f>IF(ISNUMBER(I48),COUNTIFS($I$6:$I$151,"&gt;"&amp;I48)+(COUNTIFS($I$6:$I$151,I48)+1)/2,"NA")</x:f>
        <x:v>43</x:v>
      </x:c>
      <x:c r="K48" s="30" t="n">
        <x:f>IF(COUNT('总览与权重'!$H$12:$K$12)=4,ROUND(100*SUMPRODUCT(E48:H48,'总览与权重'!$H$12:$K$12),12),"NA")</x:f>
        <x:v>63.094753265518</x:v>
      </x:c>
      <x:c r="L48" s="30" t="n">
        <x:f>IF(ISNUMBER(K48),COUNTIFS($K$6:$K$151,"&gt;"&amp;K48)+(COUNTIFS($K$6:$K$151,K48)+1)/2,"NA")</x:f>
        <x:v>47</x:v>
      </x:c>
      <x:c r="M48" s="30" t="n">
        <x:f>IF(COUNT('总览与权重'!$H$13:$K$13)=4,ROUND(100*SUMPRODUCT(E48:H48,'总览与权重'!$H$13:$K$13),12),"NA")</x:f>
        <x:v>69.602413903205</x:v>
      </x:c>
      <x:c r="N48" s="30" t="n">
        <x:f>IF(ISNUMBER(M48),COUNTIFS($M$6:$M$151,"&gt;"&amp;M48)+(COUNTIFS($M$6:$M$151,M48)+1)/2,"NA")</x:f>
        <x:v>42</x:v>
      </x:c>
      <x:c r="O48" s="30" t="n">
        <x:f>IF(COUNT('总览与权重'!$H$14:$K$14)=4,ROUND(100*SUMPRODUCT(E48:H48,'总览与权重'!$H$14:$K$14),12),"NA")</x:f>
        <x:v>68.518922371586</x:v>
      </x:c>
      <x:c r="P48" s="30" t="n">
        <x:f>IF(ISNUMBER(O48),COUNTIFS($O$6:$O$151,"&gt;"&amp;O48)+(COUNTIFS($O$6:$O$151,O48)+1)/2,"NA")</x:f>
        <x:v>45</x:v>
      </x:c>
      <x:c r="Q48" s="30" t="n">
        <x:f>IF(COUNT('总览与权重'!$H$15:$K$15)=4,ROUND(100*SUMPRODUCT(E48:H48,'总览与权重'!$H$15:$K$15),12),"NA")</x:f>
        <x:v>83.182146799185</x:v>
      </x:c>
      <x:c r="R48" s="30" t="n">
        <x:f>IF(ISNUMBER(Q48),COUNTIFS($Q$6:$Q$151,"&gt;"&amp;Q48)+(COUNTIFS($Q$6:$Q$151,Q48)+1)/2,"NA")</x:f>
        <x:v>42</x:v>
      </x:c>
      <x:c r="S48" s="31" t="n">
        <x:f>IF(OR(B48="s3",B48="s6"),COUNTIFS($B$6:$B$151,B48,$I$6:$I$151,"&gt;"&amp;I48)+(COUNTIFS($B$6:$B$151,B48,$I$6:$I$151,I48)+1)/2,"NA")</x:f>
        <x:v>41</x:v>
      </x:c>
      <x:c r="T48" s="26" t="str">
        <x:f>IF(COUNTIFS($I$6:$I$151,"&gt;"&amp;I48)&gt;=30,"非前20%",IF(COUNTIFS($I$6:$I$151,"&gt;="&amp;I48)&gt;=30,"边界同分","严格前20%"))</x:f>
        <x:v>非前20%</x:v>
      </x:c>
      <x:c r="U48" s="26" t="str">
        <x:f>IF(COUNTIFS($I$6:$I$151,"&lt;"&amp;I48)&gt;=30,"非后20%",IF(COUNTIFS($I$6:$I$151,"&lt;="&amp;I48)&gt;=30,"边界同分","严格后20%"))</x:f>
        <x:v>非后20%</x:v>
      </x:c>
      <x:c r="V48" s="22" t="n">
        <x:f>'指标计算'!P120</x:f>
        <x:v>0.08073269388308371</x:v>
      </x:c>
      <x:c r="W48" s="22" t="n">
        <x:f>'指标计算'!Q120</x:f>
        <x:v>0.10091586735385463</x:v>
      </x:c>
      <x:c r="X48" s="22" t="str">
        <x:v>["S0194"]</x:v>
      </x:c>
      <x:c r="Y48" s="22" t="str">
        <x:v>evidence/student_evidence.jsonl；student_key=2025秋:259877</x:v>
      </x:c>
      <x:c r="Z48" s="26" t="n">
        <x:f>IF(OR(B48="s3",B48="s6"),COUNTIFS($B$6:$B$151,B48,$K$6:$K$151,"&gt;"&amp;K48)+(COUNTIFS($B$6:$B$151,B48,$K$6:$K$151,K48)+1)/2,"NA")</x:f>
        <x:v>44</x:v>
      </x:c>
      <x:c r="AA48" s="26" t="n">
        <x:f>IF(OR(B48="s3",B48="s6"),COUNTIFS($B$6:$B$151,B48,$M$6:$M$151,"&gt;"&amp;M48)+(COUNTIFS($B$6:$B$151,B48,$M$6:$M$151,M48)+1)/2,"NA")</x:f>
        <x:v>41</x:v>
      </x:c>
      <x:c r="AB48" s="26" t="n">
        <x:f>IF(OR(B48="s3",B48="s6"),COUNTIFS($B$6:$B$151,B48,$O$6:$O$151,"&gt;"&amp;O48)+(COUNTIFS($B$6:$B$151,B48,$O$6:$O$151,O48)+1)/2,"NA")</x:f>
        <x:v>42</x:v>
      </x:c>
      <x:c r="AC48" s="26" t="n">
        <x:f>IF(OR(B48="s3",B48="s6"),COUNTIFS($B$6:$B$151,B48,$Q$6:$Q$151,"&gt;"&amp;Q48)+(COUNTIFS($B$6:$B$151,B48,$Q$6:$Q$151,Q48)+1)/2,"NA")</x:f>
        <x:v>41</x:v>
      </x:c>
      <x:c r="AD48" s="25" t="n">
        <x:v>64.94880040774605</x:v>
      </x:c>
      <x:c r="AE48" s="25" t="n">
        <x:v>44</x:v>
      </x:c>
      <x:c r="AF48" s="25" t="n">
        <x:v>43</x:v>
      </x:c>
      <x:c r="AG48" s="25" t="n">
        <x:v>1</x:v>
      </x:c>
    </x:row>
    <x:row r="49" ht="23" customHeight="1">
      <x:c r="A49" s="21" t="str">
        <x:v>2025秋:258859</x:v>
      </x:c>
      <x:c r="B49" s="22" t="str">
        <x:v>s3</x:v>
      </x:c>
      <x:c r="C49" s="24" t="n">
        <x:v>1</x:v>
      </x:c>
      <x:c r="D49" s="24" t="n">
        <x:v>1</x:v>
      </x:c>
      <x:c r="E49" s="29" t="n">
        <x:f>'指标计算'!S24</x:f>
        <x:v>0.5024566587516431</x:v>
      </x:c>
      <x:c r="F49" s="29" t="n">
        <x:f>'指标计算'!T24</x:f>
        <x:v>0.5491331750328637</x:v>
      </x:c>
      <x:c r="G49" s="29" t="n">
        <x:f>'指标计算'!U24</x:f>
        <x:v>0.5491331750328637</x:v>
      </x:c>
      <x:c r="H49" s="29" t="n">
        <x:f>'指标计算'!V24</x:f>
        <x:v>1</x:v>
      </x:c>
      <x:c r="I49" s="30" t="n">
        <x:f>IF(COUNT('总览与权重'!$H$11:$K$11)=4,ROUND(100*SUMPRODUCT(E49:H49,'总览与权重'!$H$11:$K$11),12),"NA")</x:f>
        <x:v>67.039026763864</x:v>
      </x:c>
      <x:c r="J49" s="30" t="n">
        <x:f>IF(ISNUMBER(I49),COUNTIFS($I$6:$I$151,"&gt;"&amp;I49)+(COUNTIFS($I$6:$I$151,I49)+1)/2,"NA")</x:f>
        <x:v>44</x:v>
      </x:c>
      <x:c r="K49" s="30" t="n">
        <x:f>IF(COUNT('总览与权重'!$H$12:$K$12)=4,ROUND(100*SUMPRODUCT(E49:H49,'总览与权重'!$H$12:$K$12),12),"NA")</x:f>
        <x:v>62.997123677005</x:v>
      </x:c>
      <x:c r="L49" s="30" t="n">
        <x:f>IF(ISNUMBER(K49),COUNTIFS($K$6:$K$151,"&gt;"&amp;K49)+(COUNTIFS($K$6:$K$151,K49)+1)/2,"NA")</x:f>
        <x:v>48</x:v>
      </x:c>
      <x:c r="M49" s="30" t="n">
        <x:f>IF(COUNT('总览与权重'!$H$13:$K$13)=4,ROUND(100*SUMPRODUCT(E49:H49,'总览与权重'!$H$13:$K$13),12),"NA")</x:f>
        <x:v>69.526743470106</x:v>
      </x:c>
      <x:c r="N49" s="30" t="n">
        <x:f>IF(ISNUMBER(M49),COUNTIFS($M$6:$M$151,"&gt;"&amp;M49)+(COUNTIFS($M$6:$M$151,M49)+1)/2,"NA")</x:f>
        <x:v>43</x:v>
      </x:c>
      <x:c r="O49" s="30" t="n">
        <x:f>IF(COUNT('总览与权重'!$H$14:$K$14)=4,ROUND(100*SUMPRODUCT(E49:H49,'总览与权重'!$H$14:$K$14),12),"NA")</x:f>
        <x:v>68.426305708883</x:v>
      </x:c>
      <x:c r="P49" s="30" t="n">
        <x:f>IF(ISNUMBER(O49),COUNTIFS($O$6:$O$151,"&gt;"&amp;O49)+(COUNTIFS($O$6:$O$151,O49)+1)/2,"NA")</x:f>
        <x:v>46</x:v>
      </x:c>
      <x:c r="Q49" s="30" t="n">
        <x:f>IF(COUNT('总览与权重'!$H$15:$K$15)=4,ROUND(100*SUMPRODUCT(E49:H49,'总览与权重'!$H$15:$K$15),12),"NA")</x:f>
        <x:v>83.132669031757</x:v>
      </x:c>
      <x:c r="R49" s="30" t="n">
        <x:f>IF(ISNUMBER(Q49),COUNTIFS($Q$6:$Q$151,"&gt;"&amp;Q49)+(COUNTIFS($Q$6:$Q$151,Q49)+1)/2,"NA")</x:f>
        <x:v>43</x:v>
      </x:c>
      <x:c r="S49" s="31" t="n">
        <x:f>IF(OR(B49="s3",B49="s6"),COUNTIFS($B$6:$B$151,B49,$I$6:$I$151,"&gt;"&amp;I49)+(COUNTIFS($B$6:$B$151,B49,$I$6:$I$151,I49)+1)/2,"NA")</x:f>
        <x:v>42</x:v>
      </x:c>
      <x:c r="T49" s="26" t="str">
        <x:f>IF(COUNTIFS($I$6:$I$151,"&gt;"&amp;I49)&gt;=30,"非前20%",IF(COUNTIFS($I$6:$I$151,"&gt;="&amp;I49)&gt;=30,"边界同分","严格前20%"))</x:f>
        <x:v>非前20%</x:v>
      </x:c>
      <x:c r="U49" s="26" t="str">
        <x:f>IF(COUNTIFS($I$6:$I$151,"&lt;"&amp;I49)&gt;=30,"非后20%",IF(COUNTIFS($I$6:$I$151,"&lt;="&amp;I49)&gt;=30,"边界同分","严格后20%"))</x:f>
        <x:v>非后20%</x:v>
      </x:c>
      <x:c r="V49" s="22" t="n">
        <x:f>'指标计算'!P24</x:f>
        <x:v>0.05895981003943654</x:v>
      </x:c>
      <x:c r="W49" s="22" t="n">
        <x:f>'指标计算'!Q24</x:f>
        <x:v>0.09826635006572756</x:v>
      </x:c>
      <x:c r="X49" s="22" t="str">
        <x:v>["S0091"]</x:v>
      </x:c>
      <x:c r="Y49" s="22" t="str">
        <x:v>evidence/student_evidence.jsonl；student_key=2025秋:258859</x:v>
      </x:c>
      <x:c r="Z49" s="26" t="n">
        <x:f>IF(OR(B49="s3",B49="s6"),COUNTIFS($B$6:$B$151,B49,$K$6:$K$151,"&gt;"&amp;K49)+(COUNTIFS($B$6:$B$151,B49,$K$6:$K$151,K49)+1)/2,"NA")</x:f>
        <x:v>45</x:v>
      </x:c>
      <x:c r="AA49" s="26" t="n">
        <x:f>IF(OR(B49="s3",B49="s6"),COUNTIFS($B$6:$B$151,B49,$M$6:$M$151,"&gt;"&amp;M49)+(COUNTIFS($B$6:$B$151,B49,$M$6:$M$151,M49)+1)/2,"NA")</x:f>
        <x:v>42</x:v>
      </x:c>
      <x:c r="AB49" s="26" t="n">
        <x:f>IF(OR(B49="s3",B49="s6"),COUNTIFS($B$6:$B$151,B49,$O$6:$O$151,"&gt;"&amp;O49)+(COUNTIFS($B$6:$B$151,B49,$O$6:$O$151,O49)+1)/2,"NA")</x:f>
        <x:v>43</x:v>
      </x:c>
      <x:c r="AC49" s="26" t="n">
        <x:f>IF(OR(B49="s3",B49="s6"),COUNTIFS($B$6:$B$151,B49,$Q$6:$Q$151,"&gt;"&amp;Q49)+(COUNTIFS($B$6:$B$151,B49,$Q$6:$Q$151,Q49)+1)/2,"NA")</x:f>
        <x:v>42</x:v>
      </x:c>
      <x:c r="AD49" s="25" t="n">
        <x:v>66.01331642548193</x:v>
      </x:c>
      <x:c r="AE49" s="25" t="n">
        <x:v>41</x:v>
      </x:c>
      <x:c r="AF49" s="25" t="n">
        <x:v>40</x:v>
      </x:c>
      <x:c r="AG49" s="25" t="n">
        <x:v>-3</x:v>
      </x:c>
    </x:row>
    <x:row r="50" ht="23" customHeight="1">
      <x:c r="A50" s="21" t="str">
        <x:v>2025秋:259400</x:v>
      </x:c>
      <x:c r="B50" s="22" t="str">
        <x:v>s3</x:v>
      </x:c>
      <x:c r="C50" s="24" t="n">
        <x:v>1</x:v>
      </x:c>
      <x:c r="D50" s="24" t="n">
        <x:v>1</x:v>
      </x:c>
      <x:c r="E50" s="29" t="n">
        <x:f>'指标计算'!S95</x:f>
        <x:v>0.5019789876677933</x:v>
      </x:c>
      <x:c r="F50" s="29" t="n">
        <x:f>'指标计算'!T95</x:f>
        <x:v>0.5395797533558659</x:v>
      </x:c>
      <x:c r="G50" s="29" t="n">
        <x:f>'指标计算'!U95</x:f>
        <x:v>0.5395797533558659</x:v>
      </x:c>
      <x:c r="H50" s="29" t="n">
        <x:f>'指标计算'!V95</x:f>
        <x:v>1</x:v>
      </x:c>
      <x:c r="I50" s="30" t="n">
        <x:f>IF(COUNT('总览与权重'!$H$11:$K$11)=4,ROUND(100*SUMPRODUCT(E50:H50,'总览与权重'!$H$11:$K$11),12),"NA")</x:f>
        <x:v>66.642559764268</x:v>
      </x:c>
      <x:c r="J50" s="30" t="n">
        <x:f>IF(ISNUMBER(I50),COUNTIFS($I$6:$I$151,"&gt;"&amp;I50)+(COUNTIFS($I$6:$I$151,I50)+1)/2,"NA")</x:f>
        <x:v>45</x:v>
      </x:c>
      <x:c r="K50" s="30" t="n">
        <x:f>IF(COUNT('总览与权重'!$H$12:$K$12)=4,ROUND(100*SUMPRODUCT(E50:H50,'总览与权重'!$H$12:$K$12),12),"NA")</x:f>
        <x:v>62.414364954708</x:v>
      </x:c>
      <x:c r="L50" s="30" t="n">
        <x:f>IF(ISNUMBER(K50),COUNTIFS($K$6:$K$151,"&gt;"&amp;K50)+(COUNTIFS($K$6:$K$151,K50)+1)/2,"NA")</x:f>
        <x:v>49</x:v>
      </x:c>
      <x:c r="M50" s="30" t="n">
        <x:f>IF(COUNT('总览与权重'!$H$13:$K$13)=4,ROUND(100*SUMPRODUCT(E50:H50,'总览与权重'!$H$13:$K$13),12),"NA")</x:f>
        <x:v>69.132664825929</x:v>
      </x:c>
      <x:c r="N50" s="30" t="n">
        <x:f>IF(ISNUMBER(M50),COUNTIFS($M$6:$M$151,"&gt;"&amp;M50)+(COUNTIFS($M$6:$M$151,M50)+1)/2,"NA")</x:f>
        <x:v>44</x:v>
      </x:c>
      <x:c r="O50" s="30" t="n">
        <x:f>IF(COUNT('总览与权重'!$H$14:$K$14)=4,ROUND(100*SUMPRODUCT(E50:H50,'总览与权重'!$H$14:$K$14),12),"NA")</x:f>
        <x:v>67.760097119486</x:v>
      </x:c>
      <x:c r="P50" s="30" t="n">
        <x:f>IF(ISNUMBER(O50),COUNTIFS($O$6:$O$151,"&gt;"&amp;O50)+(COUNTIFS($O$6:$O$151,O50)+1)/2,"NA")</x:f>
        <x:v>48</x:v>
      </x:c>
      <x:c r="Q50" s="30" t="n">
        <x:f>IF(COUNT('总览与权重'!$H$15:$K$15)=4,ROUND(100*SUMPRODUCT(E50:H50,'总览与权重'!$H$15:$K$15),12),"NA")</x:f>
        <x:v>82.77676640384</x:v>
      </x:c>
      <x:c r="R50" s="30" t="n">
        <x:f>IF(ISNUMBER(Q50),COUNTIFS($Q$6:$Q$151,"&gt;"&amp;Q50)+(COUNTIFS($Q$6:$Q$151,Q50)+1)/2,"NA")</x:f>
        <x:v>44</x:v>
      </x:c>
      <x:c r="S50" s="31" t="n">
        <x:f>IF(OR(B50="s3",B50="s6"),COUNTIFS($B$6:$B$151,B50,$I$6:$I$151,"&gt;"&amp;I50)+(COUNTIFS($B$6:$B$151,B50,$I$6:$I$151,I50)+1)/2,"NA")</x:f>
        <x:v>43</x:v>
      </x:c>
      <x:c r="T50" s="26" t="str">
        <x:f>IF(COUNTIFS($I$6:$I$151,"&gt;"&amp;I50)&gt;=30,"非前20%",IF(COUNTIFS($I$6:$I$151,"&gt;="&amp;I50)&gt;=30,"边界同分","严格前20%"))</x:f>
        <x:v>非前20%</x:v>
      </x:c>
      <x:c r="U50" s="26" t="str">
        <x:f>IF(COUNTIFS($I$6:$I$151,"&lt;"&amp;I50)&gt;=30,"非后20%",IF(COUNTIFS($I$6:$I$151,"&lt;="&amp;I50)&gt;=30,"边界同分","严格后20%"))</x:f>
        <x:v>非后20%</x:v>
      </x:c>
      <x:c r="V50" s="22" t="n">
        <x:f>'指标计算'!P95</x:f>
        <x:v>0.04749570402703911</x:v>
      </x:c>
      <x:c r="W50" s="22" t="n">
        <x:f>'指标计算'!Q95</x:f>
        <x:v>0.07915950671173184</x:v>
      </x:c>
      <x:c r="X50" s="22" t="str">
        <x:v>["S0343"]</x:v>
      </x:c>
      <x:c r="Y50" s="22" t="str">
        <x:v>evidence/student_evidence.jsonl；student_key=2025秋:259400</x:v>
      </x:c>
      <x:c r="Z50" s="26" t="n">
        <x:f>IF(OR(B50="s3",B50="s6"),COUNTIFS($B$6:$B$151,B50,$K$6:$K$151,"&gt;"&amp;K50)+(COUNTIFS($B$6:$B$151,B50,$K$6:$K$151,K50)+1)/2,"NA")</x:f>
        <x:v>46</x:v>
      </x:c>
      <x:c r="AA50" s="26" t="n">
        <x:f>IF(OR(B50="s3",B50="s6"),COUNTIFS($B$6:$B$151,B50,$M$6:$M$151,"&gt;"&amp;M50)+(COUNTIFS($B$6:$B$151,B50,$M$6:$M$151,M50)+1)/2,"NA")</x:f>
        <x:v>43</x:v>
      </x:c>
      <x:c r="AB50" s="26" t="n">
        <x:f>IF(OR(B50="s3",B50="s6"),COUNTIFS($B$6:$B$151,B50,$O$6:$O$151,"&gt;"&amp;O50)+(COUNTIFS($B$6:$B$151,B50,$O$6:$O$151,O50)+1)/2,"NA")</x:f>
        <x:v>45</x:v>
      </x:c>
      <x:c r="AC50" s="26" t="n">
        <x:f>IF(OR(B50="s3",B50="s6"),COUNTIFS($B$6:$B$151,B50,$Q$6:$Q$151,"&gt;"&amp;Q50)+(COUNTIFS($B$6:$B$151,B50,$Q$6:$Q$151,Q50)+1)/2,"NA")</x:f>
        <x:v>43</x:v>
      </x:c>
      <x:c r="AD50" s="25" t="n">
        <x:v>65.61684942588653</x:v>
      </x:c>
      <x:c r="AE50" s="25" t="n">
        <x:v>43</x:v>
      </x:c>
      <x:c r="AF50" s="25" t="n">
        <x:v>42</x:v>
      </x:c>
      <x:c r="AG50" s="25" t="n">
        <x:v>-2</x:v>
      </x:c>
    </x:row>
    <x:row r="51" ht="23" customHeight="1">
      <x:c r="A51" s="21" t="str">
        <x:v>2025秋:259917</x:v>
      </x:c>
      <x:c r="B51" s="22" t="str">
        <x:v>s3</x:v>
      </x:c>
      <x:c r="C51" s="24" t="n">
        <x:v>1</x:v>
      </x:c>
      <x:c r="D51" s="24" t="n">
        <x:v>1</x:v>
      </x:c>
      <x:c r="E51" s="29" t="n">
        <x:f>'指标计算'!S125</x:f>
        <x:v>0.5015871820973582</x:v>
      </x:c>
      <x:c r="F51" s="29" t="n">
        <x:f>'指标计算'!T125</x:f>
        <x:v>0.519046185168298</x:v>
      </x:c>
      <x:c r="G51" s="29" t="n">
        <x:f>'指标计算'!U125</x:f>
        <x:v>0.519046185168298</x:v>
      </x:c>
      <x:c r="H51" s="29" t="n">
        <x:f>'指标计算'!V125</x:f>
        <x:v>1</x:v>
      </x:c>
      <x:c r="I51" s="30" t="n">
        <x:f>IF(COUNT('总览与权重'!$H$11:$K$11)=4,ROUND(100*SUMPRODUCT(E51:H51,'总览与权重'!$H$11:$K$11),12),"NA")</x:f>
        <x:v>65.809462869653</x:v>
      </x:c>
      <x:c r="J51" s="30" t="n">
        <x:f>IF(ISNUMBER(I51),COUNTIFS($I$6:$I$151,"&gt;"&amp;I51)+(COUNTIFS($I$6:$I$151,I51)+1)/2,"NA")</x:f>
        <x:v>46</x:v>
      </x:c>
      <x:c r="K51" s="30" t="n">
        <x:f>IF(COUNT('总览与权重'!$H$12:$K$12)=4,ROUND(100*SUMPRODUCT(E51:H51,'总览与权重'!$H$12:$K$12),12),"NA")</x:f>
        <x:v>61.174514752045</x:v>
      </x:c>
      <x:c r="L51" s="30" t="n">
        <x:f>IF(ISNUMBER(K51),COUNTIFS($K$6:$K$151,"&gt;"&amp;K51)+(COUNTIFS($K$6:$K$151,K51)+1)/2,"NA")</x:f>
        <x:v>53</x:v>
      </x:c>
      <x:c r="M51" s="30" t="n">
        <x:f>IF(COUNT('总览与权重'!$H$13:$K$13)=4,ROUND(100*SUMPRODUCT(E51:H51,'总览与权重'!$H$13:$K$13),12),"NA")</x:f>
        <x:v>68.301526959166</x:v>
      </x:c>
      <x:c r="N51" s="30" t="n">
        <x:f>IF(ISNUMBER(M51),COUNTIFS($M$6:$M$151,"&gt;"&amp;M51)+(COUNTIFS($M$6:$M$151,M51)+1)/2,"NA")</x:f>
        <x:v>45</x:v>
      </x:c>
      <x:c r="O51" s="30" t="n">
        <x:f>IF(COUNT('总览与权重'!$H$14:$K$14)=4,ROUND(100*SUMPRODUCT(E51:H51,'总览与权重'!$H$14:$K$14),12),"NA")</x:f>
        <x:v>66.328364220718</x:v>
      </x:c>
      <x:c r="P51" s="30" t="n">
        <x:f>IF(ISNUMBER(O51),COUNTIFS($O$6:$O$151,"&gt;"&amp;O51)+(COUNTIFS($O$6:$O$151,O51)+1)/2,"NA")</x:f>
        <x:v>50</x:v>
      </x:c>
      <x:c r="Q51" s="30" t="n">
        <x:f>IF(COUNT('总览与权重'!$H$15:$K$15)=4,ROUND(100*SUMPRODUCT(E51:H51,'总览与权重'!$H$15:$K$15),12),"NA")</x:f>
        <x:v>82.011904603413</x:v>
      </x:c>
      <x:c r="R51" s="30" t="n">
        <x:f>IF(ISNUMBER(Q51),COUNTIFS($Q$6:$Q$151,"&gt;"&amp;Q51)+(COUNTIFS($Q$6:$Q$151,Q51)+1)/2,"NA")</x:f>
        <x:v>45</x:v>
      </x:c>
      <x:c r="S51" s="31" t="n">
        <x:f>IF(OR(B51="s3",B51="s6"),COUNTIFS($B$6:$B$151,B51,$I$6:$I$151,"&gt;"&amp;I51)+(COUNTIFS($B$6:$B$151,B51,$I$6:$I$151,I51)+1)/2,"NA")</x:f>
        <x:v>44</x:v>
      </x:c>
      <x:c r="T51" s="26" t="str">
        <x:f>IF(COUNTIFS($I$6:$I$151,"&gt;"&amp;I51)&gt;=30,"非前20%",IF(COUNTIFS($I$6:$I$151,"&gt;="&amp;I51)&gt;=30,"边界同分","严格前20%"))</x:f>
        <x:v>非前20%</x:v>
      </x:c>
      <x:c r="U51" s="26" t="str">
        <x:f>IF(COUNTIFS($I$6:$I$151,"&lt;"&amp;I51)&gt;=30,"非后20%",IF(COUNTIFS($I$6:$I$151,"&lt;="&amp;I51)&gt;=30,"边界同分","严格后20%"))</x:f>
        <x:v>非后20%</x:v>
      </x:c>
      <x:c r="V51" s="22" t="n">
        <x:f>'指标计算'!P125</x:f>
        <x:v>0.038092370336596</x:v>
      </x:c>
      <x:c r="W51" s="22" t="n">
        <x:f>'指标计算'!Q125</x:f>
        <x:v>0.038092370336596</x:v>
      </x:c>
      <x:c r="X51" s="22" t="str">
        <x:v>["S0244"]</x:v>
      </x:c>
      <x:c r="Y51" s="22" t="str">
        <x:v>evidence/student_evidence.jsonl；student_key=2025秋:259917</x:v>
      </x:c>
      <x:c r="Z51" s="26" t="n">
        <x:f>IF(OR(B51="s3",B51="s6"),COUNTIFS($B$6:$B$151,B51,$K$6:$K$151,"&gt;"&amp;K51)+(COUNTIFS($B$6:$B$151,B51,$K$6:$K$151,K51)+1)/2,"NA")</x:f>
        <x:v>50</x:v>
      </x:c>
      <x:c r="AA51" s="26" t="n">
        <x:f>IF(OR(B51="s3",B51="s6"),COUNTIFS($B$6:$B$151,B51,$M$6:$M$151,"&gt;"&amp;M51)+(COUNTIFS($B$6:$B$151,B51,$M$6:$M$151,M51)+1)/2,"NA")</x:f>
        <x:v>44</x:v>
      </x:c>
      <x:c r="AB51" s="26" t="n">
        <x:f>IF(OR(B51="s3",B51="s6"),COUNTIFS($B$6:$B$151,B51,$O$6:$O$151,"&gt;"&amp;O51)+(COUNTIFS($B$6:$B$151,B51,$O$6:$O$151,O51)+1)/2,"NA")</x:f>
        <x:v>47</x:v>
      </x:c>
      <x:c r="AC51" s="26" t="n">
        <x:f>IF(OR(B51="s3",B51="s6"),COUNTIFS($B$6:$B$151,B51,$Q$6:$Q$151,"&gt;"&amp;Q51)+(COUNTIFS($B$6:$B$151,B51,$Q$6:$Q$151,Q51)+1)/2,"NA")</x:f>
        <x:v>44</x:v>
      </x:c>
      <x:c r="AD51" s="25" t="n">
        <x:v>63.08657597305902</x:v>
      </x:c>
      <x:c r="AE51" s="25" t="n">
        <x:v>46</x:v>
      </x:c>
      <x:c r="AF51" s="25" t="n">
        <x:v>44</x:v>
      </x:c>
      <x:c r="AG51" s="25" t="n">
        <x:v>0</x:v>
      </x:c>
    </x:row>
    <x:row r="52" ht="23" customHeight="1">
      <x:c r="A52" s="21" t="str">
        <x:v>2026春:268140</x:v>
      </x:c>
      <x:c r="B52" s="22" t="str">
        <x:v>s3</x:v>
      </x:c>
      <x:c r="C52" s="24" t="n">
        <x:v>1</x:v>
      </x:c>
      <x:c r="D52" s="24" t="n">
        <x:v>1</x:v>
      </x:c>
      <x:c r="E52" s="29" t="n">
        <x:f>'指标计算'!S158</x:f>
        <x:v>0.5152448172085987</x:v>
      </x:c>
      <x:c r="F52" s="29" t="n">
        <x:f>'指标计算'!T158</x:f>
        <x:v>0.682937806503184</x:v>
      </x:c>
      <x:c r="G52" s="29" t="n">
        <x:f>'指标计算'!U158</x:f>
        <x:v>0.682937806503184</x:v>
      </x:c>
      <x:c r="H52" s="29" t="n">
        <x:f>'指标计算'!V158</x:f>
        <x:v>0.75</x:v>
      </x:c>
      <x:c r="I52" s="30" t="n">
        <x:f>IF(COUNT('总览与权重'!$H$11:$K$11)=4,ROUND(100*SUMPRODUCT(E52:H52,'总览与权重'!$H$11:$K$11),12),"NA")</x:f>
        <x:v>65.274856776385</x:v>
      </x:c>
      <x:c r="J52" s="30" t="n">
        <x:f>IF(ISNUMBER(I52),COUNTIFS($I$6:$I$151,"&gt;"&amp;I52)+(COUNTIFS($I$6:$I$151,I52)+1)/2,"NA")</x:f>
        <x:v>47</x:v>
      </x:c>
      <x:c r="K52" s="30" t="n">
        <x:f>IF(COUNT('总览与权重'!$H$12:$K$12)=4,ROUND(100*SUMPRODUCT(E52:H52,'总览与权重'!$H$12:$K$12),12),"NA")</x:f>
        <x:v>66.281164734363</x:v>
      </x:c>
      <x:c r="L52" s="30" t="n">
        <x:f>IF(ISNUMBER(K52),COUNTIFS($K$6:$K$151,"&gt;"&amp;K52)+(COUNTIFS($K$6:$K$151,K52)+1)/2,"NA")</x:f>
        <x:v>42</x:v>
      </x:c>
      <x:c r="M52" s="30" t="n">
        <x:f>IF(COUNT('总览与权重'!$H$13:$K$13)=4,ROUND(100*SUMPRODUCT(E52:H52,'总览与权重'!$H$13:$K$13),12),"NA")</x:f>
        <x:v>66.448632690342</x:v>
      </x:c>
      <x:c r="N52" s="30" t="n">
        <x:f>IF(ISNUMBER(M52),COUNTIFS($M$6:$M$151,"&gt;"&amp;M52)+(COUNTIFS($M$6:$M$151,M52)+1)/2,"NA")</x:f>
        <x:v>56</x:v>
      </x:c>
      <x:c r="O52" s="30" t="n">
        <x:f>IF(COUNT('总览与权重'!$H$14:$K$14)=4,ROUND(100*SUMPRODUCT(E52:H52,'总览与权重'!$H$14:$K$14),12),"NA")</x:f>
        <x:v>70.258882402338</x:v>
      </x:c>
      <x:c r="P52" s="30" t="n">
        <x:f>IF(ISNUMBER(O52),COUNTIFS($O$6:$O$151,"&gt;"&amp;O52)+(COUNTIFS($O$6:$O$151,O52)+1)/2,"NA")</x:f>
        <x:v>43</x:v>
      </x:c>
      <x:c r="Q52" s="30" t="n">
        <x:f>IF(COUNT('总览与权重'!$H$15:$K$15)=4,ROUND(100*SUMPRODUCT(E52:H52,'总览与权重'!$H$15:$K$15),12),"NA")</x:f>
        <x:v>72.467195351238</x:v>
      </x:c>
      <x:c r="R52" s="30" t="n">
        <x:f>IF(ISNUMBER(Q52),COUNTIFS($Q$6:$Q$151,"&gt;"&amp;Q52)+(COUNTIFS($Q$6:$Q$151,Q52)+1)/2,"NA")</x:f>
        <x:v>93</x:v>
      </x:c>
      <x:c r="S52" s="31" t="n">
        <x:f>IF(OR(B52="s3",B52="s6"),COUNTIFS($B$6:$B$151,B52,$I$6:$I$151,"&gt;"&amp;I52)+(COUNTIFS($B$6:$B$151,B52,$I$6:$I$151,I52)+1)/2,"NA")</x:f>
        <x:v>45</x:v>
      </x:c>
      <x:c r="T52" s="26" t="str">
        <x:f>IF(COUNTIFS($I$6:$I$151,"&gt;"&amp;I52)&gt;=30,"非前20%",IF(COUNTIFS($I$6:$I$151,"&gt;="&amp;I52)&gt;=30,"边界同分","严格前20%"))</x:f>
        <x:v>非前20%</x:v>
      </x:c>
      <x:c r="U52" s="26" t="str">
        <x:f>IF(COUNTIFS($I$6:$I$151,"&lt;"&amp;I52)&gt;=30,"非后20%",IF(COUNTIFS($I$6:$I$151,"&lt;="&amp;I52)&gt;=30,"边界同分","严格后20%"))</x:f>
        <x:v>非后20%</x:v>
      </x:c>
      <x:c r="V52" s="22" t="n">
        <x:f>'指标计算'!P158</x:f>
        <x:v>0.36587561300636806</x:v>
      </x:c>
      <x:c r="W52" s="22" t="n">
        <x:f>'指标计算'!Q158</x:f>
        <x:v>0.36587561300636806</x:v>
      </x:c>
      <x:c r="X52" s="22" t="str">
        <x:v>["S0964"]</x:v>
      </x:c>
      <x:c r="Y52" s="22" t="str">
        <x:v>evidence/student_evidence.jsonl；student_key=2026春:268140</x:v>
      </x:c>
      <x:c r="Z52" s="26" t="n">
        <x:f>IF(OR(B52="s3",B52="s6"),COUNTIFS($B$6:$B$151,B52,$K$6:$K$151,"&gt;"&amp;K52)+(COUNTIFS($B$6:$B$151,B52,$K$6:$K$151,K52)+1)/2,"NA")</x:f>
        <x:v>39</x:v>
      </x:c>
      <x:c r="AA52" s="26" t="n">
        <x:f>IF(OR(B52="s3",B52="s6"),COUNTIFS($B$6:$B$151,B52,$M$6:$M$151,"&gt;"&amp;M52)+(COUNTIFS($B$6:$B$151,B52,$M$6:$M$151,M52)+1)/2,"NA")</x:f>
        <x:v>54</x:v>
      </x:c>
      <x:c r="AB52" s="26" t="n">
        <x:f>IF(OR(B52="s3",B52="s6"),COUNTIFS($B$6:$B$151,B52,$O$6:$O$151,"&gt;"&amp;O52)+(COUNTIFS($B$6:$B$151,B52,$O$6:$O$151,O52)+1)/2,"NA")</x:f>
        <x:v>40</x:v>
      </x:c>
      <x:c r="AC52" s="26" t="n">
        <x:f>IF(OR(B52="s3",B52="s6"),COUNTIFS($B$6:$B$151,B52,$Q$6:$Q$151,"&gt;"&amp;Q52)+(COUNTIFS($B$6:$B$151,B52,$Q$6:$Q$151,Q52)+1)/2,"NA")</x:f>
        <x:v>91</x:v>
      </x:c>
      <x:c r="AD52" s="25" t="n">
        <x:v>62.114328439306576</x:v>
      </x:c>
      <x:c r="AE52" s="25" t="n">
        <x:v>50</x:v>
      </x:c>
      <x:c r="AF52" s="25" t="n">
        <x:v>48</x:v>
      </x:c>
      <x:c r="AG52" s="25" t="n">
        <x:v>3</x:v>
      </x:c>
    </x:row>
    <x:row r="53" ht="23" customHeight="1">
      <x:c r="A53" s="21" t="str">
        <x:v>2025秋:25A085</x:v>
      </x:c>
      <x:c r="B53" s="22" t="str">
        <x:v>s3</x:v>
      </x:c>
      <x:c r="C53" s="24" t="n">
        <x:v>1</x:v>
      </x:c>
      <x:c r="D53" s="24" t="n">
        <x:v>1</x:v>
      </x:c>
      <x:c r="E53" s="29" t="n">
        <x:f>'指标计算'!S134</x:f>
        <x:v>0.49993705048037923</x:v>
      </x:c>
      <x:c r="F53" s="29" t="n">
        <x:f>'指标计算'!T134</x:f>
        <x:v>0.4992446057645505</x:v>
      </x:c>
      <x:c r="G53" s="29" t="n">
        <x:f>'指标计算'!U134</x:f>
        <x:v>0.4992446057645505</x:v>
      </x:c>
      <x:c r="H53" s="29" t="n">
        <x:f>'指标计算'!V134</x:f>
        <x:v>1</x:v>
      </x:c>
      <x:c r="I53" s="30" t="n">
        <x:f>IF(COUNT('总览与权重'!$H$11:$K$11)=4,ROUND(100*SUMPRODUCT(E53:H53,'总览与权重'!$H$11:$K$11),12),"NA")</x:f>
        <x:v>64.967895744993</x:v>
      </x:c>
      <x:c r="J53" s="30" t="n">
        <x:f>IF(ISNUMBER(I53),COUNTIFS($I$6:$I$151,"&gt;"&amp;I53)+(COUNTIFS($I$6:$I$151,I53)+1)/2,"NA")</x:f>
        <x:v>48</x:v>
      </x:c>
      <x:c r="K53" s="30" t="n">
        <x:f>IF(COUNT('总览与权重'!$H$12:$K$12)=4,ROUND(100*SUMPRODUCT(E53:H53,'总览与权重'!$H$12:$K$12),12),"NA")</x:f>
        <x:v>59.953417355481</x:v>
      </x:c>
      <x:c r="L53" s="30" t="n">
        <x:f>IF(ISNUMBER(K53),COUNTIFS($K$6:$K$151,"&gt;"&amp;K53)+(COUNTIFS($K$6:$K$151,K53)+1)/2,"NA")</x:f>
        <x:v>56</x:v>
      </x:c>
      <x:c r="M53" s="30" t="n">
        <x:f>IF(COUNT('总览与权重'!$H$13:$K$13)=4,ROUND(100*SUMPRODUCT(E53:H53,'总览与权重'!$H$13:$K$13),12),"NA")</x:f>
        <x:v>67.468210492591</x:v>
      </x:c>
      <x:c r="N53" s="30" t="n">
        <x:f>IF(ISNUMBER(M53),COUNTIFS($M$6:$M$151,"&gt;"&amp;M53)+(COUNTIFS($M$6:$M$151,M53)+1)/2,"NA")</x:f>
        <x:v>47</x:v>
      </x:c>
      <x:c r="O53" s="30" t="n">
        <x:f>IF(COUNT('总览与权重'!$H$14:$K$14)=4,ROUND(100*SUMPRODUCT(E53:H53,'总览与权重'!$H$14:$K$14),12),"NA")</x:f>
        <x:v>64.947315503549</x:v>
      </x:c>
      <x:c r="P53" s="30" t="n">
        <x:f>IF(ISNUMBER(O53),COUNTIFS($O$6:$O$151,"&gt;"&amp;O53)+(COUNTIFS($O$6:$O$151,O53)+1)/2,"NA")</x:f>
        <x:v>51</x:v>
      </x:c>
      <x:c r="Q53" s="30" t="n">
        <x:f>IF(COUNT('总览与权重'!$H$15:$K$15)=4,ROUND(100*SUMPRODUCT(E53:H53,'总览与权重'!$H$15:$K$15),12),"NA")</x:f>
        <x:v>81.274119357855</x:v>
      </x:c>
      <x:c r="R53" s="30" t="n">
        <x:f>IF(ISNUMBER(Q53),COUNTIFS($Q$6:$Q$151,"&gt;"&amp;Q53)+(COUNTIFS($Q$6:$Q$151,Q53)+1)/2,"NA")</x:f>
        <x:v>46</x:v>
      </x:c>
      <x:c r="S53" s="31" t="n">
        <x:f>IF(OR(B53="s3",B53="s6"),COUNTIFS($B$6:$B$151,B53,$I$6:$I$151,"&gt;"&amp;I53)+(COUNTIFS($B$6:$B$151,B53,$I$6:$I$151,I53)+1)/2,"NA")</x:f>
        <x:v>46</x:v>
      </x:c>
      <x:c r="T53" s="26" t="str">
        <x:f>IF(COUNTIFS($I$6:$I$151,"&gt;"&amp;I53)&gt;=30,"非前20%",IF(COUNTIFS($I$6:$I$151,"&gt;="&amp;I53)&gt;=30,"边界同分","严格前20%"))</x:f>
        <x:v>非前20%</x:v>
      </x:c>
      <x:c r="U53" s="26" t="str">
        <x:f>IF(COUNTIFS($I$6:$I$151,"&lt;"&amp;I53)&gt;=30,"非后20%",IF(COUNTIFS($I$6:$I$151,"&lt;="&amp;I53)&gt;=30,"边界同分","严格后20%"))</x:f>
        <x:v>非后20%</x:v>
      </x:c>
      <x:c r="V53" s="22" t="n">
        <x:f>'指标计算'!P134</x:f>
        <x:v>-0.0015107884708990549</x:v>
      </x:c>
      <x:c r="W53" s="22" t="n">
        <x:f>'指标计算'!Q134</x:f>
        <x:v>-0.0015107884708990549</x:v>
      </x:c>
      <x:c r="X53" s="22" t="str">
        <x:v>["S0138"]</x:v>
      </x:c>
      <x:c r="Y53" s="22" t="str">
        <x:v>evidence/student_evidence.jsonl；student_key=2025秋:25A085</x:v>
      </x:c>
      <x:c r="Z53" s="26" t="n">
        <x:f>IF(OR(B53="s3",B53="s6"),COUNTIFS($B$6:$B$151,B53,$K$6:$K$151,"&gt;"&amp;K53)+(COUNTIFS($B$6:$B$151,B53,$K$6:$K$151,K53)+1)/2,"NA")</x:f>
        <x:v>53</x:v>
      </x:c>
      <x:c r="AA53" s="26" t="n">
        <x:f>IF(OR(B53="s3",B53="s6"),COUNTIFS($B$6:$B$151,B53,$M$6:$M$151,"&gt;"&amp;M53)+(COUNTIFS($B$6:$B$151,B53,$M$6:$M$151,M53)+1)/2,"NA")</x:f>
        <x:v>45</x:v>
      </x:c>
      <x:c r="AB53" s="26" t="n">
        <x:f>IF(OR(B53="s3",B53="s6"),COUNTIFS($B$6:$B$151,B53,$O$6:$O$151,"&gt;"&amp;O53)+(COUNTIFS($B$6:$B$151,B53,$O$6:$O$151,O53)+1)/2,"NA")</x:f>
        <x:v>48</x:v>
      </x:c>
      <x:c r="AC53" s="26" t="n">
        <x:f>IF(OR(B53="s3",B53="s6"),COUNTIFS($B$6:$B$151,B53,$Q$6:$Q$151,"&gt;"&amp;Q53)+(COUNTIFS($B$6:$B$151,B53,$Q$6:$Q$151,Q53)+1)/2,"NA")</x:f>
        <x:v>45</x:v>
      </x:c>
      <x:c r="AD53" s="25" t="n">
        <x:v>61.808022436768496</x:v>
      </x:c>
      <x:c r="AE53" s="25" t="n">
        <x:v>51</x:v>
      </x:c>
      <x:c r="AF53" s="25" t="n">
        <x:v>49</x:v>
      </x:c>
      <x:c r="AG53" s="25" t="n">
        <x:v>3</x:v>
      </x:c>
    </x:row>
    <x:row r="54" ht="23" customHeight="1">
      <x:c r="A54" s="21" t="str">
        <x:v>2025秋:258917</x:v>
      </x:c>
      <x:c r="B54" s="22" t="str">
        <x:v>s3</x:v>
      </x:c>
      <x:c r="C54" s="24" t="n">
        <x:v>1</x:v>
      </x:c>
      <x:c r="D54" s="24" t="n">
        <x:v>1</x:v>
      </x:c>
      <x:c r="E54" s="29" t="n">
        <x:f>'指标计算'!S40</x:f>
        <x:v>0.49943458750458486</x:v>
      </x:c>
      <x:c r="F54" s="29" t="n">
        <x:f>'指标计算'!T40</x:f>
        <x:v>0.49321505005501776</x:v>
      </x:c>
      <x:c r="G54" s="29" t="n">
        <x:f>'指标计算'!U40</x:f>
        <x:v>0.49321505005501776</x:v>
      </x:c>
      <x:c r="H54" s="29" t="n">
        <x:f>'指标计算'!V40</x:f>
        <x:v>1</x:v>
      </x:c>
      <x:c r="I54" s="30" t="n">
        <x:f>IF(COUNT('总览与权重'!$H$11:$K$11)=4,ROUND(100*SUMPRODUCT(E54:H54,'总览与权重'!$H$11:$K$11),12),"NA")</x:f>
        <x:v>64.711639627338</x:v>
      </x:c>
      <x:c r="J54" s="30" t="n">
        <x:f>IF(ISNUMBER(I54),COUNTIFS($I$6:$I$151,"&gt;"&amp;I54)+(COUNTIFS($I$6:$I$151,I54)+1)/2,"NA")</x:f>
        <x:v>49</x:v>
      </x:c>
      <x:c r="K54" s="30" t="n">
        <x:f>IF(COUNT('总览与权重'!$H$12:$K$12)=4,ROUND(100*SUMPRODUCT(E54:H54,'总览与权重'!$H$12:$K$12),12),"NA")</x:f>
        <x:v>59.581594753393</x:v>
      </x:c>
      <x:c r="L54" s="30" t="n">
        <x:f>IF(ISNUMBER(K54),COUNTIFS($K$6:$K$151,"&gt;"&amp;K54)+(COUNTIFS($K$6:$K$151,K54)+1)/2,"NA")</x:f>
        <x:v>57</x:v>
      </x:c>
      <x:c r="M54" s="30" t="n">
        <x:f>IF(COUNT('总览与权重'!$H$13:$K$13)=4,ROUND(100*SUMPRODUCT(E54:H54,'总览与权重'!$H$13:$K$13),12),"NA")</x:f>
        <x:v>67.214466689815</x:v>
      </x:c>
      <x:c r="N54" s="30" t="n">
        <x:f>IF(ISNUMBER(M54),COUNTIFS($M$6:$M$151,"&gt;"&amp;M54)+(COUNTIFS($M$6:$M$151,M54)+1)/2,"NA")</x:f>
        <x:v>48</x:v>
      </x:c>
      <x:c r="O54" s="30" t="n">
        <x:f>IF(COUNT('总览与权重'!$H$14:$K$14)=4,ROUND(100*SUMPRODUCT(E54:H54,'总览与权重'!$H$14:$K$14),12),"NA")</x:f>
        <x:v>64.526787928048</x:v>
      </x:c>
      <x:c r="P54" s="30" t="n">
        <x:f>IF(ISNUMBER(O54),COUNTIFS($O$6:$O$151,"&gt;"&amp;O54)+(COUNTIFS($O$6:$O$151,O54)+1)/2,"NA")</x:f>
        <x:v>52</x:v>
      </x:c>
      <x:c r="Q54" s="30" t="n">
        <x:f>IF(COUNT('总览与权重'!$H$15:$K$15)=4,ROUND(100*SUMPRODUCT(E54:H54,'总览与权重'!$H$15:$K$15),12),"NA")</x:f>
        <x:v>81.049464690211</x:v>
      </x:c>
      <x:c r="R54" s="30" t="n">
        <x:f>IF(ISNUMBER(Q54),COUNTIFS($Q$6:$Q$151,"&gt;"&amp;Q54)+(COUNTIFS($Q$6:$Q$151,Q54)+1)/2,"NA")</x:f>
        <x:v>47</x:v>
      </x:c>
      <x:c r="S54" s="31" t="n">
        <x:f>IF(OR(B54="s3",B54="s6"),COUNTIFS($B$6:$B$151,B54,$I$6:$I$151,"&gt;"&amp;I54)+(COUNTIFS($B$6:$B$151,B54,$I$6:$I$151,I54)+1)/2,"NA")</x:f>
        <x:v>47</x:v>
      </x:c>
      <x:c r="T54" s="26" t="str">
        <x:f>IF(COUNTIFS($I$6:$I$151,"&gt;"&amp;I54)&gt;=30,"非前20%",IF(COUNTIFS($I$6:$I$151,"&gt;="&amp;I54)&gt;=30,"边界同分","严格前20%"))</x:f>
        <x:v>非前20%</x:v>
      </x:c>
      <x:c r="U54" s="26" t="str">
        <x:f>IF(COUNTIFS($I$6:$I$151,"&lt;"&amp;I54)&gt;=30,"非后20%",IF(COUNTIFS($I$6:$I$151,"&lt;="&amp;I54)&gt;=30,"边界同分","严格后20%"))</x:f>
        <x:v>非后20%</x:v>
      </x:c>
      <x:c r="V54" s="22" t="n">
        <x:f>'指标计算'!P40</x:f>
        <x:v>-0.01356989988996446</x:v>
      </x:c>
      <x:c r="W54" s="22" t="n">
        <x:f>'指标计算'!Q40</x:f>
        <x:v>-0.01356989988996446</x:v>
      </x:c>
      <x:c r="X54" s="22" t="str">
        <x:v>["S0021"]</x:v>
      </x:c>
      <x:c r="Y54" s="22" t="str">
        <x:v>evidence/student_evidence.jsonl；student_key=2025秋:258917</x:v>
      </x:c>
      <x:c r="Z54" s="26" t="n">
        <x:f>IF(OR(B54="s3",B54="s6"),COUNTIFS($B$6:$B$151,B54,$K$6:$K$151,"&gt;"&amp;K54)+(COUNTIFS($B$6:$B$151,B54,$K$6:$K$151,K54)+1)/2,"NA")</x:f>
        <x:v>54</x:v>
      </x:c>
      <x:c r="AA54" s="26" t="n">
        <x:f>IF(OR(B54="s3",B54="s6"),COUNTIFS($B$6:$B$151,B54,$M$6:$M$151,"&gt;"&amp;M54)+(COUNTIFS($B$6:$B$151,B54,$M$6:$M$151,M54)+1)/2,"NA")</x:f>
        <x:v>46</x:v>
      </x:c>
      <x:c r="AB54" s="26" t="n">
        <x:f>IF(OR(B54="s3",B54="s6"),COUNTIFS($B$6:$B$151,B54,$O$6:$O$151,"&gt;"&amp;O54)+(COUNTIFS($B$6:$B$151,B54,$O$6:$O$151,O54)+1)/2,"NA")</x:f>
        <x:v>49</x:v>
      </x:c>
      <x:c r="AC54" s="26" t="n">
        <x:f>IF(OR(B54="s3",B54="s6"),COUNTIFS($B$6:$B$151,B54,$Q$6:$Q$151,"&gt;"&amp;Q54)+(COUNTIFS($B$6:$B$151,B54,$Q$6:$Q$151,Q54)+1)/2,"NA")</x:f>
        <x:v>46</x:v>
      </x:c>
      <x:c r="AD54" s="25" t="n">
        <x:v>61.55111129025952</x:v>
      </x:c>
      <x:c r="AE54" s="25" t="n">
        <x:v>53</x:v>
      </x:c>
      <x:c r="AF54" s="25" t="n">
        <x:v>51</x:v>
      </x:c>
      <x:c r="AG54" s="25" t="n">
        <x:v>4</x:v>
      </x:c>
    </x:row>
    <x:row r="55" ht="23" customHeight="1">
      <x:c r="A55" s="21" t="str">
        <x:v>2025秋:259896</x:v>
      </x:c>
      <x:c r="B55" s="22" t="str">
        <x:v>s3</x:v>
      </x:c>
      <x:c r="C55" s="24" t="n">
        <x:v>1</x:v>
      </x:c>
      <x:c r="D55" s="24" t="n">
        <x:v>1</x:v>
      </x:c>
      <x:c r="E55" s="29" t="n">
        <x:f>'指标计算'!S123</x:f>
        <x:v>0.49936979993313696</x:v>
      </x:c>
      <x:c r="F55" s="29" t="n">
        <x:f>'指标计算'!T123</x:f>
        <x:v>0.4924375991976436</x:v>
      </x:c>
      <x:c r="G55" s="29" t="n">
        <x:f>'指标计算'!U123</x:f>
        <x:v>0.4924375991976436</x:v>
      </x:c>
      <x:c r="H55" s="29" t="n">
        <x:f>'指标计算'!V123</x:f>
        <x:v>1</x:v>
      </x:c>
      <x:c r="I55" s="30" t="n">
        <x:f>IF(COUNT('总览与权重'!$H$11:$K$11)=4,ROUND(100*SUMPRODUCT(E55:H55,'总览与权重'!$H$11:$K$11),12),"NA")</x:f>
        <x:v>64.6785979659</x:v>
      </x:c>
      <x:c r="J55" s="30" t="n">
        <x:f>IF(ISNUMBER(I55),COUNTIFS($I$6:$I$151,"&gt;"&amp;I55)+(COUNTIFS($I$6:$I$151,I55)+1)/2,"NA")</x:f>
        <x:v>50</x:v>
      </x:c>
      <x:c r="K55" s="30" t="n">
        <x:f>IF(COUNT('总览与权重'!$H$12:$K$12)=4,ROUND(100*SUMPRODUCT(E55:H55,'总览与权重'!$H$12:$K$12),12),"NA")</x:f>
        <x:v>59.533651950521</x:v>
      </x:c>
      <x:c r="L55" s="30" t="n">
        <x:f>IF(ISNUMBER(K55),COUNTIFS($K$6:$K$151,"&gt;"&amp;K55)+(COUNTIFS($K$6:$K$151,K55)+1)/2,"NA")</x:f>
        <x:v>58</x:v>
      </x:c>
      <x:c r="M55" s="30" t="n">
        <x:f>IF(COUNT('总览与权重'!$H$13:$K$13)=4,ROUND(100*SUMPRODUCT(E55:H55,'总览与权重'!$H$13:$K$13),12),"NA")</x:f>
        <x:v>67.181748966234</x:v>
      </x:c>
      <x:c r="N55" s="30" t="n">
        <x:f>IF(ISNUMBER(M55),COUNTIFS($M$6:$M$151,"&gt;"&amp;M55)+(COUNTIFS($M$6:$M$151,M55)+1)/2,"NA")</x:f>
        <x:v>49</x:v>
      </x:c>
      <x:c r="O55" s="30" t="n">
        <x:f>IF(COUNT('总览与权重'!$H$14:$K$14)=4,ROUND(100*SUMPRODUCT(E55:H55,'总览与权重'!$H$14:$K$14),12),"NA")</x:f>
        <x:v>64.472565106355</x:v>
      </x:c>
      <x:c r="P55" s="30" t="n">
        <x:f>IF(ISNUMBER(O55),COUNTIFS($O$6:$O$151,"&gt;"&amp;O55)+(COUNTIFS($O$6:$O$151,O55)+1)/2,"NA")</x:f>
        <x:v>53</x:v>
      </x:c>
      <x:c r="Q55" s="30" t="n">
        <x:f>IF(COUNT('总览与权重'!$H$15:$K$15)=4,ROUND(100*SUMPRODUCT(E55:H55,'总览与权重'!$H$15:$K$15),12),"NA")</x:f>
        <x:v>81.020497719445</x:v>
      </x:c>
      <x:c r="R55" s="30" t="n">
        <x:f>IF(ISNUMBER(Q55),COUNTIFS($Q$6:$Q$151,"&gt;"&amp;Q55)+(COUNTIFS($Q$6:$Q$151,Q55)+1)/2,"NA")</x:f>
        <x:v>48</x:v>
      </x:c>
      <x:c r="S55" s="31" t="n">
        <x:f>IF(OR(B55="s3",B55="s6"),COUNTIFS($B$6:$B$151,B55,$I$6:$I$151,"&gt;"&amp;I55)+(COUNTIFS($B$6:$B$151,B55,$I$6:$I$151,I55)+1)/2,"NA")</x:f>
        <x:v>48</x:v>
      </x:c>
      <x:c r="T55" s="26" t="str">
        <x:f>IF(COUNTIFS($I$6:$I$151,"&gt;"&amp;I55)&gt;=30,"非前20%",IF(COUNTIFS($I$6:$I$151,"&gt;="&amp;I55)&gt;=30,"边界同分","严格前20%"))</x:f>
        <x:v>非前20%</x:v>
      </x:c>
      <x:c r="U55" s="26" t="str">
        <x:f>IF(COUNTIFS($I$6:$I$151,"&lt;"&amp;I55)&gt;=30,"非后20%",IF(COUNTIFS($I$6:$I$151,"&lt;="&amp;I55)&gt;=30,"边界同分","严格后20%"))</x:f>
        <x:v>非后20%</x:v>
      </x:c>
      <x:c r="V55" s="22" t="n">
        <x:f>'指标计算'!P123</x:f>
        <x:v>-0.015124801604712718</x:v>
      </x:c>
      <x:c r="W55" s="22" t="n">
        <x:f>'指标计算'!Q123</x:f>
        <x:v>-0.015124801604712718</x:v>
      </x:c>
      <x:c r="X55" s="22" t="str">
        <x:v>["S0117"]</x:v>
      </x:c>
      <x:c r="Y55" s="22" t="str">
        <x:v>evidence/student_evidence.jsonl；student_key=2025秋:259896</x:v>
      </x:c>
      <x:c r="Z55" s="26" t="n">
        <x:f>IF(OR(B55="s3",B55="s6"),COUNTIFS($B$6:$B$151,B55,$K$6:$K$151,"&gt;"&amp;K55)+(COUNTIFS($B$6:$B$151,B55,$K$6:$K$151,K55)+1)/2,"NA")</x:f>
        <x:v>55</x:v>
      </x:c>
      <x:c r="AA55" s="26" t="n">
        <x:f>IF(OR(B55="s3",B55="s6"),COUNTIFS($B$6:$B$151,B55,$M$6:$M$151,"&gt;"&amp;M55)+(COUNTIFS($B$6:$B$151,B55,$M$6:$M$151,M55)+1)/2,"NA")</x:f>
        <x:v>47</x:v>
      </x:c>
      <x:c r="AB55" s="26" t="n">
        <x:f>IF(OR(B55="s3",B55="s6"),COUNTIFS($B$6:$B$151,B55,$O$6:$O$151,"&gt;"&amp;O55)+(COUNTIFS($B$6:$B$151,B55,$O$6:$O$151,O55)+1)/2,"NA")</x:f>
        <x:v>50</x:v>
      </x:c>
      <x:c r="AC55" s="26" t="n">
        <x:f>IF(OR(B55="s3",B55="s6"),COUNTIFS($B$6:$B$151,B55,$Q$6:$Q$151,"&gt;"&amp;Q55)+(COUNTIFS($B$6:$B$151,B55,$Q$6:$Q$151,Q55)+1)/2,"NA")</x:f>
        <x:v>47</x:v>
      </x:c>
      <x:c r="AD55" s="25" t="n">
        <x:v>61.51806962882112</x:v>
      </x:c>
      <x:c r="AE55" s="25" t="n">
        <x:v>54</x:v>
      </x:c>
      <x:c r="AF55" s="25" t="n">
        <x:v>52</x:v>
      </x:c>
      <x:c r="AG55" s="25" t="n">
        <x:v>4</x:v>
      </x:c>
    </x:row>
    <x:row r="56" ht="23" customHeight="1">
      <x:c r="A56" s="21" t="str">
        <x:v>2025秋:258889</x:v>
      </x:c>
      <x:c r="B56" s="22" t="str">
        <x:v>s3</x:v>
      </x:c>
      <x:c r="C56" s="24" t="n">
        <x:v>1</x:v>
      </x:c>
      <x:c r="D56" s="24" t="n">
        <x:v>1</x:v>
      </x:c>
      <x:c r="E56" s="29" t="n">
        <x:f>'指标计算'!S31</x:f>
        <x:v>0.4992695396209952</x:v>
      </x:c>
      <x:c r="F56" s="29" t="n">
        <x:f>'指标计算'!T31</x:f>
        <x:v>0.4912344754519424</x:v>
      </x:c>
      <x:c r="G56" s="29" t="n">
        <x:f>'指标计算'!U31</x:f>
        <x:v>0.4912344754519424</x:v>
      </x:c>
      <x:c r="H56" s="29" t="n">
        <x:f>'指标计算'!V31</x:f>
        <x:v>1</x:v>
      </x:c>
      <x:c r="I56" s="30" t="n">
        <x:f>IF(COUNT('总览与权重'!$H$11:$K$11)=4,ROUND(100*SUMPRODUCT(E56:H56,'总览与权重'!$H$11:$K$11),12),"NA")</x:f>
        <x:v>64.627465206708</x:v>
      </x:c>
      <x:c r="J56" s="30" t="n">
        <x:f>IF(ISNUMBER(I56),COUNTIFS($I$6:$I$151,"&gt;"&amp;I56)+(COUNTIFS($I$6:$I$151,I56)+1)/2,"NA")</x:f>
        <x:v>51</x:v>
      </x:c>
      <x:c r="K56" s="30" t="n">
        <x:f>IF(COUNT('总览与权重'!$H$12:$K$12)=4,ROUND(100*SUMPRODUCT(E56:H56,'总览与权重'!$H$12:$K$12),12),"NA")</x:f>
        <x:v>59.459459319536</x:v>
      </x:c>
      <x:c r="L56" s="30" t="n">
        <x:f>IF(ISNUMBER(K56),COUNTIFS($K$6:$K$151,"&gt;"&amp;K56)+(COUNTIFS($K$6:$K$151,K56)+1)/2,"NA")</x:f>
        <x:v>59</x:v>
      </x:c>
      <x:c r="M56" s="30" t="n">
        <x:f>IF(COUNT('总览与权重'!$H$13:$K$13)=4,ROUND(100*SUMPRODUCT(E56:H56,'总览与权重'!$H$13:$K$13),12),"NA")</x:f>
        <x:v>67.131117508603</x:v>
      </x:c>
      <x:c r="N56" s="30" t="n">
        <x:f>IF(ISNUMBER(M56),COUNTIFS($M$6:$M$151,"&gt;"&amp;M56)+(COUNTIFS($M$6:$M$151,M56)+1)/2,"NA")</x:f>
        <x:v>50</x:v>
      </x:c>
      <x:c r="O56" s="30" t="n">
        <x:f>IF(COUNT('总览与权重'!$H$14:$K$14)=4,ROUND(100*SUMPRODUCT(E56:H56,'总览与权重'!$H$14:$K$14),12),"NA")</x:f>
        <x:v>64.388653996452</x:v>
      </x:c>
      <x:c r="P56" s="30" t="n">
        <x:f>IF(ISNUMBER(O56),COUNTIFS($O$6:$O$151,"&gt;"&amp;O56)+(COUNTIFS($O$6:$O$151,O56)+1)/2,"NA")</x:f>
        <x:v>54</x:v>
      </x:c>
      <x:c r="Q56" s="30" t="n">
        <x:f>IF(COUNT('总览与权重'!$H$15:$K$15)=4,ROUND(100*SUMPRODUCT(E56:H56,'总览与权重'!$H$15:$K$15),12),"NA")</x:f>
        <x:v>80.975670641258</x:v>
      </x:c>
      <x:c r="R56" s="30" t="n">
        <x:f>IF(ISNUMBER(Q56),COUNTIFS($Q$6:$Q$151,"&gt;"&amp;Q56)+(COUNTIFS($Q$6:$Q$151,Q56)+1)/2,"NA")</x:f>
        <x:v>49</x:v>
      </x:c>
      <x:c r="S56" s="31" t="n">
        <x:f>IF(OR(B56="s3",B56="s6"),COUNTIFS($B$6:$B$151,B56,$I$6:$I$151,"&gt;"&amp;I56)+(COUNTIFS($B$6:$B$151,B56,$I$6:$I$151,I56)+1)/2,"NA")</x:f>
        <x:v>49</x:v>
      </x:c>
      <x:c r="T56" s="26" t="str">
        <x:f>IF(COUNTIFS($I$6:$I$151,"&gt;"&amp;I56)&gt;=30,"非前20%",IF(COUNTIFS($I$6:$I$151,"&gt;="&amp;I56)&gt;=30,"边界同分","严格前20%"))</x:f>
        <x:v>非前20%</x:v>
      </x:c>
      <x:c r="U56" s="26" t="str">
        <x:f>IF(COUNTIFS($I$6:$I$151,"&lt;"&amp;I56)&gt;=30,"非后20%",IF(COUNTIFS($I$6:$I$151,"&lt;="&amp;I56)&gt;=30,"边界同分","严格后20%"))</x:f>
        <x:v>非后20%</x:v>
      </x:c>
      <x:c r="V56" s="22" t="n">
        <x:f>'指标计算'!P31</x:f>
        <x:v>-0.01753104909611526</x:v>
      </x:c>
      <x:c r="W56" s="22" t="n">
        <x:f>'指标计算'!Q31</x:f>
        <x:v>-0.01753104909611526</x:v>
      </x:c>
      <x:c r="X56" s="22" t="str">
        <x:v>["S0040"]</x:v>
      </x:c>
      <x:c r="Y56" s="22" t="str">
        <x:v>evidence/student_evidence.jsonl；student_key=2025秋:258889</x:v>
      </x:c>
      <x:c r="Z56" s="26" t="n">
        <x:f>IF(OR(B56="s3",B56="s6"),COUNTIFS($B$6:$B$151,B56,$K$6:$K$151,"&gt;"&amp;K56)+(COUNTIFS($B$6:$B$151,B56,$K$6:$K$151,K56)+1)/2,"NA")</x:f>
        <x:v>56</x:v>
      </x:c>
      <x:c r="AA56" s="26" t="n">
        <x:f>IF(OR(B56="s3",B56="s6"),COUNTIFS($B$6:$B$151,B56,$M$6:$M$151,"&gt;"&amp;M56)+(COUNTIFS($B$6:$B$151,B56,$M$6:$M$151,M56)+1)/2,"NA")</x:f>
        <x:v>48</x:v>
      </x:c>
      <x:c r="AB56" s="26" t="n">
        <x:f>IF(OR(B56="s3",B56="s6"),COUNTIFS($B$6:$B$151,B56,$O$6:$O$151,"&gt;"&amp;O56)+(COUNTIFS($B$6:$B$151,B56,$O$6:$O$151,O56)+1)/2,"NA")</x:f>
        <x:v>51</x:v>
      </x:c>
      <x:c r="AC56" s="26" t="n">
        <x:f>IF(OR(B56="s3",B56="s6"),COUNTIFS($B$6:$B$151,B56,$Q$6:$Q$151,"&gt;"&amp;Q56)+(COUNTIFS($B$6:$B$151,B56,$Q$6:$Q$151,Q56)+1)/2,"NA")</x:f>
        <x:v>48</x:v>
      </x:c>
      <x:c r="AD56" s="25" t="n">
        <x:v>61.46759189848265</x:v>
      </x:c>
      <x:c r="AE56" s="25" t="n">
        <x:v>55</x:v>
      </x:c>
      <x:c r="AF56" s="25" t="n">
        <x:v>53</x:v>
      </x:c>
      <x:c r="AG56" s="25" t="n">
        <x:v>4</x:v>
      </x:c>
    </x:row>
    <x:row r="57" ht="23" customHeight="1">
      <x:c r="A57" s="21" t="str">
        <x:v>2025秋:258942</x:v>
      </x:c>
      <x:c r="B57" s="22" t="str">
        <x:v>s3</x:v>
      </x:c>
      <x:c r="C57" s="24" t="n">
        <x:v>1</x:v>
      </x:c>
      <x:c r="D57" s="24" t="n">
        <x:v>1</x:v>
      </x:c>
      <x:c r="E57" s="29" t="n">
        <x:f>'指标计算'!S50</x:f>
        <x:v>0.4990595315536232</x:v>
      </x:c>
      <x:c r="F57" s="29" t="n">
        <x:f>'指标计算'!T50</x:f>
        <x:v>0.488714378643478</x:v>
      </x:c>
      <x:c r="G57" s="29" t="n">
        <x:f>'指标计算'!U50</x:f>
        <x:v>0.488714378643478</x:v>
      </x:c>
      <x:c r="H57" s="29" t="n">
        <x:f>'指标计算'!V50</x:f>
        <x:v>1</x:v>
      </x:c>
      <x:c r="I57" s="30" t="n">
        <x:f>IF(COUNT('总览与权重'!$H$11:$K$11)=4,ROUND(100*SUMPRODUCT(E57:H57,'总览与权重'!$H$11:$K$11),12),"NA")</x:f>
        <x:v>64.520361092348</x:v>
      </x:c>
      <x:c r="J57" s="30" t="n">
        <x:f>IF(ISNUMBER(I57),COUNTIFS($I$6:$I$151,"&gt;"&amp;I57)+(COUNTIFS($I$6:$I$151,I57)+1)/2,"NA")</x:f>
        <x:v>52.5</x:v>
      </x:c>
      <x:c r="K57" s="30" t="n">
        <x:f>IF(COUNT('总览与权重'!$H$12:$K$12)=4,ROUND(100*SUMPRODUCT(E57:H57,'总览与权重'!$H$12:$K$12),12),"NA")</x:f>
        <x:v>59.304053349681</x:v>
      </x:c>
      <x:c r="L57" s="30" t="n">
        <x:f>IF(ISNUMBER(K57),COUNTIFS($K$6:$K$151,"&gt;"&amp;K57)+(COUNTIFS($K$6:$K$151,K57)+1)/2,"NA")</x:f>
        <x:v>60.5</x:v>
      </x:c>
      <x:c r="M57" s="30" t="n">
        <x:f>IF(COUNT('总览与权重'!$H$13:$K$13)=4,ROUND(100*SUMPRODUCT(E57:H57,'总览与权重'!$H$13:$K$13),12),"NA")</x:f>
        <x:v>67.02506343458</x:v>
      </x:c>
      <x:c r="N57" s="30" t="n">
        <x:f>IF(ISNUMBER(M57),COUNTIFS($M$6:$M$151,"&gt;"&amp;M57)+(COUNTIFS($M$6:$M$151,M57)+1)/2,"NA")</x:f>
        <x:v>51.5</x:v>
      </x:c>
      <x:c r="O57" s="30" t="n">
        <x:f>IF(COUNT('总览与权重'!$H$14:$K$14)=4,ROUND(100*SUMPRODUCT(E57:H57,'总览与权重'!$H$14:$K$14),12),"NA")</x:f>
        <x:v>64.212891427543</x:v>
      </x:c>
      <x:c r="P57" s="30" t="n">
        <x:f>IF(ISNUMBER(O57),COUNTIFS($O$6:$O$151,"&gt;"&amp;O57)+(COUNTIFS($O$6:$O$151,O57)+1)/2,"NA")</x:f>
        <x:v>55.5</x:v>
      </x:c>
      <x:c r="Q57" s="30" t="n">
        <x:f>IF(COUNT('总览与权重'!$H$15:$K$15)=4,ROUND(100*SUMPRODUCT(E57:H57,'总览与权重'!$H$15:$K$15),12),"NA")</x:f>
        <x:v>80.881774583537</x:v>
      </x:c>
      <x:c r="R57" s="30" t="n">
        <x:f>IF(ISNUMBER(Q57),COUNTIFS($Q$6:$Q$151,"&gt;"&amp;Q57)+(COUNTIFS($Q$6:$Q$151,Q57)+1)/2,"NA")</x:f>
        <x:v>50.5</x:v>
      </x:c>
      <x:c r="S57" s="31" t="n">
        <x:f>IF(OR(B57="s3",B57="s6"),COUNTIFS($B$6:$B$151,B57,$I$6:$I$151,"&gt;"&amp;I57)+(COUNTIFS($B$6:$B$151,B57,$I$6:$I$151,I57)+1)/2,"NA")</x:f>
        <x:v>50.5</x:v>
      </x:c>
      <x:c r="T57" s="26" t="str">
        <x:f>IF(COUNTIFS($I$6:$I$151,"&gt;"&amp;I57)&gt;=30,"非前20%",IF(COUNTIFS($I$6:$I$151,"&gt;="&amp;I57)&gt;=30,"边界同分","严格前20%"))</x:f>
        <x:v>非前20%</x:v>
      </x:c>
      <x:c r="U57" s="26" t="str">
        <x:f>IF(COUNTIFS($I$6:$I$151,"&lt;"&amp;I57)&gt;=30,"非后20%",IF(COUNTIFS($I$6:$I$151,"&lt;="&amp;I57)&gt;=30,"边界同分","严格后20%"))</x:f>
        <x:v>非后20%</x:v>
      </x:c>
      <x:c r="V57" s="22" t="n">
        <x:f>'指标计算'!P50</x:f>
        <x:v>-0.022571242713044018</x:v>
      </x:c>
      <x:c r="W57" s="22" t="n">
        <x:f>'指标计算'!Q50</x:f>
        <x:v>-0.022571242713044018</x:v>
      </x:c>
      <x:c r="X57" s="22" t="str">
        <x:v>["S0158"]</x:v>
      </x:c>
      <x:c r="Y57" s="22" t="str">
        <x:v>evidence/student_evidence.jsonl；student_key=2025秋:258942</x:v>
      </x:c>
      <x:c r="Z57" s="26" t="n">
        <x:f>IF(OR(B57="s3",B57="s6"),COUNTIFS($B$6:$B$151,B57,$K$6:$K$151,"&gt;"&amp;K57)+(COUNTIFS($B$6:$B$151,B57,$K$6:$K$151,K57)+1)/2,"NA")</x:f>
        <x:v>57.5</x:v>
      </x:c>
      <x:c r="AA57" s="26" t="n">
        <x:f>IF(OR(B57="s3",B57="s6"),COUNTIFS($B$6:$B$151,B57,$M$6:$M$151,"&gt;"&amp;M57)+(COUNTIFS($B$6:$B$151,B57,$M$6:$M$151,M57)+1)/2,"NA")</x:f>
        <x:v>49.5</x:v>
      </x:c>
      <x:c r="AB57" s="26" t="n">
        <x:f>IF(OR(B57="s3",B57="s6"),COUNTIFS($B$6:$B$151,B57,$O$6:$O$151,"&gt;"&amp;O57)+(COUNTIFS($B$6:$B$151,B57,$O$6:$O$151,O57)+1)/2,"NA")</x:f>
        <x:v>52.5</x:v>
      </x:c>
      <x:c r="AC57" s="26" t="n">
        <x:f>IF(OR(B57="s3",B57="s6"),COUNTIFS($B$6:$B$151,B57,$Q$6:$Q$151,"&gt;"&amp;Q57)+(COUNTIFS($B$6:$B$151,B57,$Q$6:$Q$151,Q57)+1)/2,"NA")</x:f>
        <x:v>49.5</x:v>
      </x:c>
      <x:c r="AD57" s="25" t="n">
        <x:v>61.359832755269075</x:v>
      </x:c>
      <x:c r="AE57" s="25" t="n">
        <x:v>56.5</x:v>
      </x:c>
      <x:c r="AF57" s="25" t="n">
        <x:v>54.5</x:v>
      </x:c>
      <x:c r="AG57" s="25" t="n">
        <x:v>4</x:v>
      </x:c>
    </x:row>
    <x:row r="58" ht="23" customHeight="1">
      <x:c r="A58" s="21" t="str">
        <x:v>2025秋:258959</x:v>
      </x:c>
      <x:c r="B58" s="22" t="str">
        <x:v>s3</x:v>
      </x:c>
      <x:c r="C58" s="24" t="n">
        <x:v>1</x:v>
      </x:c>
      <x:c r="D58" s="24" t="n">
        <x:v>1</x:v>
      </x:c>
      <x:c r="E58" s="29" t="n">
        <x:f>'指标计算'!S55</x:f>
        <x:v>0.4990595315536232</x:v>
      </x:c>
      <x:c r="F58" s="29" t="n">
        <x:f>'指标计算'!T55</x:f>
        <x:v>0.488714378643478</x:v>
      </x:c>
      <x:c r="G58" s="29" t="n">
        <x:f>'指标计算'!U55</x:f>
        <x:v>0.488714378643478</x:v>
      </x:c>
      <x:c r="H58" s="29" t="n">
        <x:f>'指标计算'!V55</x:f>
        <x:v>1</x:v>
      </x:c>
      <x:c r="I58" s="30" t="n">
        <x:f>IF(COUNT('总览与权重'!$H$11:$K$11)=4,ROUND(100*SUMPRODUCT(E58:H58,'总览与权重'!$H$11:$K$11),12),"NA")</x:f>
        <x:v>64.520361092348</x:v>
      </x:c>
      <x:c r="J58" s="30" t="n">
        <x:f>IF(ISNUMBER(I58),COUNTIFS($I$6:$I$151,"&gt;"&amp;I58)+(COUNTIFS($I$6:$I$151,I58)+1)/2,"NA")</x:f>
        <x:v>52.5</x:v>
      </x:c>
      <x:c r="K58" s="30" t="n">
        <x:f>IF(COUNT('总览与权重'!$H$12:$K$12)=4,ROUND(100*SUMPRODUCT(E58:H58,'总览与权重'!$H$12:$K$12),12),"NA")</x:f>
        <x:v>59.304053349681</x:v>
      </x:c>
      <x:c r="L58" s="30" t="n">
        <x:f>IF(ISNUMBER(K58),COUNTIFS($K$6:$K$151,"&gt;"&amp;K58)+(COUNTIFS($K$6:$K$151,K58)+1)/2,"NA")</x:f>
        <x:v>60.5</x:v>
      </x:c>
      <x:c r="M58" s="30" t="n">
        <x:f>IF(COUNT('总览与权重'!$H$13:$K$13)=4,ROUND(100*SUMPRODUCT(E58:H58,'总览与权重'!$H$13:$K$13),12),"NA")</x:f>
        <x:v>67.02506343458</x:v>
      </x:c>
      <x:c r="N58" s="30" t="n">
        <x:f>IF(ISNUMBER(M58),COUNTIFS($M$6:$M$151,"&gt;"&amp;M58)+(COUNTIFS($M$6:$M$151,M58)+1)/2,"NA")</x:f>
        <x:v>51.5</x:v>
      </x:c>
      <x:c r="O58" s="30" t="n">
        <x:f>IF(COUNT('总览与权重'!$H$14:$K$14)=4,ROUND(100*SUMPRODUCT(E58:H58,'总览与权重'!$H$14:$K$14),12),"NA")</x:f>
        <x:v>64.212891427543</x:v>
      </x:c>
      <x:c r="P58" s="30" t="n">
        <x:f>IF(ISNUMBER(O58),COUNTIFS($O$6:$O$151,"&gt;"&amp;O58)+(COUNTIFS($O$6:$O$151,O58)+1)/2,"NA")</x:f>
        <x:v>55.5</x:v>
      </x:c>
      <x:c r="Q58" s="30" t="n">
        <x:f>IF(COUNT('总览与权重'!$H$15:$K$15)=4,ROUND(100*SUMPRODUCT(E58:H58,'总览与权重'!$H$15:$K$15),12),"NA")</x:f>
        <x:v>80.881774583537</x:v>
      </x:c>
      <x:c r="R58" s="30" t="n">
        <x:f>IF(ISNUMBER(Q58),COUNTIFS($Q$6:$Q$151,"&gt;"&amp;Q58)+(COUNTIFS($Q$6:$Q$151,Q58)+1)/2,"NA")</x:f>
        <x:v>50.5</x:v>
      </x:c>
      <x:c r="S58" s="31" t="n">
        <x:f>IF(OR(B58="s3",B58="s6"),COUNTIFS($B$6:$B$151,B58,$I$6:$I$151,"&gt;"&amp;I58)+(COUNTIFS($B$6:$B$151,B58,$I$6:$I$151,I58)+1)/2,"NA")</x:f>
        <x:v>50.5</x:v>
      </x:c>
      <x:c r="T58" s="26" t="str">
        <x:f>IF(COUNTIFS($I$6:$I$151,"&gt;"&amp;I58)&gt;=30,"非前20%",IF(COUNTIFS($I$6:$I$151,"&gt;="&amp;I58)&gt;=30,"边界同分","严格前20%"))</x:f>
        <x:v>非前20%</x:v>
      </x:c>
      <x:c r="U58" s="26" t="str">
        <x:f>IF(COUNTIFS($I$6:$I$151,"&lt;"&amp;I58)&gt;=30,"非后20%",IF(COUNTIFS($I$6:$I$151,"&lt;="&amp;I58)&gt;=30,"边界同分","严格后20%"))</x:f>
        <x:v>非后20%</x:v>
      </x:c>
      <x:c r="V58" s="22" t="n">
        <x:f>'指标计算'!P55</x:f>
        <x:v>-0.022571242713044018</x:v>
      </x:c>
      <x:c r="W58" s="22" t="n">
        <x:f>'指标计算'!Q55</x:f>
        <x:v>-0.022571242713044018</x:v>
      </x:c>
      <x:c r="X58" s="22" t="str">
        <x:v>["S0018"]</x:v>
      </x:c>
      <x:c r="Y58" s="22" t="str">
        <x:v>evidence/student_evidence.jsonl；student_key=2025秋:258959</x:v>
      </x:c>
      <x:c r="Z58" s="26" t="n">
        <x:f>IF(OR(B58="s3",B58="s6"),COUNTIFS($B$6:$B$151,B58,$K$6:$K$151,"&gt;"&amp;K58)+(COUNTIFS($B$6:$B$151,B58,$K$6:$K$151,K58)+1)/2,"NA")</x:f>
        <x:v>57.5</x:v>
      </x:c>
      <x:c r="AA58" s="26" t="n">
        <x:f>IF(OR(B58="s3",B58="s6"),COUNTIFS($B$6:$B$151,B58,$M$6:$M$151,"&gt;"&amp;M58)+(COUNTIFS($B$6:$B$151,B58,$M$6:$M$151,M58)+1)/2,"NA")</x:f>
        <x:v>49.5</x:v>
      </x:c>
      <x:c r="AB58" s="26" t="n">
        <x:f>IF(OR(B58="s3",B58="s6"),COUNTIFS($B$6:$B$151,B58,$O$6:$O$151,"&gt;"&amp;O58)+(COUNTIFS($B$6:$B$151,B58,$O$6:$O$151,O58)+1)/2,"NA")</x:f>
        <x:v>52.5</x:v>
      </x:c>
      <x:c r="AC58" s="26" t="n">
        <x:f>IF(OR(B58="s3",B58="s6"),COUNTIFS($B$6:$B$151,B58,$Q$6:$Q$151,"&gt;"&amp;Q58)+(COUNTIFS($B$6:$B$151,B58,$Q$6:$Q$151,Q58)+1)/2,"NA")</x:f>
        <x:v>49.5</x:v>
      </x:c>
      <x:c r="AD58" s="25" t="n">
        <x:v>61.359832755269075</x:v>
      </x:c>
      <x:c r="AE58" s="25" t="n">
        <x:v>56.5</x:v>
      </x:c>
      <x:c r="AF58" s="25" t="n">
        <x:v>54.5</x:v>
      </x:c>
      <x:c r="AG58" s="25" t="n">
        <x:v>4</x:v>
      </x:c>
    </x:row>
    <x:row r="59" ht="23" customHeight="1">
      <x:c r="A59" s="21" t="str">
        <x:v>2025秋:258540</x:v>
      </x:c>
      <x:c r="B59" s="22" t="str">
        <x:v>s3</x:v>
      </x:c>
      <x:c r="C59" s="24" t="n">
        <x:v>1</x:v>
      </x:c>
      <x:c r="D59" s="24" t="n">
        <x:v>1</x:v>
      </x:c>
      <x:c r="E59" s="29" t="n">
        <x:f>'指标计算'!S21</x:f>
        <x:v>0.498765959742226</x:v>
      </x:c>
      <x:c r="F59" s="29" t="n">
        <x:f>'指标计算'!T21</x:f>
        <x:v>0.4851915169067115</x:v>
      </x:c>
      <x:c r="G59" s="29" t="n">
        <x:f>'指标计算'!U21</x:f>
        <x:v>0.4851915169067115</x:v>
      </x:c>
      <x:c r="H59" s="29" t="n">
        <x:f>'指标计算'!V21</x:f>
        <x:v>1</x:v>
      </x:c>
      <x:c r="I59" s="30" t="n">
        <x:f>IF(COUNT('总览与权重'!$H$11:$K$11)=4,ROUND(100*SUMPRODUCT(E59:H59,'总览与权重'!$H$11:$K$11),12),"NA")</x:f>
        <x:v>64.370639468535</x:v>
      </x:c>
      <x:c r="J59" s="30" t="n">
        <x:f>IF(ISNUMBER(I59),COUNTIFS($I$6:$I$151,"&gt;"&amp;I59)+(COUNTIFS($I$6:$I$151,I59)+1)/2,"NA")</x:f>
        <x:v>54.5</x:v>
      </x:c>
      <x:c r="K59" s="30" t="n">
        <x:f>IF(COUNT('总览与权重'!$H$12:$K$12)=4,ROUND(100*SUMPRODUCT(E59:H59,'总览与权重'!$H$12:$K$12),12),"NA")</x:f>
        <x:v>59.086810209247</x:v>
      </x:c>
      <x:c r="L59" s="30" t="n">
        <x:f>IF(ISNUMBER(K59),COUNTIFS($K$6:$K$151,"&gt;"&amp;K59)+(COUNTIFS($K$6:$K$151,K59)+1)/2,"NA")</x:f>
        <x:v>64.5</x:v>
      </x:c>
      <x:c r="M59" s="30" t="n">
        <x:f>IF(COUNT('总览与权重'!$H$13:$K$13)=4,ROUND(100*SUMPRODUCT(E59:H59,'总览与权重'!$H$13:$K$13),12),"NA")</x:f>
        <x:v>66.876809669824</x:v>
      </x:c>
      <x:c r="N59" s="30" t="n">
        <x:f>IF(ISNUMBER(M59),COUNTIFS($M$6:$M$151,"&gt;"&amp;M59)+(COUNTIFS($M$6:$M$151,M59)+1)/2,"NA")</x:f>
        <x:v>53.5</x:v>
      </x:c>
      <x:c r="O59" s="30" t="n">
        <x:f>IF(COUNT('总览与权重'!$H$14:$K$14)=4,ROUND(100*SUMPRODUCT(E59:H59,'总览与权重'!$H$14:$K$14),12),"NA")</x:f>
        <x:v>63.967191648595</x:v>
      </x:c>
      <x:c r="P59" s="30" t="n">
        <x:f>IF(ISNUMBER(O59),COUNTIFS($O$6:$O$151,"&gt;"&amp;O59)+(COUNTIFS($O$6:$O$151,O59)+1)/2,"NA")</x:f>
        <x:v>57.5</x:v>
      </x:c>
      <x:c r="Q59" s="30" t="n">
        <x:f>IF(COUNT('总览与权重'!$H$15:$K$15)=4,ROUND(100*SUMPRODUCT(E59:H59,'总览与权重'!$H$15:$K$15),12),"NA")</x:f>
        <x:v>80.750516598578</x:v>
      </x:c>
      <x:c r="R59" s="30" t="n">
        <x:f>IF(ISNUMBER(Q59),COUNTIFS($Q$6:$Q$151,"&gt;"&amp;Q59)+(COUNTIFS($Q$6:$Q$151,Q59)+1)/2,"NA")</x:f>
        <x:v>52.5</x:v>
      </x:c>
      <x:c r="S59" s="31" t="n">
        <x:f>IF(OR(B59="s3",B59="s6"),COUNTIFS($B$6:$B$151,B59,$I$6:$I$151,"&gt;"&amp;I59)+(COUNTIFS($B$6:$B$151,B59,$I$6:$I$151,I59)+1)/2,"NA")</x:f>
        <x:v>52.5</x:v>
      </x:c>
      <x:c r="T59" s="26" t="str">
        <x:f>IF(COUNTIFS($I$6:$I$151,"&gt;"&amp;I59)&gt;=30,"非前20%",IF(COUNTIFS($I$6:$I$151,"&gt;="&amp;I59)&gt;=30,"边界同分","严格前20%"))</x:f>
        <x:v>非前20%</x:v>
      </x:c>
      <x:c r="U59" s="26" t="str">
        <x:f>IF(COUNTIFS($I$6:$I$151,"&lt;"&amp;I59)&gt;=30,"非后20%",IF(COUNTIFS($I$6:$I$151,"&lt;="&amp;I59)&gt;=30,"边界同分","严格后20%"))</x:f>
        <x:v>非后20%</x:v>
      </x:c>
      <x:c r="V59" s="22" t="n">
        <x:f>'指标计算'!P21</x:f>
        <x:v>-0.02961696618657711</x:v>
      </x:c>
      <x:c r="W59" s="22" t="n">
        <x:f>'指标计算'!Q21</x:f>
        <x:v>-0.02961696618657711</x:v>
      </x:c>
      <x:c r="X59" s="22" t="str">
        <x:v>["S0042"]</x:v>
      </x:c>
      <x:c r="Y59" s="22" t="str">
        <x:v>evidence/student_evidence.jsonl；student_key=2025秋:258540</x:v>
      </x:c>
      <x:c r="Z59" s="26" t="n">
        <x:f>IF(OR(B59="s3",B59="s6"),COUNTIFS($B$6:$B$151,B59,$K$6:$K$151,"&gt;"&amp;K59)+(COUNTIFS($B$6:$B$151,B59,$K$6:$K$151,K59)+1)/2,"NA")</x:f>
        <x:v>61.5</x:v>
      </x:c>
      <x:c r="AA59" s="26" t="n">
        <x:f>IF(OR(B59="s3",B59="s6"),COUNTIFS($B$6:$B$151,B59,$M$6:$M$151,"&gt;"&amp;M59)+(COUNTIFS($B$6:$B$151,B59,$M$6:$M$151,M59)+1)/2,"NA")</x:f>
        <x:v>51.5</x:v>
      </x:c>
      <x:c r="AB59" s="26" t="n">
        <x:f>IF(OR(B59="s3",B59="s6"),COUNTIFS($B$6:$B$151,B59,$O$6:$O$151,"&gt;"&amp;O59)+(COUNTIFS($B$6:$B$151,B59,$O$6:$O$151,O59)+1)/2,"NA")</x:f>
        <x:v>54.5</x:v>
      </x:c>
      <x:c r="AC59" s="26" t="n">
        <x:f>IF(OR(B59="s3",B59="s6"),COUNTIFS($B$6:$B$151,B59,$Q$6:$Q$151,"&gt;"&amp;Q59)+(COUNTIFS($B$6:$B$151,B59,$Q$6:$Q$151,Q59)+1)/2,"NA")</x:f>
        <x:v>51.5</x:v>
      </x:c>
      <x:c r="AD59" s="25" t="n">
        <x:v>61.21011113145649</x:v>
      </x:c>
      <x:c r="AE59" s="25" t="n">
        <x:v>58.5</x:v>
      </x:c>
      <x:c r="AF59" s="25" t="n">
        <x:v>56.5</x:v>
      </x:c>
      <x:c r="AG59" s="25" t="n">
        <x:v>4</x:v>
      </x:c>
    </x:row>
    <x:row r="60" ht="23" customHeight="1">
      <x:c r="A60" s="21" t="str">
        <x:v>2025秋:258951</x:v>
      </x:c>
      <x:c r="B60" s="22" t="str">
        <x:v>s3</x:v>
      </x:c>
      <x:c r="C60" s="24" t="n">
        <x:v>1</x:v>
      </x:c>
      <x:c r="D60" s="24" t="n">
        <x:v>1</x:v>
      </x:c>
      <x:c r="E60" s="29" t="n">
        <x:f>'指标计算'!S52</x:f>
        <x:v>0.498765959742226</x:v>
      </x:c>
      <x:c r="F60" s="29" t="n">
        <x:f>'指标计算'!T52</x:f>
        <x:v>0.4851915169067115</x:v>
      </x:c>
      <x:c r="G60" s="29" t="n">
        <x:f>'指标计算'!U52</x:f>
        <x:v>0.4851915169067115</x:v>
      </x:c>
      <x:c r="H60" s="29" t="n">
        <x:f>'指标计算'!V52</x:f>
        <x:v>1</x:v>
      </x:c>
      <x:c r="I60" s="30" t="n">
        <x:f>IF(COUNT('总览与权重'!$H$11:$K$11)=4,ROUND(100*SUMPRODUCT(E60:H60,'总览与权重'!$H$11:$K$11),12),"NA")</x:f>
        <x:v>64.370639468535</x:v>
      </x:c>
      <x:c r="J60" s="30" t="n">
        <x:f>IF(ISNUMBER(I60),COUNTIFS($I$6:$I$151,"&gt;"&amp;I60)+(COUNTIFS($I$6:$I$151,I60)+1)/2,"NA")</x:f>
        <x:v>54.5</x:v>
      </x:c>
      <x:c r="K60" s="30" t="n">
        <x:f>IF(COUNT('总览与权重'!$H$12:$K$12)=4,ROUND(100*SUMPRODUCT(E60:H60,'总览与权重'!$H$12:$K$12),12),"NA")</x:f>
        <x:v>59.086810209247</x:v>
      </x:c>
      <x:c r="L60" s="30" t="n">
        <x:f>IF(ISNUMBER(K60),COUNTIFS($K$6:$K$151,"&gt;"&amp;K60)+(COUNTIFS($K$6:$K$151,K60)+1)/2,"NA")</x:f>
        <x:v>64.5</x:v>
      </x:c>
      <x:c r="M60" s="30" t="n">
        <x:f>IF(COUNT('总览与权重'!$H$13:$K$13)=4,ROUND(100*SUMPRODUCT(E60:H60,'总览与权重'!$H$13:$K$13),12),"NA")</x:f>
        <x:v>66.876809669824</x:v>
      </x:c>
      <x:c r="N60" s="30" t="n">
        <x:f>IF(ISNUMBER(M60),COUNTIFS($M$6:$M$151,"&gt;"&amp;M60)+(COUNTIFS($M$6:$M$151,M60)+1)/2,"NA")</x:f>
        <x:v>53.5</x:v>
      </x:c>
      <x:c r="O60" s="30" t="n">
        <x:f>IF(COUNT('总览与权重'!$H$14:$K$14)=4,ROUND(100*SUMPRODUCT(E60:H60,'总览与权重'!$H$14:$K$14),12),"NA")</x:f>
        <x:v>63.967191648595</x:v>
      </x:c>
      <x:c r="P60" s="30" t="n">
        <x:f>IF(ISNUMBER(O60),COUNTIFS($O$6:$O$151,"&gt;"&amp;O60)+(COUNTIFS($O$6:$O$151,O60)+1)/2,"NA")</x:f>
        <x:v>57.5</x:v>
      </x:c>
      <x:c r="Q60" s="30" t="n">
        <x:f>IF(COUNT('总览与权重'!$H$15:$K$15)=4,ROUND(100*SUMPRODUCT(E60:H60,'总览与权重'!$H$15:$K$15),12),"NA")</x:f>
        <x:v>80.750516598578</x:v>
      </x:c>
      <x:c r="R60" s="30" t="n">
        <x:f>IF(ISNUMBER(Q60),COUNTIFS($Q$6:$Q$151,"&gt;"&amp;Q60)+(COUNTIFS($Q$6:$Q$151,Q60)+1)/2,"NA")</x:f>
        <x:v>52.5</x:v>
      </x:c>
      <x:c r="S60" s="31" t="n">
        <x:f>IF(OR(B60="s3",B60="s6"),COUNTIFS($B$6:$B$151,B60,$I$6:$I$151,"&gt;"&amp;I60)+(COUNTIFS($B$6:$B$151,B60,$I$6:$I$151,I60)+1)/2,"NA")</x:f>
        <x:v>52.5</x:v>
      </x:c>
      <x:c r="T60" s="26" t="str">
        <x:f>IF(COUNTIFS($I$6:$I$151,"&gt;"&amp;I60)&gt;=30,"非前20%",IF(COUNTIFS($I$6:$I$151,"&gt;="&amp;I60)&gt;=30,"边界同分","严格前20%"))</x:f>
        <x:v>非前20%</x:v>
      </x:c>
      <x:c r="U60" s="26" t="str">
        <x:f>IF(COUNTIFS($I$6:$I$151,"&lt;"&amp;I60)&gt;=30,"非后20%",IF(COUNTIFS($I$6:$I$151,"&lt;="&amp;I60)&gt;=30,"边界同分","严格后20%"))</x:f>
        <x:v>非后20%</x:v>
      </x:c>
      <x:c r="V60" s="22" t="n">
        <x:f>'指标计算'!P52</x:f>
        <x:v>-0.02961696618657711</x:v>
      </x:c>
      <x:c r="W60" s="22" t="n">
        <x:f>'指标计算'!Q52</x:f>
        <x:v>-0.02961696618657711</x:v>
      </x:c>
      <x:c r="X60" s="22" t="str">
        <x:v>["S0431"]</x:v>
      </x:c>
      <x:c r="Y60" s="22" t="str">
        <x:v>evidence/student_evidence.jsonl；student_key=2025秋:258951</x:v>
      </x:c>
      <x:c r="Z60" s="26" t="n">
        <x:f>IF(OR(B60="s3",B60="s6"),COUNTIFS($B$6:$B$151,B60,$K$6:$K$151,"&gt;"&amp;K60)+(COUNTIFS($B$6:$B$151,B60,$K$6:$K$151,K60)+1)/2,"NA")</x:f>
        <x:v>61.5</x:v>
      </x:c>
      <x:c r="AA60" s="26" t="n">
        <x:f>IF(OR(B60="s3",B60="s6"),COUNTIFS($B$6:$B$151,B60,$M$6:$M$151,"&gt;"&amp;M60)+(COUNTIFS($B$6:$B$151,B60,$M$6:$M$151,M60)+1)/2,"NA")</x:f>
        <x:v>51.5</x:v>
      </x:c>
      <x:c r="AB60" s="26" t="n">
        <x:f>IF(OR(B60="s3",B60="s6"),COUNTIFS($B$6:$B$151,B60,$O$6:$O$151,"&gt;"&amp;O60)+(COUNTIFS($B$6:$B$151,B60,$O$6:$O$151,O60)+1)/2,"NA")</x:f>
        <x:v>54.5</x:v>
      </x:c>
      <x:c r="AC60" s="26" t="n">
        <x:f>IF(OR(B60="s3",B60="s6"),COUNTIFS($B$6:$B$151,B60,$Q$6:$Q$151,"&gt;"&amp;Q60)+(COUNTIFS($B$6:$B$151,B60,$Q$6:$Q$151,Q60)+1)/2,"NA")</x:f>
        <x:v>51.5</x:v>
      </x:c>
      <x:c r="AD60" s="25" t="n">
        <x:v>61.21011113145649</x:v>
      </x:c>
      <x:c r="AE60" s="25" t="n">
        <x:v>58.5</x:v>
      </x:c>
      <x:c r="AF60" s="25" t="n">
        <x:v>56.5</x:v>
      </x:c>
      <x:c r="AG60" s="25" t="n">
        <x:v>4</x:v>
      </x:c>
    </x:row>
    <x:row r="61" ht="23" customHeight="1">
      <x:c r="A61" s="21" t="str">
        <x:v>2025秋:258937</x:v>
      </x:c>
      <x:c r="B61" s="22" t="str">
        <x:v>s3</x:v>
      </x:c>
      <x:c r="C61" s="24" t="n">
        <x:v>1</x:v>
      </x:c>
      <x:c r="D61" s="24" t="n">
        <x:v>1</x:v>
      </x:c>
      <x:c r="E61" s="29" t="n">
        <x:f>'指标计算'!S47</x:f>
        <x:v>0.498863068058661</x:v>
      </x:c>
      <x:c r="F61" s="29" t="n">
        <x:f>'指标计算'!T47</x:f>
        <x:v>0.4772613611732203</x:v>
      </x:c>
      <x:c r="G61" s="29" t="n">
        <x:f>'指标计算'!U47</x:f>
        <x:v>0.4772613611732203</x:v>
      </x:c>
      <x:c r="H61" s="29" t="n">
        <x:f>'指标计算'!V47</x:f>
        <x:v>1</x:v>
      </x:c>
      <x:c r="I61" s="30" t="n">
        <x:f>IF(COUNT('总览与权重'!$H$11:$K$11)=4,ROUND(100*SUMPRODUCT(E61:H61,'总览与权重'!$H$11:$K$11),12),"NA")</x:f>
        <x:v>64.056346488689</x:v>
      </x:c>
      <x:c r="J61" s="30" t="n">
        <x:f>IF(ISNUMBER(I61),COUNTIFS($I$6:$I$151,"&gt;"&amp;I61)+(COUNTIFS($I$6:$I$151,I61)+1)/2,"NA")</x:f>
        <x:v>56</x:v>
      </x:c>
      <x:c r="K61" s="30" t="n">
        <x:f>IF(COUNT('总览与权重'!$H$12:$K$12)=4,ROUND(100*SUMPRODUCT(E61:H61,'总览与权重'!$H$12:$K$12),12),"NA")</x:f>
        <x:v>58.612943031566</x:v>
      </x:c>
      <x:c r="L61" s="30" t="n">
        <x:f>IF(ISNUMBER(K61),COUNTIFS($K$6:$K$151,"&gt;"&amp;K61)+(COUNTIFS($K$6:$K$151,K61)+1)/2,"NA")</x:f>
        <x:v>67</x:v>
      </x:c>
      <x:c r="M61" s="30" t="n">
        <x:f>IF(COUNT('总览与权重'!$H$13:$K$13)=4,ROUND(100*SUMPRODUCT(E61:H61,'总览与权重'!$H$13:$K$13),12),"NA")</x:f>
        <x:v>66.562031148395</x:v>
      </x:c>
      <x:c r="N61" s="30" t="n">
        <x:f>IF(ISNUMBER(M61),COUNTIFS($M$6:$M$151,"&gt;"&amp;M61)+(COUNTIFS($M$6:$M$151,M61)+1)/2,"NA")</x:f>
        <x:v>55</x:v>
      </x:c>
      <x:c r="O61" s="30" t="n">
        <x:f>IF(COUNT('总览与权重'!$H$14:$K$14)=4,ROUND(100*SUMPRODUCT(E61:H61,'总览与权重'!$H$14:$K$14),12),"NA")</x:f>
        <x:v>63.41431928687</x:v>
      </x:c>
      <x:c r="P61" s="30" t="n">
        <x:f>IF(ISNUMBER(O61),COUNTIFS($O$6:$O$151,"&gt;"&amp;O61)+(COUNTIFS($O$6:$O$151,O61)+1)/2,"NA")</x:f>
        <x:v>60</x:v>
      </x:c>
      <x:c r="Q61" s="30" t="n">
        <x:f>IF(COUNT('总览与权重'!$H$15:$K$15)=4,ROUND(100*SUMPRODUCT(E61:H61,'总览与权重'!$H$15:$K$15),12),"NA")</x:f>
        <x:v>80.45516056509</x:v>
      </x:c>
      <x:c r="R61" s="30" t="n">
        <x:f>IF(ISNUMBER(Q61),COUNTIFS($Q$6:$Q$151,"&gt;"&amp;Q61)+(COUNTIFS($Q$6:$Q$151,Q61)+1)/2,"NA")</x:f>
        <x:v>54</x:v>
      </x:c>
      <x:c r="S61" s="31" t="n">
        <x:f>IF(OR(B61="s3",B61="s6"),COUNTIFS($B$6:$B$151,B61,$I$6:$I$151,"&gt;"&amp;I61)+(COUNTIFS($B$6:$B$151,B61,$I$6:$I$151,I61)+1)/2,"NA")</x:f>
        <x:v>54</x:v>
      </x:c>
      <x:c r="T61" s="26" t="str">
        <x:f>IF(COUNTIFS($I$6:$I$151,"&gt;"&amp;I61)&gt;=30,"非前20%",IF(COUNTIFS($I$6:$I$151,"&gt;="&amp;I61)&gt;=30,"边界同分","严格前20%"))</x:f>
        <x:v>非前20%</x:v>
      </x:c>
      <x:c r="U61" s="26" t="str">
        <x:f>IF(COUNTIFS($I$6:$I$151,"&lt;"&amp;I61)&gt;=30,"非后20%",IF(COUNTIFS($I$6:$I$151,"&lt;="&amp;I61)&gt;=30,"边界同分","严格后20%"))</x:f>
        <x:v>非后20%</x:v>
      </x:c>
      <x:c r="V61" s="22" t="n">
        <x:f>'指标计算'!P47</x:f>
        <x:v>-0.027286366592135628</x:v>
      </x:c>
      <x:c r="W61" s="22" t="n">
        <x:f>'指标计算'!Q47</x:f>
        <x:v>-0.045477277653559384</x:v>
      </x:c>
      <x:c r="X61" s="22" t="str">
        <x:v>["S0196"]</x:v>
      </x:c>
      <x:c r="Y61" s="22" t="str">
        <x:v>evidence/student_evidence.jsonl；student_key=2025秋:258937</x:v>
      </x:c>
      <x:c r="Z61" s="26" t="n">
        <x:f>IF(OR(B61="s3",B61="s6"),COUNTIFS($B$6:$B$151,B61,$K$6:$K$151,"&gt;"&amp;K61)+(COUNTIFS($B$6:$B$151,B61,$K$6:$K$151,K61)+1)/2,"NA")</x:f>
        <x:v>64</x:v>
      </x:c>
      <x:c r="AA61" s="26" t="n">
        <x:f>IF(OR(B61="s3",B61="s6"),COUNTIFS($B$6:$B$151,B61,$M$6:$M$151,"&gt;"&amp;M61)+(COUNTIFS($B$6:$B$151,B61,$M$6:$M$151,M61)+1)/2,"NA")</x:f>
        <x:v>53</x:v>
      </x:c>
      <x:c r="AB61" s="26" t="n">
        <x:f>IF(OR(B61="s3",B61="s6"),COUNTIFS($B$6:$B$151,B61,$O$6:$O$151,"&gt;"&amp;O61)+(COUNTIFS($B$6:$B$151,B61,$O$6:$O$151,O61)+1)/2,"NA")</x:f>
        <x:v>57</x:v>
      </x:c>
      <x:c r="AC61" s="26" t="n">
        <x:f>IF(OR(B61="s3",B61="s6"),COUNTIFS($B$6:$B$151,B61,$Q$6:$Q$151,"&gt;"&amp;Q61)+(COUNTIFS($B$6:$B$151,B61,$Q$6:$Q$151,Q61)+1)/2,"NA")</x:f>
        <x:v>53</x:v>
      </x:c>
      <x:c r="AD61" s="25" t="n">
        <x:v>63.03063615030673</x:v>
      </x:c>
      <x:c r="AE61" s="25" t="n">
        <x:v>47</x:v>
      </x:c>
      <x:c r="AF61" s="25" t="n">
        <x:v>45</x:v>
      </x:c>
      <x:c r="AG61" s="25" t="n">
        <x:v>-9</x:v>
      </x:c>
    </x:row>
    <x:row r="62" ht="23" customHeight="1">
      <x:c r="A62" s="21" t="str">
        <x:v>2025秋:258524</x:v>
      </x:c>
      <x:c r="B62" s="22" t="str">
        <x:v>s6</x:v>
      </x:c>
      <x:c r="C62" s="24" t="n">
        <x:v>1</x:v>
      </x:c>
      <x:c r="D62" s="24" t="n">
        <x:v>1</x:v>
      </x:c>
      <x:c r="E62" s="29" t="n">
        <x:f>'指标计算'!S19</x:f>
        <x:v>0.5220666666666667</x:v>
      </x:c>
      <x:c r="F62" s="29" t="n">
        <x:f>'指标计算'!T19</x:f>
        <x:v>0.831</x:v>
      </x:c>
      <x:c r="G62" s="29" t="n">
        <x:f>'指标计算'!U19</x:f>
        <x:v>0.831</x:v>
      </x:c>
      <x:c r="H62" s="29" t="n">
        <x:f>'指标计算'!V19</x:f>
        <x:v>0.5</x:v>
      </x:c>
      <x:c r="I62" s="30" t="n">
        <x:f>IF(COUNT('总览与权重'!$H$11:$K$11)=4,ROUND(100*SUMPRODUCT(E62:H62,'总览与权重'!$H$11:$K$11),12),"NA")</x:f>
        <x:v>63.902</x:v>
      </x:c>
      <x:c r="J62" s="30" t="n">
        <x:f>IF(ISNUMBER(I62),COUNTIFS($I$6:$I$151,"&gt;"&amp;I62)+(COUNTIFS($I$6:$I$151,I62)+1)/2,"NA")</x:f>
        <x:v>57</x:v>
      </x:c>
      <x:c r="K62" s="30" t="n">
        <x:f>IF(COUNT('总览与权重'!$H$12:$K$12)=4,ROUND(100*SUMPRODUCT(E62:H62,'总览与权重'!$H$12:$K$12),12),"NA")</x:f>
        <x:v>70.301333333333</x:v>
      </x:c>
      <x:c r="L62" s="30" t="n">
        <x:f>IF(ISNUMBER(K62),COUNTIFS($K$6:$K$151,"&gt;"&amp;K62)+(COUNTIFS($K$6:$K$151,K62)+1)/2,"NA")</x:f>
        <x:v>14</x:v>
      </x:c>
      <x:c r="M62" s="30" t="n">
        <x:f>IF(COUNT('总览与权重'!$H$13:$K$13)=4,ROUND(100*SUMPRODUCT(E62:H62,'总览与权重'!$H$13:$K$13),12),"NA")</x:f>
        <x:v>63.791666666667</x:v>
      </x:c>
      <x:c r="N62" s="30" t="n">
        <x:f>IF(ISNUMBER(M62),COUNTIFS($M$6:$M$151,"&gt;"&amp;M62)+(COUNTIFS($M$6:$M$151,M62)+1)/2,"NA")</x:f>
        <x:v>95</x:v>
      </x:c>
      <x:c r="O62" s="30" t="n">
        <x:f>IF(COUNT('总览与权重'!$H$14:$K$14)=4,ROUND(100*SUMPRODUCT(E62:H62,'总览与权重'!$H$14:$K$14),12),"NA")</x:f>
        <x:v>73.083848665953</x:v>
      </x:c>
      <x:c r="P62" s="30" t="n">
        <x:f>IF(ISNUMBER(O62),COUNTIFS($O$6:$O$151,"&gt;"&amp;O62)+(COUNTIFS($O$6:$O$151,O62)+1)/2,"NA")</x:f>
        <x:v>22</x:v>
      </x:c>
      <x:c r="Q62" s="30" t="n">
        <x:f>IF(COUNT('总览与权重'!$H$15:$K$15)=4,ROUND(100*SUMPRODUCT(E62:H62,'总览与权重'!$H$15:$K$15),12),"NA")</x:f>
        <x:v>62.331877032806</x:v>
      </x:c>
      <x:c r="R62" s="30" t="n">
        <x:f>IF(ISNUMBER(Q62),COUNTIFS($Q$6:$Q$151,"&gt;"&amp;Q62)+(COUNTIFS($Q$6:$Q$151,Q62)+1)/2,"NA")</x:f>
        <x:v>103</x:v>
      </x:c>
      <x:c r="S62" s="31" t="n">
        <x:f>IF(OR(B62="s3",B62="s6"),COUNTIFS($B$6:$B$151,B62,$I$6:$I$151,"&gt;"&amp;I62)+(COUNTIFS($B$6:$B$151,B62,$I$6:$I$151,I62)+1)/2,"NA")</x:f>
        <x:v>3</x:v>
      </x:c>
      <x:c r="T62" s="26" t="str">
        <x:f>IF(COUNTIFS($I$6:$I$151,"&gt;"&amp;I62)&gt;=30,"非前20%",IF(COUNTIFS($I$6:$I$151,"&gt;="&amp;I62)&gt;=30,"边界同分","严格前20%"))</x:f>
        <x:v>非前20%</x:v>
      </x:c>
      <x:c r="U62" s="26" t="str">
        <x:f>IF(COUNTIFS($I$6:$I$151,"&lt;"&amp;I62)&gt;=30,"非后20%",IF(COUNTIFS($I$6:$I$151,"&lt;="&amp;I62)&gt;=30,"边界同分","严格后20%"))</x:f>
        <x:v>非后20%</x:v>
      </x:c>
      <x:c r="V62" s="22" t="n">
        <x:f>'指标计算'!P19</x:f>
        <x:v>0.5296000000000001</x:v>
      </x:c>
      <x:c r="W62" s="22" t="n">
        <x:f>'指标计算'!Q19</x:f>
        <x:v>0.662</x:v>
      </x:c>
      <x:c r="X62" s="22" t="str">
        <x:v>["S0041"]</x:v>
      </x:c>
      <x:c r="Y62" s="22" t="str">
        <x:v>evidence/student_evidence.jsonl；student_key=2025秋:258524</x:v>
      </x:c>
      <x:c r="Z62" s="26" t="n">
        <x:f>IF(OR(B62="s3",B62="s6"),COUNTIFS($B$6:$B$151,B62,$K$6:$K$151,"&gt;"&amp;K62)+(COUNTIFS($B$6:$B$151,B62,$K$6:$K$151,K62)+1)/2,"NA")</x:f>
        <x:v>3</x:v>
      </x:c>
      <x:c r="AA62" s="26" t="n">
        <x:f>IF(OR(B62="s3",B62="s6"),COUNTIFS($B$6:$B$151,B62,$M$6:$M$151,"&gt;"&amp;M62)+(COUNTIFS($B$6:$B$151,B62,$M$6:$M$151,M62)+1)/2,"NA")</x:f>
        <x:v>4</x:v>
      </x:c>
      <x:c r="AB62" s="26" t="n">
        <x:f>IF(OR(B62="s3",B62="s6"),COUNTIFS($B$6:$B$151,B62,$O$6:$O$151,"&gt;"&amp;O62)+(COUNTIFS($B$6:$B$151,B62,$O$6:$O$151,O62)+1)/2,"NA")</x:f>
        <x:v>3</x:v>
      </x:c>
      <x:c r="AC62" s="26" t="n">
        <x:f>IF(OR(B62="s3",B62="s6"),COUNTIFS($B$6:$B$151,B62,$Q$6:$Q$151,"&gt;"&amp;Q62)+(COUNTIFS($B$6:$B$151,B62,$Q$6:$Q$151,Q62)+1)/2,"NA")</x:f>
        <x:v>4</x:v>
      </x:c>
      <x:c r="AD62" s="25" t="n">
        <x:v>60.751999999999995</x:v>
      </x:c>
      <x:c r="AE62" s="25" t="n">
        <x:v>69</x:v>
      </x:c>
      <x:c r="AF62" s="25" t="n">
        <x:v>3</x:v>
      </x:c>
      <x:c r="AG62" s="25" t="n">
        <x:v>12</x:v>
      </x:c>
    </x:row>
    <x:row r="63" ht="23" customHeight="1">
      <x:c r="A63" s="21" t="str">
        <x:v>2025秋:258911</x:v>
      </x:c>
      <x:c r="B63" s="22" t="str">
        <x:v>s3</x:v>
      </x:c>
      <x:c r="C63" s="24" t="n">
        <x:v>1</x:v>
      </x:c>
      <x:c r="D63" s="24" t="n">
        <x:v>1</x:v>
      </x:c>
      <x:c r="E63" s="29" t="n">
        <x:f>'指标计算'!S38</x:f>
        <x:v>0.4978471260758032</x:v>
      </x:c>
      <x:c r="F63" s="29" t="n">
        <x:f>'指标计算'!T38</x:f>
        <x:v>0.4677068911370483</x:v>
      </x:c>
      <x:c r="G63" s="29" t="n">
        <x:f>'指标计算'!U38</x:f>
        <x:v>0.4677068911370483</x:v>
      </x:c>
      <x:c r="H63" s="29" t="n">
        <x:f>'指标计算'!V38</x:f>
        <x:v>1</x:v>
      </x:c>
      <x:c r="I63" s="30" t="n">
        <x:f>IF(COUNT('总览与权重'!$H$11:$K$11)=4,ROUND(100*SUMPRODUCT(E63:H63,'总览与权重'!$H$11:$K$11),12),"NA")</x:f>
        <x:v>63.643689427756</x:v>
      </x:c>
      <x:c r="J63" s="30" t="n">
        <x:f>IF(ISNUMBER(I63),COUNTIFS($I$6:$I$151,"&gt;"&amp;I63)+(COUNTIFS($I$6:$I$151,I63)+1)/2,"NA")</x:f>
        <x:v>58.5</x:v>
      </x:c>
      <x:c r="K63" s="30" t="n">
        <x:f>IF(COUNT('总览与权重'!$H$12:$K$12)=4,ROUND(100*SUMPRODUCT(E63:H63,'总览与权重'!$H$12:$K$12),12),"NA")</x:f>
        <x:v>58.019355989739</x:v>
      </x:c>
      <x:c r="L63" s="30" t="n">
        <x:f>IF(ISNUMBER(K63),COUNTIFS($K$6:$K$151,"&gt;"&amp;K63)+(COUNTIFS($K$6:$K$151,K63)+1)/2,"NA")</x:f>
        <x:v>69.5</x:v>
      </x:c>
      <x:c r="M63" s="30" t="n">
        <x:f>IF(COUNT('总览与权重'!$H$13:$K$13)=4,ROUND(100*SUMPRODUCT(E63:H63,'总览与权重'!$H$13:$K$13),12),"NA")</x:f>
        <x:v>66.154453797377</x:v>
      </x:c>
      <x:c r="N63" s="30" t="n">
        <x:f>IF(ISNUMBER(M63),COUNTIFS($M$6:$M$151,"&gt;"&amp;M63)+(COUNTIFS($M$6:$M$151,M63)+1)/2,"NA")</x:f>
        <x:v>57.5</x:v>
      </x:c>
      <x:c r="O63" s="30" t="n">
        <x:f>IF(COUNT('总览与权重'!$H$14:$K$14)=4,ROUND(100*SUMPRODUCT(E63:H63,'总览与权重'!$H$14:$K$14),12),"NA")</x:f>
        <x:v>62.747887498654</x:v>
      </x:c>
      <x:c r="P63" s="30" t="n">
        <x:f>IF(ISNUMBER(O63),COUNTIFS($O$6:$O$151,"&gt;"&amp;O63)+(COUNTIFS($O$6:$O$151,O63)+1)/2,"NA")</x:f>
        <x:v>65.5</x:v>
      </x:c>
      <x:c r="Q63" s="30" t="n">
        <x:f>IF(COUNT('总览与权重'!$H$15:$K$15)=4,ROUND(100*SUMPRODUCT(E63:H63,'总览与权重'!$H$15:$K$15),12),"NA")</x:f>
        <x:v>80.099138699674</x:v>
      </x:c>
      <x:c r="R63" s="30" t="n">
        <x:f>IF(ISNUMBER(Q63),COUNTIFS($Q$6:$Q$151,"&gt;"&amp;Q63)+(COUNTIFS($Q$6:$Q$151,Q63)+1)/2,"NA")</x:f>
        <x:v>55.5</x:v>
      </x:c>
      <x:c r="S63" s="31" t="n">
        <x:f>IF(OR(B63="s3",B63="s6"),COUNTIFS($B$6:$B$151,B63,$I$6:$I$151,"&gt;"&amp;I63)+(COUNTIFS($B$6:$B$151,B63,$I$6:$I$151,I63)+1)/2,"NA")</x:f>
        <x:v>55.5</x:v>
      </x:c>
      <x:c r="T63" s="26" t="str">
        <x:f>IF(COUNTIFS($I$6:$I$151,"&gt;"&amp;I63)&gt;=30,"非前20%",IF(COUNTIFS($I$6:$I$151,"&gt;="&amp;I63)&gt;=30,"边界同分","严格前20%"))</x:f>
        <x:v>非前20%</x:v>
      </x:c>
      <x:c r="U63" s="26" t="str">
        <x:f>IF(COUNTIFS($I$6:$I$151,"&lt;"&amp;I63)&gt;=30,"非后20%",IF(COUNTIFS($I$6:$I$151,"&lt;="&amp;I63)&gt;=30,"边界同分","严格后20%"))</x:f>
        <x:v>非后20%</x:v>
      </x:c>
      <x:c r="V63" s="22" t="n">
        <x:f>'指标计算'!P38</x:f>
        <x:v>-0.05166897418072275</x:v>
      </x:c>
      <x:c r="W63" s="22" t="n">
        <x:f>'指标计算'!Q38</x:f>
        <x:v>-0.06458621772590344</x:v>
      </x:c>
      <x:c r="X63" s="22" t="str">
        <x:v>["S0400"]</x:v>
      </x:c>
      <x:c r="Y63" s="22" t="str">
        <x:v>evidence/student_evidence.jsonl；student_key=2025秋:258911</x:v>
      </x:c>
      <x:c r="Z63" s="26" t="n">
        <x:f>IF(OR(B63="s3",B63="s6"),COUNTIFS($B$6:$B$151,B63,$K$6:$K$151,"&gt;"&amp;K63)+(COUNTIFS($B$6:$B$151,B63,$K$6:$K$151,K63)+1)/2,"NA")</x:f>
        <x:v>66.5</x:v>
      </x:c>
      <x:c r="AA63" s="26" t="n">
        <x:f>IF(OR(B63="s3",B63="s6"),COUNTIFS($B$6:$B$151,B63,$M$6:$M$151,"&gt;"&amp;M63)+(COUNTIFS($B$6:$B$151,B63,$M$6:$M$151,M63)+1)/2,"NA")</x:f>
        <x:v>55.5</x:v>
      </x:c>
      <x:c r="AB63" s="26" t="n">
        <x:f>IF(OR(B63="s3",B63="s6"),COUNTIFS($B$6:$B$151,B63,$O$6:$O$151,"&gt;"&amp;O63)+(COUNTIFS($B$6:$B$151,B63,$O$6:$O$151,O63)+1)/2,"NA")</x:f>
        <x:v>62.5</x:v>
      </x:c>
      <x:c r="AC63" s="26" t="n">
        <x:f>IF(OR(B63="s3",B63="s6"),COUNTIFS($B$6:$B$151,B63,$Q$6:$Q$151,"&gt;"&amp;Q63)+(COUNTIFS($B$6:$B$151,B63,$Q$6:$Q$151,Q63)+1)/2,"NA")</x:f>
        <x:v>54.5</x:v>
      </x:c>
      <x:c r="AD63" s="25" t="n">
        <x:v>62.169438805751696</x:v>
      </x:c>
      <x:c r="AE63" s="25" t="n">
        <x:v>48.5</x:v>
      </x:c>
      <x:c r="AF63" s="25" t="n">
        <x:v>46.5</x:v>
      </x:c>
      <x:c r="AG63" s="25" t="n">
        <x:v>-10</x:v>
      </x:c>
    </x:row>
    <x:row r="64" ht="23" customHeight="1">
      <x:c r="A64" s="21" t="str">
        <x:v>2026春:268219</x:v>
      </x:c>
      <x:c r="B64" s="22" t="str">
        <x:v>s3</x:v>
      </x:c>
      <x:c r="C64" s="24" t="n">
        <x:v>1</x:v>
      </x:c>
      <x:c r="D64" s="24" t="n">
        <x:v>1</x:v>
      </x:c>
      <x:c r="E64" s="29" t="n">
        <x:f>'指标计算'!S170</x:f>
        <x:v>0.4978471260758032</x:v>
      </x:c>
      <x:c r="F64" s="29" t="n">
        <x:f>'指标计算'!T170</x:f>
        <x:v>0.4677068911370483</x:v>
      </x:c>
      <x:c r="G64" s="29" t="n">
        <x:f>'指标计算'!U170</x:f>
        <x:v>0.4677068911370483</x:v>
      </x:c>
      <x:c r="H64" s="29" t="n">
        <x:f>'指标计算'!V170</x:f>
        <x:v>1</x:v>
      </x:c>
      <x:c r="I64" s="30" t="n">
        <x:f>IF(COUNT('总览与权重'!$H$11:$K$11)=4,ROUND(100*SUMPRODUCT(E64:H64,'总览与权重'!$H$11:$K$11),12),"NA")</x:f>
        <x:v>63.643689427756</x:v>
      </x:c>
      <x:c r="J64" s="30" t="n">
        <x:f>IF(ISNUMBER(I64),COUNTIFS($I$6:$I$151,"&gt;"&amp;I64)+(COUNTIFS($I$6:$I$151,I64)+1)/2,"NA")</x:f>
        <x:v>58.5</x:v>
      </x:c>
      <x:c r="K64" s="30" t="n">
        <x:f>IF(COUNT('总览与权重'!$H$12:$K$12)=4,ROUND(100*SUMPRODUCT(E64:H64,'总览与权重'!$H$12:$K$12),12),"NA")</x:f>
        <x:v>58.019355989739</x:v>
      </x:c>
      <x:c r="L64" s="30" t="n">
        <x:f>IF(ISNUMBER(K64),COUNTIFS($K$6:$K$151,"&gt;"&amp;K64)+(COUNTIFS($K$6:$K$151,K64)+1)/2,"NA")</x:f>
        <x:v>69.5</x:v>
      </x:c>
      <x:c r="M64" s="30" t="n">
        <x:f>IF(COUNT('总览与权重'!$H$13:$K$13)=4,ROUND(100*SUMPRODUCT(E64:H64,'总览与权重'!$H$13:$K$13),12),"NA")</x:f>
        <x:v>66.154453797377</x:v>
      </x:c>
      <x:c r="N64" s="30" t="n">
        <x:f>IF(ISNUMBER(M64),COUNTIFS($M$6:$M$151,"&gt;"&amp;M64)+(COUNTIFS($M$6:$M$151,M64)+1)/2,"NA")</x:f>
        <x:v>57.5</x:v>
      </x:c>
      <x:c r="O64" s="30" t="n">
        <x:f>IF(COUNT('总览与权重'!$H$14:$K$14)=4,ROUND(100*SUMPRODUCT(E64:H64,'总览与权重'!$H$14:$K$14),12),"NA")</x:f>
        <x:v>62.747887498654</x:v>
      </x:c>
      <x:c r="P64" s="30" t="n">
        <x:f>IF(ISNUMBER(O64),COUNTIFS($O$6:$O$151,"&gt;"&amp;O64)+(COUNTIFS($O$6:$O$151,O64)+1)/2,"NA")</x:f>
        <x:v>65.5</x:v>
      </x:c>
      <x:c r="Q64" s="30" t="n">
        <x:f>IF(COUNT('总览与权重'!$H$15:$K$15)=4,ROUND(100*SUMPRODUCT(E64:H64,'总览与权重'!$H$15:$K$15),12),"NA")</x:f>
        <x:v>80.099138699674</x:v>
      </x:c>
      <x:c r="R64" s="30" t="n">
        <x:f>IF(ISNUMBER(Q64),COUNTIFS($Q$6:$Q$151,"&gt;"&amp;Q64)+(COUNTIFS($Q$6:$Q$151,Q64)+1)/2,"NA")</x:f>
        <x:v>55.5</x:v>
      </x:c>
      <x:c r="S64" s="31" t="n">
        <x:f>IF(OR(B64="s3",B64="s6"),COUNTIFS($B$6:$B$151,B64,$I$6:$I$151,"&gt;"&amp;I64)+(COUNTIFS($B$6:$B$151,B64,$I$6:$I$151,I64)+1)/2,"NA")</x:f>
        <x:v>55.5</x:v>
      </x:c>
      <x:c r="T64" s="26" t="str">
        <x:f>IF(COUNTIFS($I$6:$I$151,"&gt;"&amp;I64)&gt;=30,"非前20%",IF(COUNTIFS($I$6:$I$151,"&gt;="&amp;I64)&gt;=30,"边界同分","严格前20%"))</x:f>
        <x:v>非前20%</x:v>
      </x:c>
      <x:c r="U64" s="26" t="str">
        <x:f>IF(COUNTIFS($I$6:$I$151,"&lt;"&amp;I64)&gt;=30,"非后20%",IF(COUNTIFS($I$6:$I$151,"&lt;="&amp;I64)&gt;=30,"边界同分","严格后20%"))</x:f>
        <x:v>非后20%</x:v>
      </x:c>
      <x:c r="V64" s="22" t="n">
        <x:f>'指标计算'!P170</x:f>
        <x:v>-0.05166897418072275</x:v>
      </x:c>
      <x:c r="W64" s="22" t="n">
        <x:f>'指标计算'!Q170</x:f>
        <x:v>-0.06458621772590344</x:v>
      </x:c>
      <x:c r="X64" s="22" t="str">
        <x:v>["S1094"]</x:v>
      </x:c>
      <x:c r="Y64" s="22" t="str">
        <x:v>evidence/student_evidence.jsonl；student_key=2026春:268219</x:v>
      </x:c>
      <x:c r="Z64" s="26" t="n">
        <x:f>IF(OR(B64="s3",B64="s6"),COUNTIFS($B$6:$B$151,B64,$K$6:$K$151,"&gt;"&amp;K64)+(COUNTIFS($B$6:$B$151,B64,$K$6:$K$151,K64)+1)/2,"NA")</x:f>
        <x:v>66.5</x:v>
      </x:c>
      <x:c r="AA64" s="26" t="n">
        <x:f>IF(OR(B64="s3",B64="s6"),COUNTIFS($B$6:$B$151,B64,$M$6:$M$151,"&gt;"&amp;M64)+(COUNTIFS($B$6:$B$151,B64,$M$6:$M$151,M64)+1)/2,"NA")</x:f>
        <x:v>55.5</x:v>
      </x:c>
      <x:c r="AB64" s="26" t="n">
        <x:f>IF(OR(B64="s3",B64="s6"),COUNTIFS($B$6:$B$151,B64,$O$6:$O$151,"&gt;"&amp;O64)+(COUNTIFS($B$6:$B$151,B64,$O$6:$O$151,O64)+1)/2,"NA")</x:f>
        <x:v>62.5</x:v>
      </x:c>
      <x:c r="AC64" s="26" t="n">
        <x:f>IF(OR(B64="s3",B64="s6"),COUNTIFS($B$6:$B$151,B64,$Q$6:$Q$151,"&gt;"&amp;Q64)+(COUNTIFS($B$6:$B$151,B64,$Q$6:$Q$151,Q64)+1)/2,"NA")</x:f>
        <x:v>54.5</x:v>
      </x:c>
      <x:c r="AD64" s="25" t="n">
        <x:v>62.169438805751696</x:v>
      </x:c>
      <x:c r="AE64" s="25" t="n">
        <x:v>48.5</x:v>
      </x:c>
      <x:c r="AF64" s="25" t="n">
        <x:v>46.5</x:v>
      </x:c>
      <x:c r="AG64" s="25" t="n">
        <x:v>-10</x:v>
      </x:c>
    </x:row>
    <x:row r="65" ht="23" customHeight="1">
      <x:c r="A65" s="21" t="str">
        <x:v>2025秋:259316</x:v>
      </x:c>
      <x:c r="B65" s="22" t="str">
        <x:v>s3</x:v>
      </x:c>
      <x:c r="C65" s="24" t="n">
        <x:v>2</x:v>
      </x:c>
      <x:c r="D65" s="24" t="n">
        <x:v>2</x:v>
      </x:c>
      <x:c r="E65" s="29" t="n">
        <x:f>'指标计算'!S81</x:f>
        <x:v>0.49467760515175546</x:v>
      </x:c>
      <x:c r="F65" s="29" t="n">
        <x:f>'指标计算'!T81</x:f>
        <x:v>0.4600820386381659</x:v>
      </x:c>
      <x:c r="G65" s="29" t="n">
        <x:f>'指标计算'!U81</x:f>
        <x:v>0.4677068911370483</x:v>
      </x:c>
      <x:c r="H65" s="29" t="n">
        <x:f>'指标计算'!V81</x:f>
        <x:v>1</x:v>
      </x:c>
      <x:c r="I65" s="30" t="n">
        <x:f>IF(COUNT('总览与权重'!$H$11:$K$11)=4,ROUND(100*SUMPRODUCT(E65:H65,'总览与权重'!$H$11:$K$11),12),"NA")</x:f>
        <x:v>63.357982487563</x:v>
      </x:c>
      <x:c r="J65" s="30" t="n">
        <x:f>IF(ISNUMBER(I65),COUNTIFS($I$6:$I$151,"&gt;"&amp;I65)+(COUNTIFS($I$6:$I$151,I65)+1)/2,"NA")</x:f>
        <x:v>60</x:v>
      </x:c>
      <x:c r="K65" s="30" t="n">
        <x:f>IF(COUNT('总览与权重'!$H$12:$K$12)=4,ROUND(100*SUMPRODUCT(E65:H65,'总览与权重'!$H$12:$K$12),12),"NA")</x:f>
        <x:v>57.80346852128</x:v>
      </x:c>
      <x:c r="L65" s="30" t="n">
        <x:f>IF(ISNUMBER(K65),COUNTIFS($K$6:$K$151,"&gt;"&amp;K65)+(COUNTIFS($K$6:$K$151,K65)+1)/2,"NA")</x:f>
        <x:v>71</x:v>
      </x:c>
      <x:c r="M65" s="30" t="n">
        <x:f>IF(COUNT('总览与权重'!$H$13:$K$13)=4,ROUND(100*SUMPRODUCT(E65:H65,'总览与权重'!$H$13:$K$13),12),"NA")</x:f>
        <x:v>65.846470199309</x:v>
      </x:c>
      <x:c r="N65" s="30" t="n">
        <x:f>IF(ISNUMBER(M65),COUNTIFS($M$6:$M$151,"&gt;"&amp;M65)+(COUNTIFS($M$6:$M$151,M65)+1)/2,"NA")</x:f>
        <x:v>59</x:v>
      </x:c>
      <x:c r="O65" s="30" t="n">
        <x:f>IF(COUNT('总览与权重'!$H$14:$K$14)=4,ROUND(100*SUMPRODUCT(E65:H65,'总览与权重'!$H$14:$K$14),12),"NA")</x:f>
        <x:v>62.482373949318</x:v>
      </x:c>
      <x:c r="P65" s="30" t="n">
        <x:f>IF(ISNUMBER(O65),COUNTIFS($O$6:$O$151,"&gt;"&amp;O65)+(COUNTIFS($O$6:$O$151,O65)+1)/2,"NA")</x:f>
        <x:v>67</x:v>
      </x:c>
      <x:c r="Q65" s="30" t="n">
        <x:f>IF(COUNT('总览与权重'!$H$15:$K$15)=4,ROUND(100*SUMPRODUCT(E65:H65,'总览与权重'!$H$15:$K$15),12),"NA")</x:f>
        <x:v>79.957295782215</x:v>
      </x:c>
      <x:c r="R65" s="30" t="n">
        <x:f>IF(ISNUMBER(Q65),COUNTIFS($Q$6:$Q$151,"&gt;"&amp;Q65)+(COUNTIFS($Q$6:$Q$151,Q65)+1)/2,"NA")</x:f>
        <x:v>57</x:v>
      </x:c>
      <x:c r="S65" s="31" t="n">
        <x:f>IF(OR(B65="s3",B65="s6"),COUNTIFS($B$6:$B$151,B65,$I$6:$I$151,"&gt;"&amp;I65)+(COUNTIFS($B$6:$B$151,B65,$I$6:$I$151,I65)+1)/2,"NA")</x:f>
        <x:v>57</x:v>
      </x:c>
      <x:c r="T65" s="26" t="str">
        <x:f>IF(COUNTIFS($I$6:$I$151,"&gt;"&amp;I65)&gt;=30,"非前20%",IF(COUNTIFS($I$6:$I$151,"&gt;="&amp;I65)&gt;=30,"边界同分","严格前20%"))</x:f>
        <x:v>非前20%</x:v>
      </x:c>
      <x:c r="U65" s="26" t="str">
        <x:f>IF(COUNTIFS($I$6:$I$151,"&lt;"&amp;I65)&gt;=30,"非后20%",IF(COUNTIFS($I$6:$I$151,"&lt;="&amp;I65)&gt;=30,"边界同分","严格后20%"))</x:f>
        <x:v>非后20%</x:v>
      </x:c>
      <x:c r="V65" s="22" t="n">
        <x:f>'指标计算'!P81</x:f>
        <x:v>-0.12773747635786925</x:v>
      </x:c>
      <x:c r="W65" s="22" t="n">
        <x:f>'指标计算'!Q81</x:f>
        <x:v>-0.07983592272366828</x:v>
      </x:c>
      <x:c r="X65" s="22" t="str">
        <x:v>["S0062","S0121"]</x:v>
      </x:c>
      <x:c r="Y65" s="22" t="str">
        <x:v>evidence/student_evidence.jsonl；student_key=2025秋:259316</x:v>
      </x:c>
      <x:c r="Z65" s="26" t="n">
        <x:f>IF(OR(B65="s3",B65="s6"),COUNTIFS($B$6:$B$151,B65,$K$6:$K$151,"&gt;"&amp;K65)+(COUNTIFS($B$6:$B$151,B65,$K$6:$K$151,K65)+1)/2,"NA")</x:f>
        <x:v>68</x:v>
      </x:c>
      <x:c r="AA65" s="26" t="n">
        <x:f>IF(OR(B65="s3",B65="s6"),COUNTIFS($B$6:$B$151,B65,$M$6:$M$151,"&gt;"&amp;M65)+(COUNTIFS($B$6:$B$151,B65,$M$6:$M$151,M65)+1)/2,"NA")</x:f>
        <x:v>57</x:v>
      </x:c>
      <x:c r="AB65" s="26" t="n">
        <x:f>IF(OR(B65="s3",B65="s6"),COUNTIFS($B$6:$B$151,B65,$O$6:$O$151,"&gt;"&amp;O65)+(COUNTIFS($B$6:$B$151,B65,$O$6:$O$151,O65)+1)/2,"NA")</x:f>
        <x:v>64</x:v>
      </x:c>
      <x:c r="AC65" s="26" t="n">
        <x:f>IF(OR(B65="s3",B65="s6"),COUNTIFS($B$6:$B$151,B65,$Q$6:$Q$151,"&gt;"&amp;Q65)+(COUNTIFS($B$6:$B$151,B65,$Q$6:$Q$151,Q65)+1)/2,"NA")</x:f>
        <x:v>56</x:v>
      </x:c>
      <x:c r="AD65" s="25" t="n">
        <x:v>61.57318084360877</x:v>
      </x:c>
      <x:c r="AE65" s="25" t="n">
        <x:v>52</x:v>
      </x:c>
      <x:c r="AF65" s="25" t="n">
        <x:v>50</x:v>
      </x:c>
      <x:c r="AG65" s="25" t="n">
        <x:v>-8</x:v>
      </x:c>
    </x:row>
    <x:row r="66" ht="23" customHeight="1">
      <x:c r="A66" s="21" t="str">
        <x:v>2025秋:258880</x:v>
      </x:c>
      <x:c r="B66" s="22" t="str">
        <x:v>s3</x:v>
      </x:c>
      <x:c r="C66" s="24" t="n">
        <x:v>1</x:v>
      </x:c>
      <x:c r="D66" s="24" t="n">
        <x:v>1</x:v>
      </x:c>
      <x:c r="E66" s="29" t="n">
        <x:f>'指标计算'!S28</x:f>
        <x:v>0.4969489243326847</x:v>
      </x:c>
      <x:c r="F66" s="29" t="n">
        <x:f>'指标计算'!T28</x:f>
        <x:v>0.4542338649902701</x:v>
      </x:c>
      <x:c r="G66" s="29" t="n">
        <x:f>'指标计算'!U28</x:f>
        <x:v>0.4542338649902701</x:v>
      </x:c>
      <x:c r="H66" s="29" t="n">
        <x:f>'指标计算'!V28</x:f>
        <x:v>1</x:v>
      </x:c>
      <x:c r="I66" s="30" t="n">
        <x:f>IF(COUNT('总览与权重'!$H$11:$K$11)=4,ROUND(100*SUMPRODUCT(E66:H66,'总览与权重'!$H$11:$K$11),12),"NA")</x:f>
        <x:v>63.077822329591</x:v>
      </x:c>
      <x:c r="J66" s="30" t="n">
        <x:f>IF(ISNUMBER(I66),COUNTIFS($I$6:$I$151,"&gt;"&amp;I66)+(COUNTIFS($I$6:$I$151,I66)+1)/2,"NA")</x:f>
        <x:v>61.5</x:v>
      </x:c>
      <x:c r="K66" s="30" t="n">
        <x:f>IF(COUNT('总览与权重'!$H$12:$K$12)=4,ROUND(100*SUMPRODUCT(E66:H66,'总览与权重'!$H$12:$K$12),12),"NA")</x:f>
        <x:v>57.00000000000</x:v>
      </x:c>
      <x:c r="L66" s="30" t="n">
        <x:f>IF(ISNUMBER(K66),COUNTIFS($K$6:$K$151,"&gt;"&amp;K66)+(COUNTIFS($K$6:$K$151,K66)+1)/2,"NA")</x:f>
        <x:v>75.5</x:v>
      </x:c>
      <x:c r="M66" s="30" t="n">
        <x:f>IF(COUNT('总览与权重'!$H$13:$K$13)=4,ROUND(100*SUMPRODUCT(E66:H66,'总览与权重'!$H$13:$K$13),12),"NA")</x:f>
        <x:v>65.593077707928</x:v>
      </x:c>
      <x:c r="N66" s="30" t="n">
        <x:f>IF(ISNUMBER(M66),COUNTIFS($M$6:$M$151,"&gt;"&amp;M66)+(COUNTIFS($M$6:$M$151,M66)+1)/2,"NA")</x:f>
        <x:v>60.5</x:v>
      </x:c>
      <x:c r="O66" s="30" t="n">
        <x:f>IF(COUNT('总览与权重'!$H$14:$K$14)=4,ROUND(100*SUMPRODUCT(E66:H66,'总览与权重'!$H$14:$K$14),12),"NA")</x:f>
        <x:v>61.808282372839</x:v>
      </x:c>
      <x:c r="P66" s="30" t="n">
        <x:f>IF(ISNUMBER(O66),COUNTIFS($O$6:$O$151,"&gt;"&amp;O66)+(COUNTIFS($O$6:$O$151,O66)+1)/2,"NA")</x:f>
        <x:v>68.5</x:v>
      </x:c>
      <x:c r="Q66" s="30" t="n">
        <x:f>IF(COUNT('总览与权重'!$H$15:$K$15)=4,ROUND(100*SUMPRODUCT(E66:H66,'总览与权重'!$H$15:$K$15),12),"NA")</x:f>
        <x:v>79.597181896949</x:v>
      </x:c>
      <x:c r="R66" s="30" t="n">
        <x:f>IF(ISNUMBER(Q66),COUNTIFS($Q$6:$Q$151,"&gt;"&amp;Q66)+(COUNTIFS($Q$6:$Q$151,Q66)+1)/2,"NA")</x:f>
        <x:v>58.5</x:v>
      </x:c>
      <x:c r="S66" s="31" t="n">
        <x:f>IF(OR(B66="s3",B66="s6"),COUNTIFS($B$6:$B$151,B66,$I$6:$I$151,"&gt;"&amp;I66)+(COUNTIFS($B$6:$B$151,B66,$I$6:$I$151,I66)+1)/2,"NA")</x:f>
        <x:v>58.5</x:v>
      </x:c>
      <x:c r="T66" s="26" t="str">
        <x:f>IF(COUNTIFS($I$6:$I$151,"&gt;"&amp;I66)&gt;=30,"非前20%",IF(COUNTIFS($I$6:$I$151,"&gt;="&amp;I66)&gt;=30,"边界同分","严格前20%"))</x:f>
        <x:v>非前20%</x:v>
      </x:c>
      <x:c r="U66" s="26" t="str">
        <x:f>IF(COUNTIFS($I$6:$I$151,"&lt;"&amp;I66)&gt;=30,"非后20%",IF(COUNTIFS($I$6:$I$151,"&lt;="&amp;I66)&gt;=30,"边界同分","严格后20%"))</x:f>
        <x:v>非后20%</x:v>
      </x:c>
      <x:c r="V66" s="22" t="n">
        <x:f>'指标计算'!P28</x:f>
        <x:v>-0.07322581601556787</x:v>
      </x:c>
      <x:c r="W66" s="22" t="n">
        <x:f>'指标计算'!Q28</x:f>
        <x:v>-0.09153227001945982</x:v>
      </x:c>
      <x:c r="X66" s="22" t="str">
        <x:v>["S0063"]</x:v>
      </x:c>
      <x:c r="Y66" s="22" t="str">
        <x:v>evidence/student_evidence.jsonl；student_key=2025秋:258880</x:v>
      </x:c>
      <x:c r="Z66" s="26" t="n">
        <x:f>IF(OR(B66="s3",B66="s6"),COUNTIFS($B$6:$B$151,B66,$K$6:$K$151,"&gt;"&amp;K66)+(COUNTIFS($B$6:$B$151,B66,$K$6:$K$151,K66)+1)/2,"NA")</x:f>
        <x:v>71.5</x:v>
      </x:c>
      <x:c r="AA66" s="26" t="n">
        <x:f>IF(OR(B66="s3",B66="s6"),COUNTIFS($B$6:$B$151,B66,$M$6:$M$151,"&gt;"&amp;M66)+(COUNTIFS($B$6:$B$151,B66,$M$6:$M$151,M66)+1)/2,"NA")</x:f>
        <x:v>58.5</x:v>
      </x:c>
      <x:c r="AB66" s="26" t="n">
        <x:f>IF(OR(B66="s3",B66="s6"),COUNTIFS($B$6:$B$151,B66,$O$6:$O$151,"&gt;"&amp;O66)+(COUNTIFS($B$6:$B$151,B66,$O$6:$O$151,O66)+1)/2,"NA")</x:f>
        <x:v>65.5</x:v>
      </x:c>
      <x:c r="AC66" s="26" t="n">
        <x:f>IF(OR(B66="s3",B66="s6"),COUNTIFS($B$6:$B$151,B66,$Q$6:$Q$151,"&gt;"&amp;Q66)+(COUNTIFS($B$6:$B$151,B66,$Q$6:$Q$151,Q66)+1)/2,"NA")</x:f>
        <x:v>57.5</x:v>
      </x:c>
      <x:c r="AD66" s="25" t="n">
        <x:v>60.988498774799325</x:v>
      </x:c>
      <x:c r="AE66" s="25" t="n">
        <x:v>60.5</x:v>
      </x:c>
      <x:c r="AF66" s="25" t="n">
        <x:v>58.5</x:v>
      </x:c>
      <x:c r="AG66" s="25" t="n">
        <x:v>-1</x:v>
      </x:c>
    </x:row>
    <x:row r="67" ht="23" customHeight="1">
      <x:c r="A67" s="21" t="str">
        <x:v>2025秋:258953</x:v>
      </x:c>
      <x:c r="B67" s="22" t="str">
        <x:v>s3</x:v>
      </x:c>
      <x:c r="C67" s="24" t="n">
        <x:v>1</x:v>
      </x:c>
      <x:c r="D67" s="24" t="n">
        <x:v>1</x:v>
      </x:c>
      <x:c r="E67" s="29" t="n">
        <x:f>'指标计算'!S53</x:f>
        <x:v>0.4969489243326847</x:v>
      </x:c>
      <x:c r="F67" s="29" t="n">
        <x:f>'指标计算'!T53</x:f>
        <x:v>0.4542338649902701</x:v>
      </x:c>
      <x:c r="G67" s="29" t="n">
        <x:f>'指标计算'!U53</x:f>
        <x:v>0.4542338649902701</x:v>
      </x:c>
      <x:c r="H67" s="29" t="n">
        <x:f>'指标计算'!V53</x:f>
        <x:v>1</x:v>
      </x:c>
      <x:c r="I67" s="30" t="n">
        <x:f>IF(COUNT('总览与权重'!$H$11:$K$11)=4,ROUND(100*SUMPRODUCT(E67:H67,'总览与权重'!$H$11:$K$11),12),"NA")</x:f>
        <x:v>63.077822329591</x:v>
      </x:c>
      <x:c r="J67" s="30" t="n">
        <x:f>IF(ISNUMBER(I67),COUNTIFS($I$6:$I$151,"&gt;"&amp;I67)+(COUNTIFS($I$6:$I$151,I67)+1)/2,"NA")</x:f>
        <x:v>61.5</x:v>
      </x:c>
      <x:c r="K67" s="30" t="n">
        <x:f>IF(COUNT('总览与权重'!$H$12:$K$12)=4,ROUND(100*SUMPRODUCT(E67:H67,'总览与权重'!$H$12:$K$12),12),"NA")</x:f>
        <x:v>57.00000000000</x:v>
      </x:c>
      <x:c r="L67" s="30" t="n">
        <x:f>IF(ISNUMBER(K67),COUNTIFS($K$6:$K$151,"&gt;"&amp;K67)+(COUNTIFS($K$6:$K$151,K67)+1)/2,"NA")</x:f>
        <x:v>75.5</x:v>
      </x:c>
      <x:c r="M67" s="30" t="n">
        <x:f>IF(COUNT('总览与权重'!$H$13:$K$13)=4,ROUND(100*SUMPRODUCT(E67:H67,'总览与权重'!$H$13:$K$13),12),"NA")</x:f>
        <x:v>65.593077707928</x:v>
      </x:c>
      <x:c r="N67" s="30" t="n">
        <x:f>IF(ISNUMBER(M67),COUNTIFS($M$6:$M$151,"&gt;"&amp;M67)+(COUNTIFS($M$6:$M$151,M67)+1)/2,"NA")</x:f>
        <x:v>60.5</x:v>
      </x:c>
      <x:c r="O67" s="30" t="n">
        <x:f>IF(COUNT('总览与权重'!$H$14:$K$14)=4,ROUND(100*SUMPRODUCT(E67:H67,'总览与权重'!$H$14:$K$14),12),"NA")</x:f>
        <x:v>61.808282372839</x:v>
      </x:c>
      <x:c r="P67" s="30" t="n">
        <x:f>IF(ISNUMBER(O67),COUNTIFS($O$6:$O$151,"&gt;"&amp;O67)+(COUNTIFS($O$6:$O$151,O67)+1)/2,"NA")</x:f>
        <x:v>68.5</x:v>
      </x:c>
      <x:c r="Q67" s="30" t="n">
        <x:f>IF(COUNT('总览与权重'!$H$15:$K$15)=4,ROUND(100*SUMPRODUCT(E67:H67,'总览与权重'!$H$15:$K$15),12),"NA")</x:f>
        <x:v>79.597181896949</x:v>
      </x:c>
      <x:c r="R67" s="30" t="n">
        <x:f>IF(ISNUMBER(Q67),COUNTIFS($Q$6:$Q$151,"&gt;"&amp;Q67)+(COUNTIFS($Q$6:$Q$151,Q67)+1)/2,"NA")</x:f>
        <x:v>58.5</x:v>
      </x:c>
      <x:c r="S67" s="31" t="n">
        <x:f>IF(OR(B67="s3",B67="s6"),COUNTIFS($B$6:$B$151,B67,$I$6:$I$151,"&gt;"&amp;I67)+(COUNTIFS($B$6:$B$151,B67,$I$6:$I$151,I67)+1)/2,"NA")</x:f>
        <x:v>58.5</x:v>
      </x:c>
      <x:c r="T67" s="26" t="str">
        <x:f>IF(COUNTIFS($I$6:$I$151,"&gt;"&amp;I67)&gt;=30,"非前20%",IF(COUNTIFS($I$6:$I$151,"&gt;="&amp;I67)&gt;=30,"边界同分","严格前20%"))</x:f>
        <x:v>非前20%</x:v>
      </x:c>
      <x:c r="U67" s="26" t="str">
        <x:f>IF(COUNTIFS($I$6:$I$151,"&lt;"&amp;I67)&gt;=30,"非后20%",IF(COUNTIFS($I$6:$I$151,"&lt;="&amp;I67)&gt;=30,"边界同分","严格后20%"))</x:f>
        <x:v>非后20%</x:v>
      </x:c>
      <x:c r="V67" s="22" t="n">
        <x:f>'指标计算'!P53</x:f>
        <x:v>-0.07322581601556787</x:v>
      </x:c>
      <x:c r="W67" s="22" t="n">
        <x:f>'指标计算'!Q53</x:f>
        <x:v>-0.09153227001945982</x:v>
      </x:c>
      <x:c r="X67" s="22" t="str">
        <x:v>["S0015"]</x:v>
      </x:c>
      <x:c r="Y67" s="22" t="str">
        <x:v>evidence/student_evidence.jsonl；student_key=2025秋:258953</x:v>
      </x:c>
      <x:c r="Z67" s="26" t="n">
        <x:f>IF(OR(B67="s3",B67="s6"),COUNTIFS($B$6:$B$151,B67,$K$6:$K$151,"&gt;"&amp;K67)+(COUNTIFS($B$6:$B$151,B67,$K$6:$K$151,K67)+1)/2,"NA")</x:f>
        <x:v>71.5</x:v>
      </x:c>
      <x:c r="AA67" s="26" t="n">
        <x:f>IF(OR(B67="s3",B67="s6"),COUNTIFS($B$6:$B$151,B67,$M$6:$M$151,"&gt;"&amp;M67)+(COUNTIFS($B$6:$B$151,B67,$M$6:$M$151,M67)+1)/2,"NA")</x:f>
        <x:v>58.5</x:v>
      </x:c>
      <x:c r="AB67" s="26" t="n">
        <x:f>IF(OR(B67="s3",B67="s6"),COUNTIFS($B$6:$B$151,B67,$O$6:$O$151,"&gt;"&amp;O67)+(COUNTIFS($B$6:$B$151,B67,$O$6:$O$151,O67)+1)/2,"NA")</x:f>
        <x:v>65.5</x:v>
      </x:c>
      <x:c r="AC67" s="26" t="n">
        <x:f>IF(OR(B67="s3",B67="s6"),COUNTIFS($B$6:$B$151,B67,$Q$6:$Q$151,"&gt;"&amp;Q67)+(COUNTIFS($B$6:$B$151,B67,$Q$6:$Q$151,Q67)+1)/2,"NA")</x:f>
        <x:v>57.5</x:v>
      </x:c>
      <x:c r="AD67" s="25" t="n">
        <x:v>60.988498774799325</x:v>
      </x:c>
      <x:c r="AE67" s="25" t="n">
        <x:v>60.5</x:v>
      </x:c>
      <x:c r="AF67" s="25" t="n">
        <x:v>58.5</x:v>
      </x:c>
      <x:c r="AG67" s="25" t="n">
        <x:v>-1</x:v>
      </x:c>
    </x:row>
    <x:row r="68" ht="23" customHeight="1">
      <x:c r="A68" s="21" t="str">
        <x:v>2025秋:258425</x:v>
      </x:c>
      <x:c r="B68" s="22" t="str">
        <x:v>s3</x:v>
      </x:c>
      <x:c r="C68" s="24" t="n">
        <x:v>1</x:v>
      </x:c>
      <x:c r="D68" s="24" t="n">
        <x:v>1</x:v>
      </x:c>
      <x:c r="E68" s="29" t="n">
        <x:f>'指标计算'!S12</x:f>
        <x:v>0.4968675790661326</x:v>
      </x:c>
      <x:c r="F68" s="29" t="n">
        <x:f>'指标计算'!T12</x:f>
        <x:v>0.4530136859919888</x:v>
      </x:c>
      <x:c r="G68" s="29" t="n">
        <x:f>'指标计算'!U12</x:f>
        <x:v>0.4530136859919888</x:v>
      </x:c>
      <x:c r="H68" s="29" t="n">
        <x:f>'指标计算'!V12</x:f>
        <x:v>1</x:v>
      </x:c>
      <x:c r="I68" s="30" t="n">
        <x:f>IF(COUNT('总览与权重'!$H$11:$K$11)=4,ROUND(100*SUMPRODUCT(E68:H68,'总览与权重'!$H$11:$K$11),12),"NA")</x:f>
        <x:v>63.026574811664</x:v>
      </x:c>
      <x:c r="J68" s="30" t="n">
        <x:f>IF(ISNUMBER(I68),COUNTIFS($I$6:$I$151,"&gt;"&amp;I68)+(COUNTIFS($I$6:$I$151,I68)+1)/2,"NA")</x:f>
        <x:v>64</x:v>
      </x:c>
      <x:c r="K68" s="30" t="n">
        <x:f>IF(COUNT('总览与权重'!$H$12:$K$12)=4,ROUND(100*SUMPRODUCT(E68:H68,'总览与权重'!$H$12:$K$12),12),"NA")</x:f>
        <x:v>57.118172740842</x:v>
      </x:c>
      <x:c r="L68" s="30" t="n">
        <x:f>IF(ISNUMBER(K68),COUNTIFS($K$6:$K$151,"&gt;"&amp;K68)+(COUNTIFS($K$6:$K$151,K68)+1)/2,"NA")</x:f>
        <x:v>79</x:v>
      </x:c>
      <x:c r="M68" s="30" t="n">
        <x:f>IF(COUNT('总览与权重'!$H$13:$K$13)=4,ROUND(100*SUMPRODUCT(E68:H68,'总览与权重'!$H$13:$K$13),12),"NA")</x:f>
        <x:v>65.542236916333</x:v>
      </x:c>
      <x:c r="N68" s="30" t="n">
        <x:f>IF(ISNUMBER(M68),COUNTIFS($M$6:$M$151,"&gt;"&amp;M68)+(COUNTIFS($M$6:$M$151,M68)+1)/2,"NA")</x:f>
        <x:v>63</x:v>
      </x:c>
      <x:c r="O68" s="30" t="n">
        <x:f>IF(COUNT('总览与权重'!$H$14:$K$14)=4,ROUND(100*SUMPRODUCT(E68:H68,'总览与权重'!$H$14:$K$14),12),"NA")</x:f>
        <x:v>61.723187426188</x:v>
      </x:c>
      <x:c r="P68" s="30" t="n">
        <x:f>IF(ISNUMBER(O68),COUNTIFS($O$6:$O$151,"&gt;"&amp;O68)+(COUNTIFS($O$6:$O$151,O68)+1)/2,"NA")</x:f>
        <x:v>71</x:v>
      </x:c>
      <x:c r="Q68" s="30" t="n">
        <x:f>IF(COUNT('总览与权重'!$H$15:$K$15)=4,ROUND(100*SUMPRODUCT(E68:H68,'总览与权重'!$H$15:$K$15),12),"NA")</x:f>
        <x:v>79.551722388294</x:v>
      </x:c>
      <x:c r="R68" s="30" t="n">
        <x:f>IF(ISNUMBER(Q68),COUNTIFS($Q$6:$Q$151,"&gt;"&amp;Q68)+(COUNTIFS($Q$6:$Q$151,Q68)+1)/2,"NA")</x:f>
        <x:v>61</x:v>
      </x:c>
      <x:c r="S68" s="31" t="n">
        <x:f>IF(OR(B68="s3",B68="s6"),COUNTIFS($B$6:$B$151,B68,$I$6:$I$151,"&gt;"&amp;I68)+(COUNTIFS($B$6:$B$151,B68,$I$6:$I$151,I68)+1)/2,"NA")</x:f>
        <x:v>61</x:v>
      </x:c>
      <x:c r="T68" s="26" t="str">
        <x:f>IF(COUNTIFS($I$6:$I$151,"&gt;"&amp;I68)&gt;=30,"非前20%",IF(COUNTIFS($I$6:$I$151,"&gt;="&amp;I68)&gt;=30,"边界同分","严格前20%"))</x:f>
        <x:v>非前20%</x:v>
      </x:c>
      <x:c r="U68" s="26" t="str">
        <x:f>IF(COUNTIFS($I$6:$I$151,"&lt;"&amp;I68)&gt;=30,"非后20%",IF(COUNTIFS($I$6:$I$151,"&lt;="&amp;I68)&gt;=30,"边界同分","严格后20%"))</x:f>
        <x:v>非后20%</x:v>
      </x:c>
      <x:c r="V68" s="22" t="n">
        <x:f>'指标计算'!P12</x:f>
        <x:v>-0.07517810241281792</x:v>
      </x:c>
      <x:c r="W68" s="22" t="n">
        <x:f>'指标计算'!Q12</x:f>
        <x:v>-0.0939726280160224</x:v>
      </x:c>
      <x:c r="X68" s="22" t="str">
        <x:v>["S0319"]</x:v>
      </x:c>
      <x:c r="Y68" s="22" t="str">
        <x:v>evidence/student_evidence.jsonl；student_key=2025秋:258425</x:v>
      </x:c>
      <x:c r="Z68" s="26" t="n">
        <x:f>IF(OR(B68="s3",B68="s6"),COUNTIFS($B$6:$B$151,B68,$K$6:$K$151,"&gt;"&amp;K68)+(COUNTIFS($B$6:$B$151,B68,$K$6:$K$151,K68)+1)/2,"NA")</x:f>
        <x:v>75</x:v>
      </x:c>
      <x:c r="AA68" s="26" t="n">
        <x:f>IF(OR(B68="s3",B68="s6"),COUNTIFS($B$6:$B$151,B68,$M$6:$M$151,"&gt;"&amp;M68)+(COUNTIFS($B$6:$B$151,B68,$M$6:$M$151,M68)+1)/2,"NA")</x:f>
        <x:v>61</x:v>
      </x:c>
      <x:c r="AB68" s="26" t="n">
        <x:f>IF(OR(B68="s3",B68="s6"),COUNTIFS($B$6:$B$151,B68,$O$6:$O$151,"&gt;"&amp;O68)+(COUNTIFS($B$6:$B$151,B68,$O$6:$O$151,O68)+1)/2,"NA")</x:f>
        <x:v>68</x:v>
      </x:c>
      <x:c r="AC68" s="26" t="n">
        <x:f>IF(OR(B68="s3",B68="s6"),COUNTIFS($B$6:$B$151,B68,$Q$6:$Q$151,"&gt;"&amp;Q68)+(COUNTIFS($B$6:$B$151,B68,$Q$6:$Q$151,Q68)+1)/2,"NA")</x:f>
        <x:v>60</x:v>
      </x:c>
      <x:c r="AD68" s="25" t="n">
        <x:v>60.88154743303693</x:v>
      </x:c>
      <x:c r="AE68" s="25" t="n">
        <x:v>63</x:v>
      </x:c>
      <x:c r="AF68" s="25" t="n">
        <x:v>61</x:v>
      </x:c>
      <x:c r="AG68" s="25" t="n">
        <x:v>-1</x:v>
      </x:c>
    </x:row>
    <x:row r="69" ht="23" customHeight="1">
      <x:c r="A69" s="21" t="str">
        <x:v>2025秋:259342</x:v>
      </x:c>
      <x:c r="B69" s="22" t="str">
        <x:v>s3</x:v>
      </x:c>
      <x:c r="C69" s="24" t="n">
        <x:v>1</x:v>
      </x:c>
      <x:c r="D69" s="24" t="n">
        <x:v>1</x:v>
      </x:c>
      <x:c r="E69" s="29" t="n">
        <x:f>'指标计算'!S93</x:f>
        <x:v>0.4968675790661326</x:v>
      </x:c>
      <x:c r="F69" s="29" t="n">
        <x:f>'指标计算'!T93</x:f>
        <x:v>0.4530136859919888</x:v>
      </x:c>
      <x:c r="G69" s="29" t="n">
        <x:f>'指标计算'!U93</x:f>
        <x:v>0.4530136859919888</x:v>
      </x:c>
      <x:c r="H69" s="29" t="n">
        <x:f>'指标计算'!V93</x:f>
        <x:v>1</x:v>
      </x:c>
      <x:c r="I69" s="30" t="n">
        <x:f>IF(COUNT('总览与权重'!$H$11:$K$11)=4,ROUND(100*SUMPRODUCT(E69:H69,'总览与权重'!$H$11:$K$11),12),"NA")</x:f>
        <x:v>63.026574811664</x:v>
      </x:c>
      <x:c r="J69" s="30" t="n">
        <x:f>IF(ISNUMBER(I69),COUNTIFS($I$6:$I$151,"&gt;"&amp;I69)+(COUNTIFS($I$6:$I$151,I69)+1)/2,"NA")</x:f>
        <x:v>64</x:v>
      </x:c>
      <x:c r="K69" s="30" t="n">
        <x:f>IF(COUNT('总览与权重'!$H$12:$K$12)=4,ROUND(100*SUMPRODUCT(E69:H69,'总览与权重'!$H$12:$K$12),12),"NA")</x:f>
        <x:v>57.118172740842</x:v>
      </x:c>
      <x:c r="L69" s="30" t="n">
        <x:f>IF(ISNUMBER(K69),COUNTIFS($K$6:$K$151,"&gt;"&amp;K69)+(COUNTIFS($K$6:$K$151,K69)+1)/2,"NA")</x:f>
        <x:v>79</x:v>
      </x:c>
      <x:c r="M69" s="30" t="n">
        <x:f>IF(COUNT('总览与权重'!$H$13:$K$13)=4,ROUND(100*SUMPRODUCT(E69:H69,'总览与权重'!$H$13:$K$13),12),"NA")</x:f>
        <x:v>65.542236916333</x:v>
      </x:c>
      <x:c r="N69" s="30" t="n">
        <x:f>IF(ISNUMBER(M69),COUNTIFS($M$6:$M$151,"&gt;"&amp;M69)+(COUNTIFS($M$6:$M$151,M69)+1)/2,"NA")</x:f>
        <x:v>63</x:v>
      </x:c>
      <x:c r="O69" s="30" t="n">
        <x:f>IF(COUNT('总览与权重'!$H$14:$K$14)=4,ROUND(100*SUMPRODUCT(E69:H69,'总览与权重'!$H$14:$K$14),12),"NA")</x:f>
        <x:v>61.723187426188</x:v>
      </x:c>
      <x:c r="P69" s="30" t="n">
        <x:f>IF(ISNUMBER(O69),COUNTIFS($O$6:$O$151,"&gt;"&amp;O69)+(COUNTIFS($O$6:$O$151,O69)+1)/2,"NA")</x:f>
        <x:v>71</x:v>
      </x:c>
      <x:c r="Q69" s="30" t="n">
        <x:f>IF(COUNT('总览与权重'!$H$15:$K$15)=4,ROUND(100*SUMPRODUCT(E69:H69,'总览与权重'!$H$15:$K$15),12),"NA")</x:f>
        <x:v>79.551722388294</x:v>
      </x:c>
      <x:c r="R69" s="30" t="n">
        <x:f>IF(ISNUMBER(Q69),COUNTIFS($Q$6:$Q$151,"&gt;"&amp;Q69)+(COUNTIFS($Q$6:$Q$151,Q69)+1)/2,"NA")</x:f>
        <x:v>61</x:v>
      </x:c>
      <x:c r="S69" s="31" t="n">
        <x:f>IF(OR(B69="s3",B69="s6"),COUNTIFS($B$6:$B$151,B69,$I$6:$I$151,"&gt;"&amp;I69)+(COUNTIFS($B$6:$B$151,B69,$I$6:$I$151,I69)+1)/2,"NA")</x:f>
        <x:v>61</x:v>
      </x:c>
      <x:c r="T69" s="26" t="str">
        <x:f>IF(COUNTIFS($I$6:$I$151,"&gt;"&amp;I69)&gt;=30,"非前20%",IF(COUNTIFS($I$6:$I$151,"&gt;="&amp;I69)&gt;=30,"边界同分","严格前20%"))</x:f>
        <x:v>非前20%</x:v>
      </x:c>
      <x:c r="U69" s="26" t="str">
        <x:f>IF(COUNTIFS($I$6:$I$151,"&lt;"&amp;I69)&gt;=30,"非后20%",IF(COUNTIFS($I$6:$I$151,"&lt;="&amp;I69)&gt;=30,"边界同分","严格后20%"))</x:f>
        <x:v>非后20%</x:v>
      </x:c>
      <x:c r="V69" s="22" t="n">
        <x:f>'指标计算'!P93</x:f>
        <x:v>-0.07517810241281792</x:v>
      </x:c>
      <x:c r="W69" s="22" t="n">
        <x:f>'指标计算'!Q93</x:f>
        <x:v>-0.0939726280160224</x:v>
      </x:c>
      <x:c r="X69" s="22" t="str">
        <x:v>["S0177"]</x:v>
      </x:c>
      <x:c r="Y69" s="22" t="str">
        <x:v>evidence/student_evidence.jsonl；student_key=2025秋:259342</x:v>
      </x:c>
      <x:c r="Z69" s="26" t="n">
        <x:f>IF(OR(B69="s3",B69="s6"),COUNTIFS($B$6:$B$151,B69,$K$6:$K$151,"&gt;"&amp;K69)+(COUNTIFS($B$6:$B$151,B69,$K$6:$K$151,K69)+1)/2,"NA")</x:f>
        <x:v>75</x:v>
      </x:c>
      <x:c r="AA69" s="26" t="n">
        <x:f>IF(OR(B69="s3",B69="s6"),COUNTIFS($B$6:$B$151,B69,$M$6:$M$151,"&gt;"&amp;M69)+(COUNTIFS($B$6:$B$151,B69,$M$6:$M$151,M69)+1)/2,"NA")</x:f>
        <x:v>61</x:v>
      </x:c>
      <x:c r="AB69" s="26" t="n">
        <x:f>IF(OR(B69="s3",B69="s6"),COUNTIFS($B$6:$B$151,B69,$O$6:$O$151,"&gt;"&amp;O69)+(COUNTIFS($B$6:$B$151,B69,$O$6:$O$151,O69)+1)/2,"NA")</x:f>
        <x:v>68</x:v>
      </x:c>
      <x:c r="AC69" s="26" t="n">
        <x:f>IF(OR(B69="s3",B69="s6"),COUNTIFS($B$6:$B$151,B69,$Q$6:$Q$151,"&gt;"&amp;Q69)+(COUNTIFS($B$6:$B$151,B69,$Q$6:$Q$151,Q69)+1)/2,"NA")</x:f>
        <x:v>60</x:v>
      </x:c>
      <x:c r="AD69" s="25" t="n">
        <x:v>60.88154743303693</x:v>
      </x:c>
      <x:c r="AE69" s="25" t="n">
        <x:v>63</x:v>
      </x:c>
      <x:c r="AF69" s="25" t="n">
        <x:v>61</x:v>
      </x:c>
      <x:c r="AG69" s="25" t="n">
        <x:v>-1</x:v>
      </x:c>
    </x:row>
    <x:row r="70" ht="23" customHeight="1">
      <x:c r="A70" s="21" t="str">
        <x:v>2025秋:260001</x:v>
      </x:c>
      <x:c r="B70" s="22" t="str">
        <x:v>s3</x:v>
      </x:c>
      <x:c r="C70" s="24" t="n">
        <x:v>1</x:v>
      </x:c>
      <x:c r="D70" s="24" t="n">
        <x:v>1</x:v>
      </x:c>
      <x:c r="E70" s="29" t="n">
        <x:f>'指标计算'!S142</x:f>
        <x:v>0.4968675790661326</x:v>
      </x:c>
      <x:c r="F70" s="29" t="n">
        <x:f>'指标计算'!T142</x:f>
        <x:v>0.4530136859919888</x:v>
      </x:c>
      <x:c r="G70" s="29" t="n">
        <x:f>'指标计算'!U142</x:f>
        <x:v>0.4530136859919888</x:v>
      </x:c>
      <x:c r="H70" s="29" t="n">
        <x:f>'指标计算'!V142</x:f>
        <x:v>1</x:v>
      </x:c>
      <x:c r="I70" s="30" t="n">
        <x:f>IF(COUNT('总览与权重'!$H$11:$K$11)=4,ROUND(100*SUMPRODUCT(E70:H70,'总览与权重'!$H$11:$K$11),12),"NA")</x:f>
        <x:v>63.026574811664</x:v>
      </x:c>
      <x:c r="J70" s="30" t="n">
        <x:f>IF(ISNUMBER(I70),COUNTIFS($I$6:$I$151,"&gt;"&amp;I70)+(COUNTIFS($I$6:$I$151,I70)+1)/2,"NA")</x:f>
        <x:v>64</x:v>
      </x:c>
      <x:c r="K70" s="30" t="n">
        <x:f>IF(COUNT('总览与权重'!$H$12:$K$12)=4,ROUND(100*SUMPRODUCT(E70:H70,'总览与权重'!$H$12:$K$12),12),"NA")</x:f>
        <x:v>57.118172740842</x:v>
      </x:c>
      <x:c r="L70" s="30" t="n">
        <x:f>IF(ISNUMBER(K70),COUNTIFS($K$6:$K$151,"&gt;"&amp;K70)+(COUNTIFS($K$6:$K$151,K70)+1)/2,"NA")</x:f>
        <x:v>79</x:v>
      </x:c>
      <x:c r="M70" s="30" t="n">
        <x:f>IF(COUNT('总览与权重'!$H$13:$K$13)=4,ROUND(100*SUMPRODUCT(E70:H70,'总览与权重'!$H$13:$K$13),12),"NA")</x:f>
        <x:v>65.542236916333</x:v>
      </x:c>
      <x:c r="N70" s="30" t="n">
        <x:f>IF(ISNUMBER(M70),COUNTIFS($M$6:$M$151,"&gt;"&amp;M70)+(COUNTIFS($M$6:$M$151,M70)+1)/2,"NA")</x:f>
        <x:v>63</x:v>
      </x:c>
      <x:c r="O70" s="30" t="n">
        <x:f>IF(COUNT('总览与权重'!$H$14:$K$14)=4,ROUND(100*SUMPRODUCT(E70:H70,'总览与权重'!$H$14:$K$14),12),"NA")</x:f>
        <x:v>61.723187426188</x:v>
      </x:c>
      <x:c r="P70" s="30" t="n">
        <x:f>IF(ISNUMBER(O70),COUNTIFS($O$6:$O$151,"&gt;"&amp;O70)+(COUNTIFS($O$6:$O$151,O70)+1)/2,"NA")</x:f>
        <x:v>71</x:v>
      </x:c>
      <x:c r="Q70" s="30" t="n">
        <x:f>IF(COUNT('总览与权重'!$H$15:$K$15)=4,ROUND(100*SUMPRODUCT(E70:H70,'总览与权重'!$H$15:$K$15),12),"NA")</x:f>
        <x:v>79.551722388294</x:v>
      </x:c>
      <x:c r="R70" s="30" t="n">
        <x:f>IF(ISNUMBER(Q70),COUNTIFS($Q$6:$Q$151,"&gt;"&amp;Q70)+(COUNTIFS($Q$6:$Q$151,Q70)+1)/2,"NA")</x:f>
        <x:v>61</x:v>
      </x:c>
      <x:c r="S70" s="31" t="n">
        <x:f>IF(OR(B70="s3",B70="s6"),COUNTIFS($B$6:$B$151,B70,$I$6:$I$151,"&gt;"&amp;I70)+(COUNTIFS($B$6:$B$151,B70,$I$6:$I$151,I70)+1)/2,"NA")</x:f>
        <x:v>61</x:v>
      </x:c>
      <x:c r="T70" s="26" t="str">
        <x:f>IF(COUNTIFS($I$6:$I$151,"&gt;"&amp;I70)&gt;=30,"非前20%",IF(COUNTIFS($I$6:$I$151,"&gt;="&amp;I70)&gt;=30,"边界同分","严格前20%"))</x:f>
        <x:v>非前20%</x:v>
      </x:c>
      <x:c r="U70" s="26" t="str">
        <x:f>IF(COUNTIFS($I$6:$I$151,"&lt;"&amp;I70)&gt;=30,"非后20%",IF(COUNTIFS($I$6:$I$151,"&lt;="&amp;I70)&gt;=30,"边界同分","严格后20%"))</x:f>
        <x:v>非后20%</x:v>
      </x:c>
      <x:c r="V70" s="22" t="n">
        <x:f>'指标计算'!P142</x:f>
        <x:v>-0.07517810241281792</x:v>
      </x:c>
      <x:c r="W70" s="22" t="n">
        <x:f>'指标计算'!Q142</x:f>
        <x:v>-0.0939726280160224</x:v>
      </x:c>
      <x:c r="X70" s="22" t="str">
        <x:v>["S0466"]</x:v>
      </x:c>
      <x:c r="Y70" s="22" t="str">
        <x:v>evidence/student_evidence.jsonl；student_key=2025秋:260001</x:v>
      </x:c>
      <x:c r="Z70" s="26" t="n">
        <x:f>IF(OR(B70="s3",B70="s6"),COUNTIFS($B$6:$B$151,B70,$K$6:$K$151,"&gt;"&amp;K70)+(COUNTIFS($B$6:$B$151,B70,$K$6:$K$151,K70)+1)/2,"NA")</x:f>
        <x:v>75</x:v>
      </x:c>
      <x:c r="AA70" s="26" t="n">
        <x:f>IF(OR(B70="s3",B70="s6"),COUNTIFS($B$6:$B$151,B70,$M$6:$M$151,"&gt;"&amp;M70)+(COUNTIFS($B$6:$B$151,B70,$M$6:$M$151,M70)+1)/2,"NA")</x:f>
        <x:v>61</x:v>
      </x:c>
      <x:c r="AB70" s="26" t="n">
        <x:f>IF(OR(B70="s3",B70="s6"),COUNTIFS($B$6:$B$151,B70,$O$6:$O$151,"&gt;"&amp;O70)+(COUNTIFS($B$6:$B$151,B70,$O$6:$O$151,O70)+1)/2,"NA")</x:f>
        <x:v>68</x:v>
      </x:c>
      <x:c r="AC70" s="26" t="n">
        <x:f>IF(OR(B70="s3",B70="s6"),COUNTIFS($B$6:$B$151,B70,$Q$6:$Q$151,"&gt;"&amp;Q70)+(COUNTIFS($B$6:$B$151,B70,$Q$6:$Q$151,Q70)+1)/2,"NA")</x:f>
        <x:v>60</x:v>
      </x:c>
      <x:c r="AD70" s="25" t="n">
        <x:v>60.88154743303693</x:v>
      </x:c>
      <x:c r="AE70" s="25" t="n">
        <x:v>63</x:v>
      </x:c>
      <x:c r="AF70" s="25" t="n">
        <x:v>61</x:v>
      </x:c>
      <x:c r="AG70" s="25" t="n">
        <x:v>-1</x:v>
      </x:c>
    </x:row>
    <x:row r="71" ht="23" customHeight="1">
      <x:c r="A71" s="21" t="str">
        <x:v>2025秋:258268</x:v>
      </x:c>
      <x:c r="B71" s="22" t="str">
        <x:v>s3</x:v>
      </x:c>
      <x:c r="C71" s="24" t="n">
        <x:v>1</x:v>
      </x:c>
      <x:c r="D71" s="24" t="n">
        <x:v>1</x:v>
      </x:c>
      <x:c r="E71" s="29" t="n">
        <x:f>'指标计算'!S9</x:f>
        <x:v>0.4968304790759522</x:v>
      </x:c>
      <x:c r="F71" s="29" t="n">
        <x:f>'指标计算'!T9</x:f>
        <x:v>0.45245718613928343</x:v>
      </x:c>
      <x:c r="G71" s="29" t="n">
        <x:f>'指标计算'!U9</x:f>
        <x:v>0.45245718613928343</x:v>
      </x:c>
      <x:c r="H71" s="29" t="n">
        <x:f>'指标计算'!V9</x:f>
        <x:v>1</x:v>
      </x:c>
      <x:c r="I71" s="30" t="n">
        <x:f>IF(COUNT('总览与权重'!$H$11:$K$11)=4,ROUND(100*SUMPRODUCT(E71:H71,'总览与权重'!$H$11:$K$11),12),"NA")</x:f>
        <x:v>63.00320181785</x:v>
      </x:c>
      <x:c r="J71" s="30" t="n">
        <x:f>IF(ISNUMBER(I71),COUNTIFS($I$6:$I$151,"&gt;"&amp;I71)+(COUNTIFS($I$6:$I$151,I71)+1)/2,"NA")</x:f>
        <x:v>67.5</x:v>
      </x:c>
      <x:c r="K71" s="30" t="n">
        <x:f>IF(COUNT('总览与权重'!$H$12:$K$12)=4,ROUND(100*SUMPRODUCT(E71:H71,'总览与权重'!$H$12:$K$12),12),"NA")</x:f>
        <x:v>57.084040749876</x:v>
      </x:c>
      <x:c r="L71" s="30" t="n">
        <x:f>IF(ISNUMBER(K71),COUNTIFS($K$6:$K$151,"&gt;"&amp;K71)+(COUNTIFS($K$6:$K$151,K71)+1)/2,"NA")</x:f>
        <x:v>82.5</x:v>
      </x:c>
      <x:c r="M71" s="30" t="n">
        <x:f>IF(COUNT('总览与权重'!$H$13:$K$13)=4,ROUND(100*SUMPRODUCT(E71:H71,'总览与权重'!$H$13:$K$13),12),"NA")</x:f>
        <x:v>65.51904942247</x:v>
      </x:c>
      <x:c r="N71" s="30" t="n">
        <x:f>IF(ISNUMBER(M71),COUNTIFS($M$6:$M$151,"&gt;"&amp;M71)+(COUNTIFS($M$6:$M$151,M71)+1)/2,"NA")</x:f>
        <x:v>66.5</x:v>
      </x:c>
      <x:c r="O71" s="30" t="n">
        <x:f>IF(COUNT('总览与权重'!$H$14:$K$14)=4,ROUND(100*SUMPRODUCT(E71:H71,'总览与权重'!$H$14:$K$14),12),"NA")</x:f>
        <x:v>61.684377280017</x:v>
      </x:c>
      <x:c r="P71" s="30" t="n">
        <x:f>IF(ISNUMBER(O71),COUNTIFS($O$6:$O$151,"&gt;"&amp;O71)+(COUNTIFS($O$6:$O$151,O71)+1)/2,"NA")</x:f>
        <x:v>75.5</x:v>
      </x:c>
      <x:c r="Q71" s="30" t="n">
        <x:f>IF(COUNT('总览与权重'!$H$15:$K$15)=4,ROUND(100*SUMPRODUCT(E71:H71,'总览与权重'!$H$15:$K$15),12),"NA")</x:f>
        <x:v>79.530989192668</x:v>
      </x:c>
      <x:c r="R71" s="30" t="n">
        <x:f>IF(ISNUMBER(Q71),COUNTIFS($Q$6:$Q$151,"&gt;"&amp;Q71)+(COUNTIFS($Q$6:$Q$151,Q71)+1)/2,"NA")</x:f>
        <x:v>64.5</x:v>
      </x:c>
      <x:c r="S71" s="31" t="n">
        <x:f>IF(OR(B71="s3",B71="s6"),COUNTIFS($B$6:$B$151,B71,$I$6:$I$151,"&gt;"&amp;I71)+(COUNTIFS($B$6:$B$151,B71,$I$6:$I$151,I71)+1)/2,"NA")</x:f>
        <x:v>64.5</x:v>
      </x:c>
      <x:c r="T71" s="26" t="str">
        <x:f>IF(COUNTIFS($I$6:$I$151,"&gt;"&amp;I71)&gt;=30,"非前20%",IF(COUNTIFS($I$6:$I$151,"&gt;="&amp;I71)&gt;=30,"边界同分","严格前20%"))</x:f>
        <x:v>非前20%</x:v>
      </x:c>
      <x:c r="U71" s="26" t="str">
        <x:f>IF(COUNTIFS($I$6:$I$151,"&lt;"&amp;I71)&gt;=30,"非后20%",IF(COUNTIFS($I$6:$I$151,"&lt;="&amp;I71)&gt;=30,"边界同分","严格后20%"))</x:f>
        <x:v>非后20%</x:v>
      </x:c>
      <x:c r="V71" s="22" t="n">
        <x:f>'指标计算'!P9</x:f>
        <x:v>-0.0760685021771465</x:v>
      </x:c>
      <x:c r="W71" s="22" t="n">
        <x:f>'指标计算'!Q9</x:f>
        <x:v>-0.09508562772143313</x:v>
      </x:c>
      <x:c r="X71" s="22" t="str">
        <x:v>["S0259"]</x:v>
      </x:c>
      <x:c r="Y71" s="22" t="str">
        <x:v>evidence/student_evidence.jsonl；student_key=2025秋:258268</x:v>
      </x:c>
      <x:c r="Z71" s="26" t="n">
        <x:f>IF(OR(B71="s3",B71="s6"),COUNTIFS($B$6:$B$151,B71,$K$6:$K$151,"&gt;"&amp;K71)+(COUNTIFS($B$6:$B$151,B71,$K$6:$K$151,K71)+1)/2,"NA")</x:f>
        <x:v>78.5</x:v>
      </x:c>
      <x:c r="AA71" s="26" t="n">
        <x:f>IF(OR(B71="s3",B71="s6"),COUNTIFS($B$6:$B$151,B71,$M$6:$M$151,"&gt;"&amp;M71)+(COUNTIFS($B$6:$B$151,B71,$M$6:$M$151,M71)+1)/2,"NA")</x:f>
        <x:v>64.5</x:v>
      </x:c>
      <x:c r="AB71" s="26" t="n">
        <x:f>IF(OR(B71="s3",B71="s6"),COUNTIFS($B$6:$B$151,B71,$O$6:$O$151,"&gt;"&amp;O71)+(COUNTIFS($B$6:$B$151,B71,$O$6:$O$151,O71)+1)/2,"NA")</x:f>
        <x:v>72.5</x:v>
      </x:c>
      <x:c r="AC71" s="26" t="n">
        <x:f>IF(OR(B71="s3",B71="s6"),COUNTIFS($B$6:$B$151,B71,$Q$6:$Q$151,"&gt;"&amp;Q71)+(COUNTIFS($B$6:$B$151,B71,$Q$6:$Q$151,Q71)+1)/2,"NA")</x:f>
        <x:v>63.5</x:v>
      </x:c>
      <x:c r="AD71" s="25" t="n">
        <x:v>60.83276901116501</x:v>
      </x:c>
      <x:c r="AE71" s="25" t="n">
        <x:v>66.5</x:v>
      </x:c>
      <x:c r="AF71" s="25" t="n">
        <x:v>64.5</x:v>
      </x:c>
      <x:c r="AG71" s="25" t="n">
        <x:v>-1</x:v>
      </x:c>
    </x:row>
    <x:row r="72" ht="23" customHeight="1">
      <x:c r="A72" s="21" t="str">
        <x:v>2025秋:259015</x:v>
      </x:c>
      <x:c r="B72" s="22" t="str">
        <x:v>s3</x:v>
      </x:c>
      <x:c r="C72" s="24" t="n">
        <x:v>1</x:v>
      </x:c>
      <x:c r="D72" s="24" t="n">
        <x:v>1</x:v>
      </x:c>
      <x:c r="E72" s="29" t="n">
        <x:f>'指标计算'!S62</x:f>
        <x:v>0.4968304790759522</x:v>
      </x:c>
      <x:c r="F72" s="29" t="n">
        <x:f>'指标计算'!T62</x:f>
        <x:v>0.45245718613928343</x:v>
      </x:c>
      <x:c r="G72" s="29" t="n">
        <x:f>'指标计算'!U62</x:f>
        <x:v>0.45245718613928343</x:v>
      </x:c>
      <x:c r="H72" s="29" t="n">
        <x:f>'指标计算'!V62</x:f>
        <x:v>1</x:v>
      </x:c>
      <x:c r="I72" s="30" t="n">
        <x:f>IF(COUNT('总览与权重'!$H$11:$K$11)=4,ROUND(100*SUMPRODUCT(E72:H72,'总览与权重'!$H$11:$K$11),12),"NA")</x:f>
        <x:v>63.00320181785</x:v>
      </x:c>
      <x:c r="J72" s="30" t="n">
        <x:f>IF(ISNUMBER(I72),COUNTIFS($I$6:$I$151,"&gt;"&amp;I72)+(COUNTIFS($I$6:$I$151,I72)+1)/2,"NA")</x:f>
        <x:v>67.5</x:v>
      </x:c>
      <x:c r="K72" s="30" t="n">
        <x:f>IF(COUNT('总览与权重'!$H$12:$K$12)=4,ROUND(100*SUMPRODUCT(E72:H72,'总览与权重'!$H$12:$K$12),12),"NA")</x:f>
        <x:v>57.084040749876</x:v>
      </x:c>
      <x:c r="L72" s="30" t="n">
        <x:f>IF(ISNUMBER(K72),COUNTIFS($K$6:$K$151,"&gt;"&amp;K72)+(COUNTIFS($K$6:$K$151,K72)+1)/2,"NA")</x:f>
        <x:v>82.5</x:v>
      </x:c>
      <x:c r="M72" s="30" t="n">
        <x:f>IF(COUNT('总览与权重'!$H$13:$K$13)=4,ROUND(100*SUMPRODUCT(E72:H72,'总览与权重'!$H$13:$K$13),12),"NA")</x:f>
        <x:v>65.51904942247</x:v>
      </x:c>
      <x:c r="N72" s="30" t="n">
        <x:f>IF(ISNUMBER(M72),COUNTIFS($M$6:$M$151,"&gt;"&amp;M72)+(COUNTIFS($M$6:$M$151,M72)+1)/2,"NA")</x:f>
        <x:v>66.5</x:v>
      </x:c>
      <x:c r="O72" s="30" t="n">
        <x:f>IF(COUNT('总览与权重'!$H$14:$K$14)=4,ROUND(100*SUMPRODUCT(E72:H72,'总览与权重'!$H$14:$K$14),12),"NA")</x:f>
        <x:v>61.684377280017</x:v>
      </x:c>
      <x:c r="P72" s="30" t="n">
        <x:f>IF(ISNUMBER(O72),COUNTIFS($O$6:$O$151,"&gt;"&amp;O72)+(COUNTIFS($O$6:$O$151,O72)+1)/2,"NA")</x:f>
        <x:v>75.5</x:v>
      </x:c>
      <x:c r="Q72" s="30" t="n">
        <x:f>IF(COUNT('总览与权重'!$H$15:$K$15)=4,ROUND(100*SUMPRODUCT(E72:H72,'总览与权重'!$H$15:$K$15),12),"NA")</x:f>
        <x:v>79.530989192668</x:v>
      </x:c>
      <x:c r="R72" s="30" t="n">
        <x:f>IF(ISNUMBER(Q72),COUNTIFS($Q$6:$Q$151,"&gt;"&amp;Q72)+(COUNTIFS($Q$6:$Q$151,Q72)+1)/2,"NA")</x:f>
        <x:v>64.5</x:v>
      </x:c>
      <x:c r="S72" s="31" t="n">
        <x:f>IF(OR(B72="s3",B72="s6"),COUNTIFS($B$6:$B$151,B72,$I$6:$I$151,"&gt;"&amp;I72)+(COUNTIFS($B$6:$B$151,B72,$I$6:$I$151,I72)+1)/2,"NA")</x:f>
        <x:v>64.5</x:v>
      </x:c>
      <x:c r="T72" s="26" t="str">
        <x:f>IF(COUNTIFS($I$6:$I$151,"&gt;"&amp;I72)&gt;=30,"非前20%",IF(COUNTIFS($I$6:$I$151,"&gt;="&amp;I72)&gt;=30,"边界同分","严格前20%"))</x:f>
        <x:v>非前20%</x:v>
      </x:c>
      <x:c r="U72" s="26" t="str">
        <x:f>IF(COUNTIFS($I$6:$I$151,"&lt;"&amp;I72)&gt;=30,"非后20%",IF(COUNTIFS($I$6:$I$151,"&lt;="&amp;I72)&gt;=30,"边界同分","严格后20%"))</x:f>
        <x:v>非后20%</x:v>
      </x:c>
      <x:c r="V72" s="22" t="n">
        <x:f>'指标计算'!P62</x:f>
        <x:v>-0.0760685021771465</x:v>
      </x:c>
      <x:c r="W72" s="22" t="n">
        <x:f>'指标计算'!Q62</x:f>
        <x:v>-0.09508562772143313</x:v>
      </x:c>
      <x:c r="X72" s="22" t="str">
        <x:v>["S0371"]</x:v>
      </x:c>
      <x:c r="Y72" s="22" t="str">
        <x:v>evidence/student_evidence.jsonl；student_key=2025秋:259015</x:v>
      </x:c>
      <x:c r="Z72" s="26" t="n">
        <x:f>IF(OR(B72="s3",B72="s6"),COUNTIFS($B$6:$B$151,B72,$K$6:$K$151,"&gt;"&amp;K72)+(COUNTIFS($B$6:$B$151,B72,$K$6:$K$151,K72)+1)/2,"NA")</x:f>
        <x:v>78.5</x:v>
      </x:c>
      <x:c r="AA72" s="26" t="n">
        <x:f>IF(OR(B72="s3",B72="s6"),COUNTIFS($B$6:$B$151,B72,$M$6:$M$151,"&gt;"&amp;M72)+(COUNTIFS($B$6:$B$151,B72,$M$6:$M$151,M72)+1)/2,"NA")</x:f>
        <x:v>64.5</x:v>
      </x:c>
      <x:c r="AB72" s="26" t="n">
        <x:f>IF(OR(B72="s3",B72="s6"),COUNTIFS($B$6:$B$151,B72,$O$6:$O$151,"&gt;"&amp;O72)+(COUNTIFS($B$6:$B$151,B72,$O$6:$O$151,O72)+1)/2,"NA")</x:f>
        <x:v>72.5</x:v>
      </x:c>
      <x:c r="AC72" s="26" t="n">
        <x:f>IF(OR(B72="s3",B72="s6"),COUNTIFS($B$6:$B$151,B72,$Q$6:$Q$151,"&gt;"&amp;Q72)+(COUNTIFS($B$6:$B$151,B72,$Q$6:$Q$151,Q72)+1)/2,"NA")</x:f>
        <x:v>63.5</x:v>
      </x:c>
      <x:c r="AD72" s="25" t="n">
        <x:v>60.83276901116501</x:v>
      </x:c>
      <x:c r="AE72" s="25" t="n">
        <x:v>66.5</x:v>
      </x:c>
      <x:c r="AF72" s="25" t="n">
        <x:v>64.5</x:v>
      </x:c>
      <x:c r="AG72" s="25" t="n">
        <x:v>-1</x:v>
      </x:c>
    </x:row>
    <x:row r="73" ht="23" customHeight="1">
      <x:c r="A73" s="21" t="str">
        <x:v>2025秋:259052</x:v>
      </x:c>
      <x:c r="B73" s="22" t="str">
        <x:v>s3</x:v>
      </x:c>
      <x:c r="C73" s="24" t="n">
        <x:v>1</x:v>
      </x:c>
      <x:c r="D73" s="24" t="n">
        <x:v>1</x:v>
      </x:c>
      <x:c r="E73" s="29" t="n">
        <x:f>'指标计算'!S71</x:f>
        <x:v>0.4968304790759522</x:v>
      </x:c>
      <x:c r="F73" s="29" t="n">
        <x:f>'指标计算'!T71</x:f>
        <x:v>0.45245718613928343</x:v>
      </x:c>
      <x:c r="G73" s="29" t="n">
        <x:f>'指标计算'!U71</x:f>
        <x:v>0.45245718613928343</x:v>
      </x:c>
      <x:c r="H73" s="29" t="n">
        <x:f>'指标计算'!V71</x:f>
        <x:v>1</x:v>
      </x:c>
      <x:c r="I73" s="30" t="n">
        <x:f>IF(COUNT('总览与权重'!$H$11:$K$11)=4,ROUND(100*SUMPRODUCT(E73:H73,'总览与权重'!$H$11:$K$11),12),"NA")</x:f>
        <x:v>63.00320181785</x:v>
      </x:c>
      <x:c r="J73" s="30" t="n">
        <x:f>IF(ISNUMBER(I73),COUNTIFS($I$6:$I$151,"&gt;"&amp;I73)+(COUNTIFS($I$6:$I$151,I73)+1)/2,"NA")</x:f>
        <x:v>67.5</x:v>
      </x:c>
      <x:c r="K73" s="30" t="n">
        <x:f>IF(COUNT('总览与权重'!$H$12:$K$12)=4,ROUND(100*SUMPRODUCT(E73:H73,'总览与权重'!$H$12:$K$12),12),"NA")</x:f>
        <x:v>57.084040749876</x:v>
      </x:c>
      <x:c r="L73" s="30" t="n">
        <x:f>IF(ISNUMBER(K73),COUNTIFS($K$6:$K$151,"&gt;"&amp;K73)+(COUNTIFS($K$6:$K$151,K73)+1)/2,"NA")</x:f>
        <x:v>82.5</x:v>
      </x:c>
      <x:c r="M73" s="30" t="n">
        <x:f>IF(COUNT('总览与权重'!$H$13:$K$13)=4,ROUND(100*SUMPRODUCT(E73:H73,'总览与权重'!$H$13:$K$13),12),"NA")</x:f>
        <x:v>65.51904942247</x:v>
      </x:c>
      <x:c r="N73" s="30" t="n">
        <x:f>IF(ISNUMBER(M73),COUNTIFS($M$6:$M$151,"&gt;"&amp;M73)+(COUNTIFS($M$6:$M$151,M73)+1)/2,"NA")</x:f>
        <x:v>66.5</x:v>
      </x:c>
      <x:c r="O73" s="30" t="n">
        <x:f>IF(COUNT('总览与权重'!$H$14:$K$14)=4,ROUND(100*SUMPRODUCT(E73:H73,'总览与权重'!$H$14:$K$14),12),"NA")</x:f>
        <x:v>61.684377280017</x:v>
      </x:c>
      <x:c r="P73" s="30" t="n">
        <x:f>IF(ISNUMBER(O73),COUNTIFS($O$6:$O$151,"&gt;"&amp;O73)+(COUNTIFS($O$6:$O$151,O73)+1)/2,"NA")</x:f>
        <x:v>75.5</x:v>
      </x:c>
      <x:c r="Q73" s="30" t="n">
        <x:f>IF(COUNT('总览与权重'!$H$15:$K$15)=4,ROUND(100*SUMPRODUCT(E73:H73,'总览与权重'!$H$15:$K$15),12),"NA")</x:f>
        <x:v>79.530989192668</x:v>
      </x:c>
      <x:c r="R73" s="30" t="n">
        <x:f>IF(ISNUMBER(Q73),COUNTIFS($Q$6:$Q$151,"&gt;"&amp;Q73)+(COUNTIFS($Q$6:$Q$151,Q73)+1)/2,"NA")</x:f>
        <x:v>64.5</x:v>
      </x:c>
      <x:c r="S73" s="31" t="n">
        <x:f>IF(OR(B73="s3",B73="s6"),COUNTIFS($B$6:$B$151,B73,$I$6:$I$151,"&gt;"&amp;I73)+(COUNTIFS($B$6:$B$151,B73,$I$6:$I$151,I73)+1)/2,"NA")</x:f>
        <x:v>64.5</x:v>
      </x:c>
      <x:c r="T73" s="26" t="str">
        <x:f>IF(COUNTIFS($I$6:$I$151,"&gt;"&amp;I73)&gt;=30,"非前20%",IF(COUNTIFS($I$6:$I$151,"&gt;="&amp;I73)&gt;=30,"边界同分","严格前20%"))</x:f>
        <x:v>非前20%</x:v>
      </x:c>
      <x:c r="U73" s="26" t="str">
        <x:f>IF(COUNTIFS($I$6:$I$151,"&lt;"&amp;I73)&gt;=30,"非后20%",IF(COUNTIFS($I$6:$I$151,"&lt;="&amp;I73)&gt;=30,"边界同分","严格后20%"))</x:f>
        <x:v>非后20%</x:v>
      </x:c>
      <x:c r="V73" s="22" t="n">
        <x:f>'指标计算'!P71</x:f>
        <x:v>-0.0760685021771465</x:v>
      </x:c>
      <x:c r="W73" s="22" t="n">
        <x:f>'指标计算'!Q71</x:f>
        <x:v>-0.09508562772143313</x:v>
      </x:c>
      <x:c r="X73" s="22" t="str">
        <x:v>["S0489"]</x:v>
      </x:c>
      <x:c r="Y73" s="22" t="str">
        <x:v>evidence/student_evidence.jsonl；student_key=2025秋:259052</x:v>
      </x:c>
      <x:c r="Z73" s="26" t="n">
        <x:f>IF(OR(B73="s3",B73="s6"),COUNTIFS($B$6:$B$151,B73,$K$6:$K$151,"&gt;"&amp;K73)+(COUNTIFS($B$6:$B$151,B73,$K$6:$K$151,K73)+1)/2,"NA")</x:f>
        <x:v>78.5</x:v>
      </x:c>
      <x:c r="AA73" s="26" t="n">
        <x:f>IF(OR(B73="s3",B73="s6"),COUNTIFS($B$6:$B$151,B73,$M$6:$M$151,"&gt;"&amp;M73)+(COUNTIFS($B$6:$B$151,B73,$M$6:$M$151,M73)+1)/2,"NA")</x:f>
        <x:v>64.5</x:v>
      </x:c>
      <x:c r="AB73" s="26" t="n">
        <x:f>IF(OR(B73="s3",B73="s6"),COUNTIFS($B$6:$B$151,B73,$O$6:$O$151,"&gt;"&amp;O73)+(COUNTIFS($B$6:$B$151,B73,$O$6:$O$151,O73)+1)/2,"NA")</x:f>
        <x:v>72.5</x:v>
      </x:c>
      <x:c r="AC73" s="26" t="n">
        <x:f>IF(OR(B73="s3",B73="s6"),COUNTIFS($B$6:$B$151,B73,$Q$6:$Q$151,"&gt;"&amp;Q73)+(COUNTIFS($B$6:$B$151,B73,$Q$6:$Q$151,Q73)+1)/2,"NA")</x:f>
        <x:v>63.5</x:v>
      </x:c>
      <x:c r="AD73" s="25" t="n">
        <x:v>60.83276901116501</x:v>
      </x:c>
      <x:c r="AE73" s="25" t="n">
        <x:v>66.5</x:v>
      </x:c>
      <x:c r="AF73" s="25" t="n">
        <x:v>64.5</x:v>
      </x:c>
      <x:c r="AG73" s="25" t="n">
        <x:v>-1</x:v>
      </x:c>
    </x:row>
    <x:row r="74" ht="23" customHeight="1">
      <x:c r="A74" s="21" t="str">
        <x:v>2025秋:259404</x:v>
      </x:c>
      <x:c r="B74" s="22" t="str">
        <x:v>s3</x:v>
      </x:c>
      <x:c r="C74" s="24" t="n">
        <x:v>1</x:v>
      </x:c>
      <x:c r="D74" s="24" t="n">
        <x:v>1</x:v>
      </x:c>
      <x:c r="E74" s="29" t="n">
        <x:f>'指标计算'!S98</x:f>
        <x:v>0.4968304790759522</x:v>
      </x:c>
      <x:c r="F74" s="29" t="n">
        <x:f>'指标计算'!T98</x:f>
        <x:v>0.45245718613928343</x:v>
      </x:c>
      <x:c r="G74" s="29" t="n">
        <x:f>'指标计算'!U98</x:f>
        <x:v>0.45245718613928343</x:v>
      </x:c>
      <x:c r="H74" s="29" t="n">
        <x:f>'指标计算'!V98</x:f>
        <x:v>1</x:v>
      </x:c>
      <x:c r="I74" s="30" t="n">
        <x:f>IF(COUNT('总览与权重'!$H$11:$K$11)=4,ROUND(100*SUMPRODUCT(E74:H74,'总览与权重'!$H$11:$K$11),12),"NA")</x:f>
        <x:v>63.00320181785</x:v>
      </x:c>
      <x:c r="J74" s="30" t="n">
        <x:f>IF(ISNUMBER(I74),COUNTIFS($I$6:$I$151,"&gt;"&amp;I74)+(COUNTIFS($I$6:$I$151,I74)+1)/2,"NA")</x:f>
        <x:v>67.5</x:v>
      </x:c>
      <x:c r="K74" s="30" t="n">
        <x:f>IF(COUNT('总览与权重'!$H$12:$K$12)=4,ROUND(100*SUMPRODUCT(E74:H74,'总览与权重'!$H$12:$K$12),12),"NA")</x:f>
        <x:v>57.084040749876</x:v>
      </x:c>
      <x:c r="L74" s="30" t="n">
        <x:f>IF(ISNUMBER(K74),COUNTIFS($K$6:$K$151,"&gt;"&amp;K74)+(COUNTIFS($K$6:$K$151,K74)+1)/2,"NA")</x:f>
        <x:v>82.5</x:v>
      </x:c>
      <x:c r="M74" s="30" t="n">
        <x:f>IF(COUNT('总览与权重'!$H$13:$K$13)=4,ROUND(100*SUMPRODUCT(E74:H74,'总览与权重'!$H$13:$K$13),12),"NA")</x:f>
        <x:v>65.51904942247</x:v>
      </x:c>
      <x:c r="N74" s="30" t="n">
        <x:f>IF(ISNUMBER(M74),COUNTIFS($M$6:$M$151,"&gt;"&amp;M74)+(COUNTIFS($M$6:$M$151,M74)+1)/2,"NA")</x:f>
        <x:v>66.5</x:v>
      </x:c>
      <x:c r="O74" s="30" t="n">
        <x:f>IF(COUNT('总览与权重'!$H$14:$K$14)=4,ROUND(100*SUMPRODUCT(E74:H74,'总览与权重'!$H$14:$K$14),12),"NA")</x:f>
        <x:v>61.684377280017</x:v>
      </x:c>
      <x:c r="P74" s="30" t="n">
        <x:f>IF(ISNUMBER(O74),COUNTIFS($O$6:$O$151,"&gt;"&amp;O74)+(COUNTIFS($O$6:$O$151,O74)+1)/2,"NA")</x:f>
        <x:v>75.5</x:v>
      </x:c>
      <x:c r="Q74" s="30" t="n">
        <x:f>IF(COUNT('总览与权重'!$H$15:$K$15)=4,ROUND(100*SUMPRODUCT(E74:H74,'总览与权重'!$H$15:$K$15),12),"NA")</x:f>
        <x:v>79.530989192668</x:v>
      </x:c>
      <x:c r="R74" s="30" t="n">
        <x:f>IF(ISNUMBER(Q74),COUNTIFS($Q$6:$Q$151,"&gt;"&amp;Q74)+(COUNTIFS($Q$6:$Q$151,Q74)+1)/2,"NA")</x:f>
        <x:v>64.5</x:v>
      </x:c>
      <x:c r="S74" s="31" t="n">
        <x:f>IF(OR(B74="s3",B74="s6"),COUNTIFS($B$6:$B$151,B74,$I$6:$I$151,"&gt;"&amp;I74)+(COUNTIFS($B$6:$B$151,B74,$I$6:$I$151,I74)+1)/2,"NA")</x:f>
        <x:v>64.5</x:v>
      </x:c>
      <x:c r="T74" s="26" t="str">
        <x:f>IF(COUNTIFS($I$6:$I$151,"&gt;"&amp;I74)&gt;=30,"非前20%",IF(COUNTIFS($I$6:$I$151,"&gt;="&amp;I74)&gt;=30,"边界同分","严格前20%"))</x:f>
        <x:v>非前20%</x:v>
      </x:c>
      <x:c r="U74" s="26" t="str">
        <x:f>IF(COUNTIFS($I$6:$I$151,"&lt;"&amp;I74)&gt;=30,"非后20%",IF(COUNTIFS($I$6:$I$151,"&lt;="&amp;I74)&gt;=30,"边界同分","严格后20%"))</x:f>
        <x:v>非后20%</x:v>
      </x:c>
      <x:c r="V74" s="22" t="n">
        <x:f>'指标计算'!P98</x:f>
        <x:v>-0.0760685021771465</x:v>
      </x:c>
      <x:c r="W74" s="22" t="n">
        <x:f>'指标计算'!Q98</x:f>
        <x:v>-0.09508562772143313</x:v>
      </x:c>
      <x:c r="X74" s="22" t="str">
        <x:v>["S0293"]</x:v>
      </x:c>
      <x:c r="Y74" s="22" t="str">
        <x:v>evidence/student_evidence.jsonl；student_key=2025秋:259404</x:v>
      </x:c>
      <x:c r="Z74" s="26" t="n">
        <x:f>IF(OR(B74="s3",B74="s6"),COUNTIFS($B$6:$B$151,B74,$K$6:$K$151,"&gt;"&amp;K74)+(COUNTIFS($B$6:$B$151,B74,$K$6:$K$151,K74)+1)/2,"NA")</x:f>
        <x:v>78.5</x:v>
      </x:c>
      <x:c r="AA74" s="26" t="n">
        <x:f>IF(OR(B74="s3",B74="s6"),COUNTIFS($B$6:$B$151,B74,$M$6:$M$151,"&gt;"&amp;M74)+(COUNTIFS($B$6:$B$151,B74,$M$6:$M$151,M74)+1)/2,"NA")</x:f>
        <x:v>64.5</x:v>
      </x:c>
      <x:c r="AB74" s="26" t="n">
        <x:f>IF(OR(B74="s3",B74="s6"),COUNTIFS($B$6:$B$151,B74,$O$6:$O$151,"&gt;"&amp;O74)+(COUNTIFS($B$6:$B$151,B74,$O$6:$O$151,O74)+1)/2,"NA")</x:f>
        <x:v>72.5</x:v>
      </x:c>
      <x:c r="AC74" s="26" t="n">
        <x:f>IF(OR(B74="s3",B74="s6"),COUNTIFS($B$6:$B$151,B74,$Q$6:$Q$151,"&gt;"&amp;Q74)+(COUNTIFS($B$6:$B$151,B74,$Q$6:$Q$151,Q74)+1)/2,"NA")</x:f>
        <x:v>63.5</x:v>
      </x:c>
      <x:c r="AD74" s="25" t="n">
        <x:v>60.83276901116501</x:v>
      </x:c>
      <x:c r="AE74" s="25" t="n">
        <x:v>66.5</x:v>
      </x:c>
      <x:c r="AF74" s="25" t="n">
        <x:v>64.5</x:v>
      </x:c>
      <x:c r="AG74" s="25" t="n">
        <x:v>-1</x:v>
      </x:c>
    </x:row>
    <x:row r="75" ht="23" customHeight="1">
      <x:c r="A75" s="21" t="str">
        <x:v>2026春:268206</x:v>
      </x:c>
      <x:c r="B75" s="22" t="str">
        <x:v>s3</x:v>
      </x:c>
      <x:c r="C75" s="24" t="n">
        <x:v>1</x:v>
      </x:c>
      <x:c r="D75" s="24" t="n">
        <x:v>1</x:v>
      </x:c>
      <x:c r="E75" s="29" t="n">
        <x:f>'指标计算'!S169</x:f>
        <x:v>0.5156614362548273</x:v>
      </x:c>
      <x:c r="F75" s="29" t="n">
        <x:f>'指标计算'!T169</x:f>
        <x:v>0.6879372350579278</x:v>
      </x:c>
      <x:c r="G75" s="29" t="n">
        <x:f>'指标计算'!U169</x:f>
        <x:v>0.6879372350579278</x:v>
      </x:c>
      <x:c r="H75" s="29" t="n">
        <x:f>'指标计算'!V169</x:f>
        <x:v>0.6666666666666666</x:v>
      </x:c>
      <x:c r="I75" s="30" t="n">
        <x:f>IF(COUNT('总览与权重'!$H$11:$K$11)=4,ROUND(100*SUMPRODUCT(E75:H75,'总览与权重'!$H$11:$K$11),12),"NA")</x:f>
        <x:v>62.987332489962</x:v>
      </x:c>
      <x:c r="J75" s="30" t="n">
        <x:f>IF(ISNUMBER(I75),COUNTIFS($I$6:$I$151,"&gt;"&amp;I75)+(COUNTIFS($I$6:$I$151,I75)+1)/2,"NA")</x:f>
        <x:v>70</x:v>
      </x:c>
      <x:c r="K75" s="30" t="n">
        <x:f>IF(COUNT('总览与权重'!$H$12:$K$12)=4,ROUND(100*SUMPRODUCT(E75:H75,'总览与权重'!$H$12:$K$12),12),"NA")</x:f>
        <x:v>64.922796161906</x:v>
      </x:c>
      <x:c r="L75" s="30" t="n">
        <x:f>IF(ISNUMBER(K75),COUNTIFS($K$6:$K$151,"&gt;"&amp;K75)+(COUNTIFS($K$6:$K$151,K75)+1)/2,"NA")</x:f>
        <x:v>44</x:v>
      </x:c>
      <x:c r="M75" s="30" t="n">
        <x:f>IF(COUNT('总览与权重'!$H$13:$K$13)=4,ROUND(100*SUMPRODUCT(E75:H75,'总览与权重'!$H$13:$K$13),12),"NA")</x:f>
        <x:v>63.742358642021</x:v>
      </x:c>
      <x:c r="N75" s="30" t="n">
        <x:f>IF(ISNUMBER(M75),COUNTIFS($M$6:$M$151,"&gt;"&amp;M75)+(COUNTIFS($M$6:$M$151,M75)+1)/2,"NA")</x:f>
        <x:v>96</x:v>
      </x:c>
      <x:c r="O75" s="30" t="n">
        <x:f>IF(COUNT('总览与权重'!$H$14:$K$14)=4,ROUND(100*SUMPRODUCT(E75:H75,'总览与权重'!$H$14:$K$14),12),"NA")</x:f>
        <x:v>68.107564406501</x:v>
      </x:c>
      <x:c r="P75" s="30" t="n">
        <x:f>IF(ISNUMBER(O75),COUNTIFS($O$6:$O$151,"&gt;"&amp;O75)+(COUNTIFS($O$6:$O$151,O75)+1)/2,"NA")</x:f>
        <x:v>47</x:v>
      </x:c>
      <x:c r="Q75" s="30" t="n">
        <x:f>IF(COUNT('总览与权重'!$H$15:$K$15)=4,ROUND(100*SUMPRODUCT(E75:H75,'总览与权重'!$H$15:$K$15),12),"NA")</x:f>
        <x:v>67.436424517778</x:v>
      </x:c>
      <x:c r="R75" s="30" t="n">
        <x:f>IF(ISNUMBER(Q75),COUNTIFS($Q$6:$Q$151,"&gt;"&amp;Q75)+(COUNTIFS($Q$6:$Q$151,Q75)+1)/2,"NA")</x:f>
        <x:v>94</x:v>
      </x:c>
      <x:c r="S75" s="31" t="n">
        <x:f>IF(OR(B75="s3",B75="s6"),COUNTIFS($B$6:$B$151,B75,$I$6:$I$151,"&gt;"&amp;I75)+(COUNTIFS($B$6:$B$151,B75,$I$6:$I$151,I75)+1)/2,"NA")</x:f>
        <x:v>67</x:v>
      </x:c>
      <x:c r="T75" s="26" t="str">
        <x:f>IF(COUNTIFS($I$6:$I$151,"&gt;"&amp;I75)&gt;=30,"非前20%",IF(COUNTIFS($I$6:$I$151,"&gt;="&amp;I75)&gt;=30,"边界同分","严格前20%"))</x:f>
        <x:v>非前20%</x:v>
      </x:c>
      <x:c r="U75" s="26" t="str">
        <x:f>IF(COUNTIFS($I$6:$I$151,"&lt;"&amp;I75)&gt;=30,"非后20%",IF(COUNTIFS($I$6:$I$151,"&lt;="&amp;I75)&gt;=30,"边界同分","严格后20%"))</x:f>
        <x:v>非后20%</x:v>
      </x:c>
      <x:c r="V75" s="22" t="n">
        <x:f>'指标计算'!P169</x:f>
        <x:v>0.3758744701158555</x:v>
      </x:c>
      <x:c r="W75" s="22" t="n">
        <x:f>'指标计算'!Q169</x:f>
        <x:v>0.3758744701158555</x:v>
      </x:c>
      <x:c r="X75" s="22" t="str">
        <x:v>["S1083"]</x:v>
      </x:c>
      <x:c r="Y75" s="22" t="str">
        <x:v>evidence/student_evidence.jsonl；student_key=2026春:268206</x:v>
      </x:c>
      <x:c r="Z75" s="26" t="n">
        <x:f>IF(OR(B75="s3",B75="s6"),COUNTIFS($B$6:$B$151,B75,$K$6:$K$151,"&gt;"&amp;K75)+(COUNTIFS($B$6:$B$151,B75,$K$6:$K$151,K75)+1)/2,"NA")</x:f>
        <x:v>41</x:v>
      </x:c>
      <x:c r="AA75" s="26" t="n">
        <x:f>IF(OR(B75="s3",B75="s6"),COUNTIFS($B$6:$B$151,B75,$M$6:$M$151,"&gt;"&amp;M75)+(COUNTIFS($B$6:$B$151,B75,$M$6:$M$151,M75)+1)/2,"NA")</x:f>
        <x:v>92</x:v>
      </x:c>
      <x:c r="AB75" s="26" t="n">
        <x:f>IF(OR(B75="s3",B75="s6"),COUNTIFS($B$6:$B$151,B75,$O$6:$O$151,"&gt;"&amp;O75)+(COUNTIFS($B$6:$B$151,B75,$O$6:$O$151,O75)+1)/2,"NA")</x:f>
        <x:v>44</x:v>
      </x:c>
      <x:c r="AC75" s="26" t="n">
        <x:f>IF(OR(B75="s3",B75="s6"),COUNTIFS($B$6:$B$151,B75,$Q$6:$Q$151,"&gt;"&amp;Q75)+(COUNTIFS($B$6:$B$151,B75,$Q$6:$Q$151,Q75)+1)/2,"NA")</x:f>
        <x:v>92</x:v>
      </x:c>
      <x:c r="AD75" s="25" t="n">
        <x:v>59.827459181737034</x:v>
      </x:c>
      <x:c r="AE75" s="25" t="n">
        <x:v>71</x:v>
      </x:c>
      <x:c r="AF75" s="25" t="n">
        <x:v>68</x:v>
      </x:c>
      <x:c r="AG75" s="25" t="n">
        <x:v>1</x:v>
      </x:c>
    </x:row>
    <x:row r="76" ht="23" customHeight="1">
      <x:c r="A76" s="21" t="str">
        <x:v>2025秋:258440</x:v>
      </x:c>
      <x:c r="B76" s="22" t="str">
        <x:v>s3</x:v>
      </x:c>
      <x:c r="C76" s="24" t="n">
        <x:v>2</x:v>
      </x:c>
      <x:c r="D76" s="24" t="n">
        <x:v>2</x:v>
      </x:c>
      <x:c r="E76" s="29" t="n">
        <x:f>'指标计算'!S17</x:f>
        <x:v>0.4919186046742539</x:v>
      </x:c>
      <x:c r="F76" s="29" t="n">
        <x:f>'指标计算'!T17</x:f>
        <x:v>0.44612403116169264</x:v>
      </x:c>
      <x:c r="G76" s="29" t="n">
        <x:f>'指标计算'!U17</x:f>
        <x:v>0.45245718613928343</x:v>
      </x:c>
      <x:c r="H76" s="29" t="n">
        <x:f>'指标计算'!V17</x:f>
        <x:v>1</x:v>
      </x:c>
      <x:c r="I76" s="30" t="n">
        <x:f>IF(COUNT('总览与权重'!$H$11:$K$11)=4,ROUND(100*SUMPRODUCT(E76:H76,'总览与权重'!$H$11:$K$11),12),"NA")</x:f>
        <x:v>62.697516711359</x:v>
      </x:c>
      <x:c r="J76" s="30" t="n">
        <x:f>IF(ISNUMBER(I76),COUNTIFS($I$6:$I$151,"&gt;"&amp;I76)+(COUNTIFS($I$6:$I$151,I76)+1)/2,"NA")</x:f>
        <x:v>71</x:v>
      </x:c>
      <x:c r="K76" s="30" t="n">
        <x:f>IF(COUNT('总览与权重'!$H$12:$K$12)=4,ROUND(100*SUMPRODUCT(E76:H76,'总览与权重'!$H$12:$K$12),12),"NA")</x:f>
        <x:v>56.85914016229</x:v>
      </x:c>
      <x:c r="L76" s="30" t="n">
        <x:f>IF(ISNUMBER(K76),COUNTIFS($K$6:$K$151,"&gt;"&amp;K76)+(COUNTIFS($K$6:$K$151,K76)+1)/2,"NA")</x:f>
        <x:v>85</x:v>
      </x:c>
      <x:c r="M76" s="30" t="n">
        <x:f>IF(COUNT('总览与权重'!$H$13:$K$13)=4,ROUND(100*SUMPRODUCT(E76:H76,'总览与权重'!$H$13:$K$13),12),"NA")</x:f>
        <x:v>65.2062579131</x:v>
      </x:c>
      <x:c r="N76" s="30" t="n">
        <x:f>IF(ISNUMBER(M76),COUNTIFS($M$6:$M$151,"&gt;"&amp;M76)+(COUNTIFS($M$6:$M$151,M76)+1)/2,"NA")</x:f>
        <x:v>69</x:v>
      </x:c>
      <x:c r="O76" s="30" t="n">
        <x:f>IF(COUNT('总览与权重'!$H$14:$K$14)=4,ROUND(100*SUMPRODUCT(E76:H76,'总览与权重'!$H$14:$K$14),12),"NA")</x:f>
        <x:v>61.46320776132</x:v>
      </x:c>
      <x:c r="P76" s="30" t="n">
        <x:f>IF(ISNUMBER(O76),COUNTIFS($O$6:$O$151,"&gt;"&amp;O76)+(COUNTIFS($O$6:$O$151,O76)+1)/2,"NA")</x:f>
        <x:v>78</x:v>
      </x:c>
      <x:c r="Q76" s="30" t="n">
        <x:f>IF(COUNT('总览与权重'!$H$15:$K$15)=4,ROUND(100*SUMPRODUCT(E76:H76,'总览与权重'!$H$15:$K$15),12),"NA")</x:f>
        <x:v>79.412835788205</x:v>
      </x:c>
      <x:c r="R76" s="30" t="n">
        <x:f>IF(ISNUMBER(Q76),COUNTIFS($Q$6:$Q$151,"&gt;"&amp;Q76)+(COUNTIFS($Q$6:$Q$151,Q76)+1)/2,"NA")</x:f>
        <x:v>67</x:v>
      </x:c>
      <x:c r="S76" s="31" t="n">
        <x:f>IF(OR(B76="s3",B76="s6"),COUNTIFS($B$6:$B$151,B76,$I$6:$I$151,"&gt;"&amp;I76)+(COUNTIFS($B$6:$B$151,B76,$I$6:$I$151,I76)+1)/2,"NA")</x:f>
        <x:v>68</x:v>
      </x:c>
      <x:c r="T76" s="26" t="str">
        <x:f>IF(COUNTIFS($I$6:$I$151,"&gt;"&amp;I76)&gt;=30,"非前20%",IF(COUNTIFS($I$6:$I$151,"&gt;="&amp;I76)&gt;=30,"边界同分","严格前20%"))</x:f>
        <x:v>非前20%</x:v>
      </x:c>
      <x:c r="U76" s="26" t="str">
        <x:f>IF(COUNTIFS($I$6:$I$151,"&lt;"&amp;I76)&gt;=30,"非后20%",IF(COUNTIFS($I$6:$I$151,"&lt;="&amp;I76)&gt;=30,"边界同分","严格后20%"))</x:f>
        <x:v>非后20%</x:v>
      </x:c>
      <x:c r="V76" s="22" t="n">
        <x:f>'指标计算'!P17</x:f>
        <x:v>-0.19395348781790644</x:v>
      </x:c>
      <x:c r="W76" s="22" t="n">
        <x:f>'指标计算'!Q17</x:f>
        <x:v>-0.10775193767661469</x:v>
      </x:c>
      <x:c r="X76" s="22" t="str">
        <x:v>["S0350","S0666"]</x:v>
      </x:c>
      <x:c r="Y76" s="22" t="str">
        <x:v>evidence/student_evidence.jsonl；student_key=2025秋:258440</x:v>
      </x:c>
      <x:c r="Z76" s="26" t="n">
        <x:f>IF(OR(B76="s3",B76="s6"),COUNTIFS($B$6:$B$151,B76,$K$6:$K$151,"&gt;"&amp;K76)+(COUNTIFS($B$6:$B$151,B76,$K$6:$K$151,K76)+1)/2,"NA")</x:f>
        <x:v>81</x:v>
      </x:c>
      <x:c r="AA76" s="26" t="n">
        <x:f>IF(OR(B76="s3",B76="s6"),COUNTIFS($B$6:$B$151,B76,$M$6:$M$151,"&gt;"&amp;M76)+(COUNTIFS($B$6:$B$151,B76,$M$6:$M$151,M76)+1)/2,"NA")</x:f>
        <x:v>67</x:v>
      </x:c>
      <x:c r="AB76" s="26" t="n">
        <x:f>IF(OR(B76="s3",B76="s6"),COUNTIFS($B$6:$B$151,B76,$O$6:$O$151,"&gt;"&amp;O76)+(COUNTIFS($B$6:$B$151,B76,$O$6:$O$151,O76)+1)/2,"NA")</x:f>
        <x:v>75</x:v>
      </x:c>
      <x:c r="AC76" s="26" t="n">
        <x:f>IF(OR(B76="s3",B76="s6"),COUNTIFS($B$6:$B$151,B76,$Q$6:$Q$151,"&gt;"&amp;Q76)+(COUNTIFS($B$6:$B$151,B76,$Q$6:$Q$151,Q76)+1)/2,"NA")</x:f>
        <x:v>66</x:v>
      </x:c>
      <x:c r="AD76" s="25" t="n">
        <x:v>60.194817484575694</x:v>
      </x:c>
      <x:c r="AE76" s="25" t="n">
        <x:v>70</x:v>
      </x:c>
      <x:c r="AF76" s="25" t="n">
        <x:v>67</x:v>
      </x:c>
      <x:c r="AG76" s="25" t="n">
        <x:v>-1</x:v>
      </x:c>
    </x:row>
    <x:row r="77" ht="23" customHeight="1">
      <x:c r="A77" s="21" t="str">
        <x:v>2025秋:258995</x:v>
      </x:c>
      <x:c r="B77" s="22" t="str">
        <x:v>s3</x:v>
      </x:c>
      <x:c r="C77" s="24" t="n">
        <x:v>1</x:v>
      </x:c>
      <x:c r="D77" s="24" t="n">
        <x:v>1</x:v>
      </x:c>
      <x:c r="E77" s="29" t="n">
        <x:f>'指标计算'!S59</x:f>
        <x:v>0.4950881255983017</x:v>
      </x:c>
      <x:c r="F77" s="29" t="n">
        <x:f>'指标计算'!T59</x:f>
        <x:v>0.44105750717962006</x:v>
      </x:c>
      <x:c r="G77" s="29" t="n">
        <x:f>'指标计算'!U59</x:f>
        <x:v>0.44105750717962006</x:v>
      </x:c>
      <x:c r="H77" s="29" t="n">
        <x:f>'指标计算'!V59</x:f>
        <x:v>1</x:v>
      </x:c>
      <x:c r="I77" s="30" t="n">
        <x:f>IF(COUNT('总览与权重'!$H$11:$K$11)=4,ROUND(100*SUMPRODUCT(E77:H77,'总览与权重'!$H$11:$K$11),12),"NA")</x:f>
        <x:v>62.494944055134</x:v>
      </x:c>
      <x:c r="J77" s="30" t="n">
        <x:f>IF(ISNUMBER(I77),COUNTIFS($I$6:$I$151,"&gt;"&amp;I77)+(COUNTIFS($I$6:$I$151,I77)+1)/2,"NA")</x:f>
        <x:v>75</x:v>
      </x:c>
      <x:c r="K77" s="30" t="n">
        <x:f>IF(COUNT('总览与权重'!$H$12:$K$12)=4,ROUND(100*SUMPRODUCT(E77:H77,'总览与权重'!$H$12:$K$12),12),"NA")</x:f>
        <x:v>56.365212942743</x:v>
      </x:c>
      <x:c r="L77" s="30" t="n">
        <x:f>IF(ISNUMBER(K77),COUNTIFS($K$6:$K$151,"&gt;"&amp;K77)+(COUNTIFS($K$6:$K$151,K77)+1)/2,"NA")</x:f>
        <x:v>90</x:v>
      </x:c>
      <x:c r="M77" s="30" t="n">
        <x:f>IF(COUNT('总览与权重'!$H$13:$K$13)=4,ROUND(100*SUMPRODUCT(E77:H77,'总览与权重'!$H$13:$K$13),12),"NA")</x:f>
        <x:v>65.019503427142</x:v>
      </x:c>
      <x:c r="N77" s="30" t="n">
        <x:f>IF(ISNUMBER(M77),COUNTIFS($M$6:$M$151,"&gt;"&amp;M77)+(COUNTIFS($M$6:$M$151,M77)+1)/2,"NA")</x:f>
        <x:v>73</x:v>
      </x:c>
      <x:c r="O77" s="30" t="n">
        <x:f>IF(COUNT('总览与权重'!$H$14:$K$14)=4,ROUND(100*SUMPRODUCT(E77:H77,'总览与权重'!$H$14:$K$14),12),"NA")</x:f>
        <x:v>60.889092862919</x:v>
      </x:c>
      <x:c r="P77" s="30" t="n">
        <x:f>IF(ISNUMBER(O77),COUNTIFS($O$6:$O$151,"&gt;"&amp;O77)+(COUNTIFS($O$6:$O$151,O77)+1)/2,"NA")</x:f>
        <x:v>83</x:v>
      </x:c>
      <x:c r="Q77" s="30" t="n">
        <x:f>IF(COUNT('总览与权重'!$H$15:$K$15)=4,ROUND(100*SUMPRODUCT(E77:H77,'总览与权重'!$H$15:$K$15),12),"NA")</x:f>
        <x:v>79.106131545242</x:v>
      </x:c>
      <x:c r="R77" s="30" t="n">
        <x:f>IF(ISNUMBER(Q77),COUNTIFS($Q$6:$Q$151,"&gt;"&amp;Q77)+(COUNTIFS($Q$6:$Q$151,Q77)+1)/2,"NA")</x:f>
        <x:v>71</x:v>
      </x:c>
      <x:c r="S77" s="31" t="n">
        <x:f>IF(OR(B77="s3",B77="s6"),COUNTIFS($B$6:$B$151,B77,$I$6:$I$151,"&gt;"&amp;I77)+(COUNTIFS($B$6:$B$151,B77,$I$6:$I$151,I77)+1)/2,"NA")</x:f>
        <x:v>72</x:v>
      </x:c>
      <x:c r="T77" s="26" t="str">
        <x:f>IF(COUNTIFS($I$6:$I$151,"&gt;"&amp;I77)&gt;=30,"非前20%",IF(COUNTIFS($I$6:$I$151,"&gt;="&amp;I77)&gt;=30,"边界同分","严格前20%"))</x:f>
        <x:v>非前20%</x:v>
      </x:c>
      <x:c r="U77" s="26" t="str">
        <x:f>IF(COUNTIFS($I$6:$I$151,"&lt;"&amp;I77)&gt;=30,"非后20%",IF(COUNTIFS($I$6:$I$151,"&lt;="&amp;I77)&gt;=30,"边界同分","严格后20%"))</x:f>
        <x:v>非后20%</x:v>
      </x:c>
      <x:c r="V77" s="22" t="n">
        <x:f>'指标计算'!P59</x:f>
        <x:v>-0.11788498564075993</x:v>
      </x:c>
      <x:c r="W77" s="22" t="n">
        <x:f>'指标计算'!Q59</x:f>
        <x:v>-0.11788498564075993</x:v>
      </x:c>
      <x:c r="X77" s="22" t="str">
        <x:v>["S0408"]</x:v>
      </x:c>
      <x:c r="Y77" s="22" t="str">
        <x:v>evidence/student_evidence.jsonl；student_key=2025秋:258995</x:v>
      </x:c>
      <x:c r="Z77" s="26" t="n">
        <x:f>IF(OR(B77="s3",B77="s6"),COUNTIFS($B$6:$B$151,B77,$K$6:$K$151,"&gt;"&amp;K77)+(COUNTIFS($B$6:$B$151,B77,$K$6:$K$151,K77)+1)/2,"NA")</x:f>
        <x:v>86</x:v>
      </x:c>
      <x:c r="AA77" s="26" t="n">
        <x:f>IF(OR(B77="s3",B77="s6"),COUNTIFS($B$6:$B$151,B77,$M$6:$M$151,"&gt;"&amp;M77)+(COUNTIFS($B$6:$B$151,B77,$M$6:$M$151,M77)+1)/2,"NA")</x:f>
        <x:v>71</x:v>
      </x:c>
      <x:c r="AB77" s="26" t="n">
        <x:f>IF(OR(B77="s3",B77="s6"),COUNTIFS($B$6:$B$151,B77,$O$6:$O$151,"&gt;"&amp;O77)+(COUNTIFS($B$6:$B$151,B77,$O$6:$O$151,O77)+1)/2,"NA")</x:f>
        <x:v>80</x:v>
      </x:c>
      <x:c r="AC77" s="26" t="n">
        <x:f>IF(OR(B77="s3",B77="s6"),COUNTIFS($B$6:$B$151,B77,$Q$6:$Q$151,"&gt;"&amp;Q77)+(COUNTIFS($B$6:$B$151,B77,$Q$6:$Q$151,Q77)+1)/2,"NA")</x:f>
        <x:v>70</x:v>
      </x:c>
      <x:c r="AD77" s="25" t="n">
        <x:v>59.772057158540214</x:v>
      </x:c>
      <x:c r="AE77" s="25" t="n">
        <x:v>75</x:v>
      </x:c>
      <x:c r="AF77" s="25" t="n">
        <x:v>72</x:v>
      </x:c>
      <x:c r="AG77" s="25" t="n">
        <x:v>0</x:v>
      </x:c>
    </x:row>
    <x:row r="78" ht="23" customHeight="1">
      <x:c r="A78" s="21" t="str">
        <x:v>2025秋:259023</x:v>
      </x:c>
      <x:c r="B78" s="22" t="str">
        <x:v>s3</x:v>
      </x:c>
      <x:c r="C78" s="24" t="n">
        <x:v>1</x:v>
      </x:c>
      <x:c r="D78" s="24" t="n">
        <x:v>1</x:v>
      </x:c>
      <x:c r="E78" s="29" t="n">
        <x:f>'指标计算'!S65</x:f>
        <x:v>0.4950881255983017</x:v>
      </x:c>
      <x:c r="F78" s="29" t="n">
        <x:f>'指标计算'!T65</x:f>
        <x:v>0.44105750717962006</x:v>
      </x:c>
      <x:c r="G78" s="29" t="n">
        <x:f>'指标计算'!U65</x:f>
        <x:v>0.44105750717962006</x:v>
      </x:c>
      <x:c r="H78" s="29" t="n">
        <x:f>'指标计算'!V65</x:f>
        <x:v>1</x:v>
      </x:c>
      <x:c r="I78" s="30" t="n">
        <x:f>IF(COUNT('总览与权重'!$H$11:$K$11)=4,ROUND(100*SUMPRODUCT(E78:H78,'总览与权重'!$H$11:$K$11),12),"NA")</x:f>
        <x:v>62.494944055134</x:v>
      </x:c>
      <x:c r="J78" s="30" t="n">
        <x:f>IF(ISNUMBER(I78),COUNTIFS($I$6:$I$151,"&gt;"&amp;I78)+(COUNTIFS($I$6:$I$151,I78)+1)/2,"NA")</x:f>
        <x:v>75</x:v>
      </x:c>
      <x:c r="K78" s="30" t="n">
        <x:f>IF(COUNT('总览与权重'!$H$12:$K$12)=4,ROUND(100*SUMPRODUCT(E78:H78,'总览与权重'!$H$12:$K$12),12),"NA")</x:f>
        <x:v>56.365212942743</x:v>
      </x:c>
      <x:c r="L78" s="30" t="n">
        <x:f>IF(ISNUMBER(K78),COUNTIFS($K$6:$K$151,"&gt;"&amp;K78)+(COUNTIFS($K$6:$K$151,K78)+1)/2,"NA")</x:f>
        <x:v>90</x:v>
      </x:c>
      <x:c r="M78" s="30" t="n">
        <x:f>IF(COUNT('总览与权重'!$H$13:$K$13)=4,ROUND(100*SUMPRODUCT(E78:H78,'总览与权重'!$H$13:$K$13),12),"NA")</x:f>
        <x:v>65.019503427142</x:v>
      </x:c>
      <x:c r="N78" s="30" t="n">
        <x:f>IF(ISNUMBER(M78),COUNTIFS($M$6:$M$151,"&gt;"&amp;M78)+(COUNTIFS($M$6:$M$151,M78)+1)/2,"NA")</x:f>
        <x:v>73</x:v>
      </x:c>
      <x:c r="O78" s="30" t="n">
        <x:f>IF(COUNT('总览与权重'!$H$14:$K$14)=4,ROUND(100*SUMPRODUCT(E78:H78,'总览与权重'!$H$14:$K$14),12),"NA")</x:f>
        <x:v>60.889092862919</x:v>
      </x:c>
      <x:c r="P78" s="30" t="n">
        <x:f>IF(ISNUMBER(O78),COUNTIFS($O$6:$O$151,"&gt;"&amp;O78)+(COUNTIFS($O$6:$O$151,O78)+1)/2,"NA")</x:f>
        <x:v>83</x:v>
      </x:c>
      <x:c r="Q78" s="30" t="n">
        <x:f>IF(COUNT('总览与权重'!$H$15:$K$15)=4,ROUND(100*SUMPRODUCT(E78:H78,'总览与权重'!$H$15:$K$15),12),"NA")</x:f>
        <x:v>79.106131545242</x:v>
      </x:c>
      <x:c r="R78" s="30" t="n">
        <x:f>IF(ISNUMBER(Q78),COUNTIFS($Q$6:$Q$151,"&gt;"&amp;Q78)+(COUNTIFS($Q$6:$Q$151,Q78)+1)/2,"NA")</x:f>
        <x:v>71</x:v>
      </x:c>
      <x:c r="S78" s="31" t="n">
        <x:f>IF(OR(B78="s3",B78="s6"),COUNTIFS($B$6:$B$151,B78,$I$6:$I$151,"&gt;"&amp;I78)+(COUNTIFS($B$6:$B$151,B78,$I$6:$I$151,I78)+1)/2,"NA")</x:f>
        <x:v>72</x:v>
      </x:c>
      <x:c r="T78" s="26" t="str">
        <x:f>IF(COUNTIFS($I$6:$I$151,"&gt;"&amp;I78)&gt;=30,"非前20%",IF(COUNTIFS($I$6:$I$151,"&gt;="&amp;I78)&gt;=30,"边界同分","严格前20%"))</x:f>
        <x:v>非前20%</x:v>
      </x:c>
      <x:c r="U78" s="26" t="str">
        <x:f>IF(COUNTIFS($I$6:$I$151,"&lt;"&amp;I78)&gt;=30,"非后20%",IF(COUNTIFS($I$6:$I$151,"&lt;="&amp;I78)&gt;=30,"边界同分","严格后20%"))</x:f>
        <x:v>非后20%</x:v>
      </x:c>
      <x:c r="V78" s="22" t="n">
        <x:f>'指标计算'!P65</x:f>
        <x:v>-0.11788498564075993</x:v>
      </x:c>
      <x:c r="W78" s="22" t="n">
        <x:f>'指标计算'!Q65</x:f>
        <x:v>-0.11788498564075993</x:v>
      </x:c>
      <x:c r="X78" s="22" t="str">
        <x:v>["S0463"]</x:v>
      </x:c>
      <x:c r="Y78" s="22" t="str">
        <x:v>evidence/student_evidence.jsonl；student_key=2025秋:259023</x:v>
      </x:c>
      <x:c r="Z78" s="26" t="n">
        <x:f>IF(OR(B78="s3",B78="s6"),COUNTIFS($B$6:$B$151,B78,$K$6:$K$151,"&gt;"&amp;K78)+(COUNTIFS($B$6:$B$151,B78,$K$6:$K$151,K78)+1)/2,"NA")</x:f>
        <x:v>86</x:v>
      </x:c>
      <x:c r="AA78" s="26" t="n">
        <x:f>IF(OR(B78="s3",B78="s6"),COUNTIFS($B$6:$B$151,B78,$M$6:$M$151,"&gt;"&amp;M78)+(COUNTIFS($B$6:$B$151,B78,$M$6:$M$151,M78)+1)/2,"NA")</x:f>
        <x:v>71</x:v>
      </x:c>
      <x:c r="AB78" s="26" t="n">
        <x:f>IF(OR(B78="s3",B78="s6"),COUNTIFS($B$6:$B$151,B78,$O$6:$O$151,"&gt;"&amp;O78)+(COUNTIFS($B$6:$B$151,B78,$O$6:$O$151,O78)+1)/2,"NA")</x:f>
        <x:v>80</x:v>
      </x:c>
      <x:c r="AC78" s="26" t="n">
        <x:f>IF(OR(B78="s3",B78="s6"),COUNTIFS($B$6:$B$151,B78,$Q$6:$Q$151,"&gt;"&amp;Q78)+(COUNTIFS($B$6:$B$151,B78,$Q$6:$Q$151,Q78)+1)/2,"NA")</x:f>
        <x:v>70</x:v>
      </x:c>
      <x:c r="AD78" s="25" t="n">
        <x:v>59.772057158540214</x:v>
      </x:c>
      <x:c r="AE78" s="25" t="n">
        <x:v>75</x:v>
      </x:c>
      <x:c r="AF78" s="25" t="n">
        <x:v>72</x:v>
      </x:c>
      <x:c r="AG78" s="25" t="n">
        <x:v>0</x:v>
      </x:c>
    </x:row>
    <x:row r="79" ht="23" customHeight="1">
      <x:c r="A79" s="21" t="str">
        <x:v>2025秋:259097</x:v>
      </x:c>
      <x:c r="B79" s="22" t="str">
        <x:v>s3</x:v>
      </x:c>
      <x:c r="C79" s="24" t="n">
        <x:v>1</x:v>
      </x:c>
      <x:c r="D79" s="24" t="n">
        <x:v>1</x:v>
      </x:c>
      <x:c r="E79" s="29" t="n">
        <x:f>'指标计算'!S74</x:f>
        <x:v>0.4950881255983017</x:v>
      </x:c>
      <x:c r="F79" s="29" t="n">
        <x:f>'指标计算'!T74</x:f>
        <x:v>0.44105750717962006</x:v>
      </x:c>
      <x:c r="G79" s="29" t="n">
        <x:f>'指标计算'!U74</x:f>
        <x:v>0.44105750717962006</x:v>
      </x:c>
      <x:c r="H79" s="29" t="n">
        <x:f>'指标计算'!V74</x:f>
        <x:v>1</x:v>
      </x:c>
      <x:c r="I79" s="30" t="n">
        <x:f>IF(COUNT('总览与权重'!$H$11:$K$11)=4,ROUND(100*SUMPRODUCT(E79:H79,'总览与权重'!$H$11:$K$11),12),"NA")</x:f>
        <x:v>62.494944055134</x:v>
      </x:c>
      <x:c r="J79" s="30" t="n">
        <x:f>IF(ISNUMBER(I79),COUNTIFS($I$6:$I$151,"&gt;"&amp;I79)+(COUNTIFS($I$6:$I$151,I79)+1)/2,"NA")</x:f>
        <x:v>75</x:v>
      </x:c>
      <x:c r="K79" s="30" t="n">
        <x:f>IF(COUNT('总览与权重'!$H$12:$K$12)=4,ROUND(100*SUMPRODUCT(E79:H79,'总览与权重'!$H$12:$K$12),12),"NA")</x:f>
        <x:v>56.365212942743</x:v>
      </x:c>
      <x:c r="L79" s="30" t="n">
        <x:f>IF(ISNUMBER(K79),COUNTIFS($K$6:$K$151,"&gt;"&amp;K79)+(COUNTIFS($K$6:$K$151,K79)+1)/2,"NA")</x:f>
        <x:v>90</x:v>
      </x:c>
      <x:c r="M79" s="30" t="n">
        <x:f>IF(COUNT('总览与权重'!$H$13:$K$13)=4,ROUND(100*SUMPRODUCT(E79:H79,'总览与权重'!$H$13:$K$13),12),"NA")</x:f>
        <x:v>65.019503427142</x:v>
      </x:c>
      <x:c r="N79" s="30" t="n">
        <x:f>IF(ISNUMBER(M79),COUNTIFS($M$6:$M$151,"&gt;"&amp;M79)+(COUNTIFS($M$6:$M$151,M79)+1)/2,"NA")</x:f>
        <x:v>73</x:v>
      </x:c>
      <x:c r="O79" s="30" t="n">
        <x:f>IF(COUNT('总览与权重'!$H$14:$K$14)=4,ROUND(100*SUMPRODUCT(E79:H79,'总览与权重'!$H$14:$K$14),12),"NA")</x:f>
        <x:v>60.889092862919</x:v>
      </x:c>
      <x:c r="P79" s="30" t="n">
        <x:f>IF(ISNUMBER(O79),COUNTIFS($O$6:$O$151,"&gt;"&amp;O79)+(COUNTIFS($O$6:$O$151,O79)+1)/2,"NA")</x:f>
        <x:v>83</x:v>
      </x:c>
      <x:c r="Q79" s="30" t="n">
        <x:f>IF(COUNT('总览与权重'!$H$15:$K$15)=4,ROUND(100*SUMPRODUCT(E79:H79,'总览与权重'!$H$15:$K$15),12),"NA")</x:f>
        <x:v>79.106131545242</x:v>
      </x:c>
      <x:c r="R79" s="30" t="n">
        <x:f>IF(ISNUMBER(Q79),COUNTIFS($Q$6:$Q$151,"&gt;"&amp;Q79)+(COUNTIFS($Q$6:$Q$151,Q79)+1)/2,"NA")</x:f>
        <x:v>71</x:v>
      </x:c>
      <x:c r="S79" s="31" t="n">
        <x:f>IF(OR(B79="s3",B79="s6"),COUNTIFS($B$6:$B$151,B79,$I$6:$I$151,"&gt;"&amp;I79)+(COUNTIFS($B$6:$B$151,B79,$I$6:$I$151,I79)+1)/2,"NA")</x:f>
        <x:v>72</x:v>
      </x:c>
      <x:c r="T79" s="26" t="str">
        <x:f>IF(COUNTIFS($I$6:$I$151,"&gt;"&amp;I79)&gt;=30,"非前20%",IF(COUNTIFS($I$6:$I$151,"&gt;="&amp;I79)&gt;=30,"边界同分","严格前20%"))</x:f>
        <x:v>非前20%</x:v>
      </x:c>
      <x:c r="U79" s="26" t="str">
        <x:f>IF(COUNTIFS($I$6:$I$151,"&lt;"&amp;I79)&gt;=30,"非后20%",IF(COUNTIFS($I$6:$I$151,"&lt;="&amp;I79)&gt;=30,"边界同分","严格后20%"))</x:f>
        <x:v>非后20%</x:v>
      </x:c>
      <x:c r="V79" s="22" t="n">
        <x:f>'指标计算'!P74</x:f>
        <x:v>-0.11788498564075993</x:v>
      </x:c>
      <x:c r="W79" s="22" t="n">
        <x:f>'指标计算'!Q74</x:f>
        <x:v>-0.11788498564075993</x:v>
      </x:c>
      <x:c r="X79" s="22" t="str">
        <x:v>["S0494"]</x:v>
      </x:c>
      <x:c r="Y79" s="22" t="str">
        <x:v>evidence/student_evidence.jsonl；student_key=2025秋:259097</x:v>
      </x:c>
      <x:c r="Z79" s="26" t="n">
        <x:f>IF(OR(B79="s3",B79="s6"),COUNTIFS($B$6:$B$151,B79,$K$6:$K$151,"&gt;"&amp;K79)+(COUNTIFS($B$6:$B$151,B79,$K$6:$K$151,K79)+1)/2,"NA")</x:f>
        <x:v>86</x:v>
      </x:c>
      <x:c r="AA79" s="26" t="n">
        <x:f>IF(OR(B79="s3",B79="s6"),COUNTIFS($B$6:$B$151,B79,$M$6:$M$151,"&gt;"&amp;M79)+(COUNTIFS($B$6:$B$151,B79,$M$6:$M$151,M79)+1)/2,"NA")</x:f>
        <x:v>71</x:v>
      </x:c>
      <x:c r="AB79" s="26" t="n">
        <x:f>IF(OR(B79="s3",B79="s6"),COUNTIFS($B$6:$B$151,B79,$O$6:$O$151,"&gt;"&amp;O79)+(COUNTIFS($B$6:$B$151,B79,$O$6:$O$151,O79)+1)/2,"NA")</x:f>
        <x:v>80</x:v>
      </x:c>
      <x:c r="AC79" s="26" t="n">
        <x:f>IF(OR(B79="s3",B79="s6"),COUNTIFS($B$6:$B$151,B79,$Q$6:$Q$151,"&gt;"&amp;Q79)+(COUNTIFS($B$6:$B$151,B79,$Q$6:$Q$151,Q79)+1)/2,"NA")</x:f>
        <x:v>70</x:v>
      </x:c>
      <x:c r="AD79" s="25" t="n">
        <x:v>59.772057158540214</x:v>
      </x:c>
      <x:c r="AE79" s="25" t="n">
        <x:v>75</x:v>
      </x:c>
      <x:c r="AF79" s="25" t="n">
        <x:v>72</x:v>
      </x:c>
      <x:c r="AG79" s="25" t="n">
        <x:v>0</x:v>
      </x:c>
    </x:row>
    <x:row r="80" ht="23" customHeight="1">
      <x:c r="A80" s="21" t="str">
        <x:v>2025秋:259116</x:v>
      </x:c>
      <x:c r="B80" s="22" t="str">
        <x:v>s3</x:v>
      </x:c>
      <x:c r="C80" s="24" t="n">
        <x:v>2</x:v>
      </x:c>
      <x:c r="D80" s="24" t="n">
        <x:v>1</x:v>
      </x:c>
      <x:c r="E80" s="29" t="n">
        <x:f>'指标计算'!S78</x:f>
        <x:v>0.4950881255983017</x:v>
      </x:c>
      <x:c r="F80" s="29" t="n">
        <x:f>'指标计算'!T78</x:f>
        <x:v>0.44105750717962006</x:v>
      </x:c>
      <x:c r="G80" s="29" t="n">
        <x:f>'指标计算'!U78</x:f>
        <x:v>0.44105750717962006</x:v>
      </x:c>
      <x:c r="H80" s="29" t="n">
        <x:f>'指标计算'!V78</x:f>
        <x:v>1</x:v>
      </x:c>
      <x:c r="I80" s="30" t="n">
        <x:f>IF(COUNT('总览与权重'!$H$11:$K$11)=4,ROUND(100*SUMPRODUCT(E80:H80,'总览与权重'!$H$11:$K$11),12),"NA")</x:f>
        <x:v>62.494944055134</x:v>
      </x:c>
      <x:c r="J80" s="30" t="n">
        <x:f>IF(ISNUMBER(I80),COUNTIFS($I$6:$I$151,"&gt;"&amp;I80)+(COUNTIFS($I$6:$I$151,I80)+1)/2,"NA")</x:f>
        <x:v>75</x:v>
      </x:c>
      <x:c r="K80" s="30" t="n">
        <x:f>IF(COUNT('总览与权重'!$H$12:$K$12)=4,ROUND(100*SUMPRODUCT(E80:H80,'总览与权重'!$H$12:$K$12),12),"NA")</x:f>
        <x:v>56.365212942743</x:v>
      </x:c>
      <x:c r="L80" s="30" t="n">
        <x:f>IF(ISNUMBER(K80),COUNTIFS($K$6:$K$151,"&gt;"&amp;K80)+(COUNTIFS($K$6:$K$151,K80)+1)/2,"NA")</x:f>
        <x:v>90</x:v>
      </x:c>
      <x:c r="M80" s="30" t="n">
        <x:f>IF(COUNT('总览与权重'!$H$13:$K$13)=4,ROUND(100*SUMPRODUCT(E80:H80,'总览与权重'!$H$13:$K$13),12),"NA")</x:f>
        <x:v>65.019503427142</x:v>
      </x:c>
      <x:c r="N80" s="30" t="n">
        <x:f>IF(ISNUMBER(M80),COUNTIFS($M$6:$M$151,"&gt;"&amp;M80)+(COUNTIFS($M$6:$M$151,M80)+1)/2,"NA")</x:f>
        <x:v>73</x:v>
      </x:c>
      <x:c r="O80" s="30" t="n">
        <x:f>IF(COUNT('总览与权重'!$H$14:$K$14)=4,ROUND(100*SUMPRODUCT(E80:H80,'总览与权重'!$H$14:$K$14),12),"NA")</x:f>
        <x:v>60.889092862919</x:v>
      </x:c>
      <x:c r="P80" s="30" t="n">
        <x:f>IF(ISNUMBER(O80),COUNTIFS($O$6:$O$151,"&gt;"&amp;O80)+(COUNTIFS($O$6:$O$151,O80)+1)/2,"NA")</x:f>
        <x:v>83</x:v>
      </x:c>
      <x:c r="Q80" s="30" t="n">
        <x:f>IF(COUNT('总览与权重'!$H$15:$K$15)=4,ROUND(100*SUMPRODUCT(E80:H80,'总览与权重'!$H$15:$K$15),12),"NA")</x:f>
        <x:v>79.106131545242</x:v>
      </x:c>
      <x:c r="R80" s="30" t="n">
        <x:f>IF(ISNUMBER(Q80),COUNTIFS($Q$6:$Q$151,"&gt;"&amp;Q80)+(COUNTIFS($Q$6:$Q$151,Q80)+1)/2,"NA")</x:f>
        <x:v>71</x:v>
      </x:c>
      <x:c r="S80" s="31" t="n">
        <x:f>IF(OR(B80="s3",B80="s6"),COUNTIFS($B$6:$B$151,B80,$I$6:$I$151,"&gt;"&amp;I80)+(COUNTIFS($B$6:$B$151,B80,$I$6:$I$151,I80)+1)/2,"NA")</x:f>
        <x:v>72</x:v>
      </x:c>
      <x:c r="T80" s="26" t="str">
        <x:f>IF(COUNTIFS($I$6:$I$151,"&gt;"&amp;I80)&gt;=30,"非前20%",IF(COUNTIFS($I$6:$I$151,"&gt;="&amp;I80)&gt;=30,"边界同分","严格前20%"))</x:f>
        <x:v>非前20%</x:v>
      </x:c>
      <x:c r="U80" s="26" t="str">
        <x:f>IF(COUNTIFS($I$6:$I$151,"&lt;"&amp;I80)&gt;=30,"非后20%",IF(COUNTIFS($I$6:$I$151,"&lt;="&amp;I80)&gt;=30,"边界同分","严格后20%"))</x:f>
        <x:v>非后20%</x:v>
      </x:c>
      <x:c r="V80" s="22" t="n">
        <x:f>'指标计算'!P78</x:f>
        <x:v>-0.11788498564075993</x:v>
      </x:c>
      <x:c r="W80" s="22" t="n">
        <x:f>'指标计算'!Q78</x:f>
        <x:v>-0.11788498564075993</x:v>
      </x:c>
      <x:c r="X80" s="22" t="str">
        <x:v>["S0223","S0266"]</x:v>
      </x:c>
      <x:c r="Y80" s="22" t="str">
        <x:v>evidence/student_evidence.jsonl；student_key=2025秋:259116</x:v>
      </x:c>
      <x:c r="Z80" s="26" t="n">
        <x:f>IF(OR(B80="s3",B80="s6"),COUNTIFS($B$6:$B$151,B80,$K$6:$K$151,"&gt;"&amp;K80)+(COUNTIFS($B$6:$B$151,B80,$K$6:$K$151,K80)+1)/2,"NA")</x:f>
        <x:v>86</x:v>
      </x:c>
      <x:c r="AA80" s="26" t="n">
        <x:f>IF(OR(B80="s3",B80="s6"),COUNTIFS($B$6:$B$151,B80,$M$6:$M$151,"&gt;"&amp;M80)+(COUNTIFS($B$6:$B$151,B80,$M$6:$M$151,M80)+1)/2,"NA")</x:f>
        <x:v>71</x:v>
      </x:c>
      <x:c r="AB80" s="26" t="n">
        <x:f>IF(OR(B80="s3",B80="s6"),COUNTIFS($B$6:$B$151,B80,$O$6:$O$151,"&gt;"&amp;O80)+(COUNTIFS($B$6:$B$151,B80,$O$6:$O$151,O80)+1)/2,"NA")</x:f>
        <x:v>80</x:v>
      </x:c>
      <x:c r="AC80" s="26" t="n">
        <x:f>IF(OR(B80="s3",B80="s6"),COUNTIFS($B$6:$B$151,B80,$Q$6:$Q$151,"&gt;"&amp;Q80)+(COUNTIFS($B$6:$B$151,B80,$Q$6:$Q$151,Q80)+1)/2,"NA")</x:f>
        <x:v>70</x:v>
      </x:c>
      <x:c r="AD80" s="25" t="n">
        <x:v>59.772057158540214</x:v>
      </x:c>
      <x:c r="AE80" s="25" t="n">
        <x:v>75</x:v>
      </x:c>
      <x:c r="AF80" s="25" t="n">
        <x:v>72</x:v>
      </x:c>
      <x:c r="AG80" s="25" t="n">
        <x:v>0</x:v>
      </x:c>
    </x:row>
    <x:row r="81" ht="23" customHeight="1">
      <x:c r="A81" s="21" t="str">
        <x:v>2025秋:259324</x:v>
      </x:c>
      <x:c r="B81" s="22" t="str">
        <x:v>s3</x:v>
      </x:c>
      <x:c r="C81" s="24" t="n">
        <x:v>1</x:v>
      </x:c>
      <x:c r="D81" s="24" t="n">
        <x:v>1</x:v>
      </x:c>
      <x:c r="E81" s="29" t="n">
        <x:f>'指标计算'!S84</x:f>
        <x:v>0.4950881255983017</x:v>
      </x:c>
      <x:c r="F81" s="29" t="n">
        <x:f>'指标计算'!T84</x:f>
        <x:v>0.44105750717962006</x:v>
      </x:c>
      <x:c r="G81" s="29" t="n">
        <x:f>'指标计算'!U84</x:f>
        <x:v>0.44105750717962006</x:v>
      </x:c>
      <x:c r="H81" s="29" t="n">
        <x:f>'指标计算'!V84</x:f>
        <x:v>1</x:v>
      </x:c>
      <x:c r="I81" s="30" t="n">
        <x:f>IF(COUNT('总览与权重'!$H$11:$K$11)=4,ROUND(100*SUMPRODUCT(E81:H81,'总览与权重'!$H$11:$K$11),12),"NA")</x:f>
        <x:v>62.494944055134</x:v>
      </x:c>
      <x:c r="J81" s="30" t="n">
        <x:f>IF(ISNUMBER(I81),COUNTIFS($I$6:$I$151,"&gt;"&amp;I81)+(COUNTIFS($I$6:$I$151,I81)+1)/2,"NA")</x:f>
        <x:v>75</x:v>
      </x:c>
      <x:c r="K81" s="30" t="n">
        <x:f>IF(COUNT('总览与权重'!$H$12:$K$12)=4,ROUND(100*SUMPRODUCT(E81:H81,'总览与权重'!$H$12:$K$12),12),"NA")</x:f>
        <x:v>56.365212942743</x:v>
      </x:c>
      <x:c r="L81" s="30" t="n">
        <x:f>IF(ISNUMBER(K81),COUNTIFS($K$6:$K$151,"&gt;"&amp;K81)+(COUNTIFS($K$6:$K$151,K81)+1)/2,"NA")</x:f>
        <x:v>90</x:v>
      </x:c>
      <x:c r="M81" s="30" t="n">
        <x:f>IF(COUNT('总览与权重'!$H$13:$K$13)=4,ROUND(100*SUMPRODUCT(E81:H81,'总览与权重'!$H$13:$K$13),12),"NA")</x:f>
        <x:v>65.019503427142</x:v>
      </x:c>
      <x:c r="N81" s="30" t="n">
        <x:f>IF(ISNUMBER(M81),COUNTIFS($M$6:$M$151,"&gt;"&amp;M81)+(COUNTIFS($M$6:$M$151,M81)+1)/2,"NA")</x:f>
        <x:v>73</x:v>
      </x:c>
      <x:c r="O81" s="30" t="n">
        <x:f>IF(COUNT('总览与权重'!$H$14:$K$14)=4,ROUND(100*SUMPRODUCT(E81:H81,'总览与权重'!$H$14:$K$14),12),"NA")</x:f>
        <x:v>60.889092862919</x:v>
      </x:c>
      <x:c r="P81" s="30" t="n">
        <x:f>IF(ISNUMBER(O81),COUNTIFS($O$6:$O$151,"&gt;"&amp;O81)+(COUNTIFS($O$6:$O$151,O81)+1)/2,"NA")</x:f>
        <x:v>83</x:v>
      </x:c>
      <x:c r="Q81" s="30" t="n">
        <x:f>IF(COUNT('总览与权重'!$H$15:$K$15)=4,ROUND(100*SUMPRODUCT(E81:H81,'总览与权重'!$H$15:$K$15),12),"NA")</x:f>
        <x:v>79.106131545242</x:v>
      </x:c>
      <x:c r="R81" s="30" t="n">
        <x:f>IF(ISNUMBER(Q81),COUNTIFS($Q$6:$Q$151,"&gt;"&amp;Q81)+(COUNTIFS($Q$6:$Q$151,Q81)+1)/2,"NA")</x:f>
        <x:v>71</x:v>
      </x:c>
      <x:c r="S81" s="31" t="n">
        <x:f>IF(OR(B81="s3",B81="s6"),COUNTIFS($B$6:$B$151,B81,$I$6:$I$151,"&gt;"&amp;I81)+(COUNTIFS($B$6:$B$151,B81,$I$6:$I$151,I81)+1)/2,"NA")</x:f>
        <x:v>72</x:v>
      </x:c>
      <x:c r="T81" s="26" t="str">
        <x:f>IF(COUNTIFS($I$6:$I$151,"&gt;"&amp;I81)&gt;=30,"非前20%",IF(COUNTIFS($I$6:$I$151,"&gt;="&amp;I81)&gt;=30,"边界同分","严格前20%"))</x:f>
        <x:v>非前20%</x:v>
      </x:c>
      <x:c r="U81" s="26" t="str">
        <x:f>IF(COUNTIFS($I$6:$I$151,"&lt;"&amp;I81)&gt;=30,"非后20%",IF(COUNTIFS($I$6:$I$151,"&lt;="&amp;I81)&gt;=30,"边界同分","严格后20%"))</x:f>
        <x:v>非后20%</x:v>
      </x:c>
      <x:c r="V81" s="22" t="n">
        <x:f>'指标计算'!P84</x:f>
        <x:v>-0.11788498564075993</x:v>
      </x:c>
      <x:c r="W81" s="22" t="n">
        <x:f>'指标计算'!Q84</x:f>
        <x:v>-0.11788498564075993</x:v>
      </x:c>
      <x:c r="X81" s="22" t="str">
        <x:v>["S0230"]</x:v>
      </x:c>
      <x:c r="Y81" s="22" t="str">
        <x:v>evidence/student_evidence.jsonl；student_key=2025秋:259324</x:v>
      </x:c>
      <x:c r="Z81" s="26" t="n">
        <x:f>IF(OR(B81="s3",B81="s6"),COUNTIFS($B$6:$B$151,B81,$K$6:$K$151,"&gt;"&amp;K81)+(COUNTIFS($B$6:$B$151,B81,$K$6:$K$151,K81)+1)/2,"NA")</x:f>
        <x:v>86</x:v>
      </x:c>
      <x:c r="AA81" s="26" t="n">
        <x:f>IF(OR(B81="s3",B81="s6"),COUNTIFS($B$6:$B$151,B81,$M$6:$M$151,"&gt;"&amp;M81)+(COUNTIFS($B$6:$B$151,B81,$M$6:$M$151,M81)+1)/2,"NA")</x:f>
        <x:v>71</x:v>
      </x:c>
      <x:c r="AB81" s="26" t="n">
        <x:f>IF(OR(B81="s3",B81="s6"),COUNTIFS($B$6:$B$151,B81,$O$6:$O$151,"&gt;"&amp;O81)+(COUNTIFS($B$6:$B$151,B81,$O$6:$O$151,O81)+1)/2,"NA")</x:f>
        <x:v>80</x:v>
      </x:c>
      <x:c r="AC81" s="26" t="n">
        <x:f>IF(OR(B81="s3",B81="s6"),COUNTIFS($B$6:$B$151,B81,$Q$6:$Q$151,"&gt;"&amp;Q81)+(COUNTIFS($B$6:$B$151,B81,$Q$6:$Q$151,Q81)+1)/2,"NA")</x:f>
        <x:v>70</x:v>
      </x:c>
      <x:c r="AD81" s="25" t="n">
        <x:v>59.772057158540214</x:v>
      </x:c>
      <x:c r="AE81" s="25" t="n">
        <x:v>75</x:v>
      </x:c>
      <x:c r="AF81" s="25" t="n">
        <x:v>72</x:v>
      </x:c>
      <x:c r="AG81" s="25" t="n">
        <x:v>0</x:v>
      </x:c>
    </x:row>
    <x:row r="82" ht="23" customHeight="1">
      <x:c r="A82" s="21" t="str">
        <x:v>2025秋:259873</x:v>
      </x:c>
      <x:c r="B82" s="22" t="str">
        <x:v>s3</x:v>
      </x:c>
      <x:c r="C82" s="24" t="n">
        <x:v>1</x:v>
      </x:c>
      <x:c r="D82" s="24" t="n">
        <x:v>1</x:v>
      </x:c>
      <x:c r="E82" s="29" t="n">
        <x:f>'指标计算'!S119</x:f>
        <x:v>0.4950881255983017</x:v>
      </x:c>
      <x:c r="F82" s="29" t="n">
        <x:f>'指标计算'!T119</x:f>
        <x:v>0.44105750717962006</x:v>
      </x:c>
      <x:c r="G82" s="29" t="n">
        <x:f>'指标计算'!U119</x:f>
        <x:v>0.44105750717962006</x:v>
      </x:c>
      <x:c r="H82" s="29" t="n">
        <x:f>'指标计算'!V119</x:f>
        <x:v>1</x:v>
      </x:c>
      <x:c r="I82" s="30" t="n">
        <x:f>IF(COUNT('总览与权重'!$H$11:$K$11)=4,ROUND(100*SUMPRODUCT(E82:H82,'总览与权重'!$H$11:$K$11),12),"NA")</x:f>
        <x:v>62.494944055134</x:v>
      </x:c>
      <x:c r="J82" s="30" t="n">
        <x:f>IF(ISNUMBER(I82),COUNTIFS($I$6:$I$151,"&gt;"&amp;I82)+(COUNTIFS($I$6:$I$151,I82)+1)/2,"NA")</x:f>
        <x:v>75</x:v>
      </x:c>
      <x:c r="K82" s="30" t="n">
        <x:f>IF(COUNT('总览与权重'!$H$12:$K$12)=4,ROUND(100*SUMPRODUCT(E82:H82,'总览与权重'!$H$12:$K$12),12),"NA")</x:f>
        <x:v>56.365212942743</x:v>
      </x:c>
      <x:c r="L82" s="30" t="n">
        <x:f>IF(ISNUMBER(K82),COUNTIFS($K$6:$K$151,"&gt;"&amp;K82)+(COUNTIFS($K$6:$K$151,K82)+1)/2,"NA")</x:f>
        <x:v>90</x:v>
      </x:c>
      <x:c r="M82" s="30" t="n">
        <x:f>IF(COUNT('总览与权重'!$H$13:$K$13)=4,ROUND(100*SUMPRODUCT(E82:H82,'总览与权重'!$H$13:$K$13),12),"NA")</x:f>
        <x:v>65.019503427142</x:v>
      </x:c>
      <x:c r="N82" s="30" t="n">
        <x:f>IF(ISNUMBER(M82),COUNTIFS($M$6:$M$151,"&gt;"&amp;M82)+(COUNTIFS($M$6:$M$151,M82)+1)/2,"NA")</x:f>
        <x:v>73</x:v>
      </x:c>
      <x:c r="O82" s="30" t="n">
        <x:f>IF(COUNT('总览与权重'!$H$14:$K$14)=4,ROUND(100*SUMPRODUCT(E82:H82,'总览与权重'!$H$14:$K$14),12),"NA")</x:f>
        <x:v>60.889092862919</x:v>
      </x:c>
      <x:c r="P82" s="30" t="n">
        <x:f>IF(ISNUMBER(O82),COUNTIFS($O$6:$O$151,"&gt;"&amp;O82)+(COUNTIFS($O$6:$O$151,O82)+1)/2,"NA")</x:f>
        <x:v>83</x:v>
      </x:c>
      <x:c r="Q82" s="30" t="n">
        <x:f>IF(COUNT('总览与权重'!$H$15:$K$15)=4,ROUND(100*SUMPRODUCT(E82:H82,'总览与权重'!$H$15:$K$15),12),"NA")</x:f>
        <x:v>79.106131545242</x:v>
      </x:c>
      <x:c r="R82" s="30" t="n">
        <x:f>IF(ISNUMBER(Q82),COUNTIFS($Q$6:$Q$151,"&gt;"&amp;Q82)+(COUNTIFS($Q$6:$Q$151,Q82)+1)/2,"NA")</x:f>
        <x:v>71</x:v>
      </x:c>
      <x:c r="S82" s="31" t="n">
        <x:f>IF(OR(B82="s3",B82="s6"),COUNTIFS($B$6:$B$151,B82,$I$6:$I$151,"&gt;"&amp;I82)+(COUNTIFS($B$6:$B$151,B82,$I$6:$I$151,I82)+1)/2,"NA")</x:f>
        <x:v>72</x:v>
      </x:c>
      <x:c r="T82" s="26" t="str">
        <x:f>IF(COUNTIFS($I$6:$I$151,"&gt;"&amp;I82)&gt;=30,"非前20%",IF(COUNTIFS($I$6:$I$151,"&gt;="&amp;I82)&gt;=30,"边界同分","严格前20%"))</x:f>
        <x:v>非前20%</x:v>
      </x:c>
      <x:c r="U82" s="26" t="str">
        <x:f>IF(COUNTIFS($I$6:$I$151,"&lt;"&amp;I82)&gt;=30,"非后20%",IF(COUNTIFS($I$6:$I$151,"&lt;="&amp;I82)&gt;=30,"边界同分","严格后20%"))</x:f>
        <x:v>非后20%</x:v>
      </x:c>
      <x:c r="V82" s="22" t="n">
        <x:f>'指标计算'!P119</x:f>
        <x:v>-0.11788498564075993</x:v>
      </x:c>
      <x:c r="W82" s="22" t="n">
        <x:f>'指标计算'!Q119</x:f>
        <x:v>-0.11788498564075993</x:v>
      </x:c>
      <x:c r="X82" s="22" t="str">
        <x:v>["S0160"]</x:v>
      </x:c>
      <x:c r="Y82" s="22" t="str">
        <x:v>evidence/student_evidence.jsonl；student_key=2025秋:259873</x:v>
      </x:c>
      <x:c r="Z82" s="26" t="n">
        <x:f>IF(OR(B82="s3",B82="s6"),COUNTIFS($B$6:$B$151,B82,$K$6:$K$151,"&gt;"&amp;K82)+(COUNTIFS($B$6:$B$151,B82,$K$6:$K$151,K82)+1)/2,"NA")</x:f>
        <x:v>86</x:v>
      </x:c>
      <x:c r="AA82" s="26" t="n">
        <x:f>IF(OR(B82="s3",B82="s6"),COUNTIFS($B$6:$B$151,B82,$M$6:$M$151,"&gt;"&amp;M82)+(COUNTIFS($B$6:$B$151,B82,$M$6:$M$151,M82)+1)/2,"NA")</x:f>
        <x:v>71</x:v>
      </x:c>
      <x:c r="AB82" s="26" t="n">
        <x:f>IF(OR(B82="s3",B82="s6"),COUNTIFS($B$6:$B$151,B82,$O$6:$O$151,"&gt;"&amp;O82)+(COUNTIFS($B$6:$B$151,B82,$O$6:$O$151,O82)+1)/2,"NA")</x:f>
        <x:v>80</x:v>
      </x:c>
      <x:c r="AC82" s="26" t="n">
        <x:f>IF(OR(B82="s3",B82="s6"),COUNTIFS($B$6:$B$151,B82,$Q$6:$Q$151,"&gt;"&amp;Q82)+(COUNTIFS($B$6:$B$151,B82,$Q$6:$Q$151,Q82)+1)/2,"NA")</x:f>
        <x:v>70</x:v>
      </x:c>
      <x:c r="AD82" s="25" t="n">
        <x:v>59.772057158540214</x:v>
      </x:c>
      <x:c r="AE82" s="25" t="n">
        <x:v>75</x:v>
      </x:c>
      <x:c r="AF82" s="25" t="n">
        <x:v>72</x:v>
      </x:c>
      <x:c r="AG82" s="25" t="n">
        <x:v>0</x:v>
      </x:c>
    </x:row>
    <x:row r="83" ht="23" customHeight="1">
      <x:c r="A83" s="21" t="str">
        <x:v>2025秋:259921</x:v>
      </x:c>
      <x:c r="B83" s="22" t="str">
        <x:v>s3</x:v>
      </x:c>
      <x:c r="C83" s="24" t="n">
        <x:v>1</x:v>
      </x:c>
      <x:c r="D83" s="24" t="n">
        <x:v>1</x:v>
      </x:c>
      <x:c r="E83" s="29" t="n">
        <x:f>'指标计算'!S127</x:f>
        <x:v>0.4950881255983017</x:v>
      </x:c>
      <x:c r="F83" s="29" t="n">
        <x:f>'指标计算'!T127</x:f>
        <x:v>0.44105750717962006</x:v>
      </x:c>
      <x:c r="G83" s="29" t="n">
        <x:f>'指标计算'!U127</x:f>
        <x:v>0.44105750717962006</x:v>
      </x:c>
      <x:c r="H83" s="29" t="n">
        <x:f>'指标计算'!V127</x:f>
        <x:v>1</x:v>
      </x:c>
      <x:c r="I83" s="30" t="n">
        <x:f>IF(COUNT('总览与权重'!$H$11:$K$11)=4,ROUND(100*SUMPRODUCT(E83:H83,'总览与权重'!$H$11:$K$11),12),"NA")</x:f>
        <x:v>62.494944055134</x:v>
      </x:c>
      <x:c r="J83" s="30" t="n">
        <x:f>IF(ISNUMBER(I83),COUNTIFS($I$6:$I$151,"&gt;"&amp;I83)+(COUNTIFS($I$6:$I$151,I83)+1)/2,"NA")</x:f>
        <x:v>75</x:v>
      </x:c>
      <x:c r="K83" s="30" t="n">
        <x:f>IF(COUNT('总览与权重'!$H$12:$K$12)=4,ROUND(100*SUMPRODUCT(E83:H83,'总览与权重'!$H$12:$K$12),12),"NA")</x:f>
        <x:v>56.365212942743</x:v>
      </x:c>
      <x:c r="L83" s="30" t="n">
        <x:f>IF(ISNUMBER(K83),COUNTIFS($K$6:$K$151,"&gt;"&amp;K83)+(COUNTIFS($K$6:$K$151,K83)+1)/2,"NA")</x:f>
        <x:v>90</x:v>
      </x:c>
      <x:c r="M83" s="30" t="n">
        <x:f>IF(COUNT('总览与权重'!$H$13:$K$13)=4,ROUND(100*SUMPRODUCT(E83:H83,'总览与权重'!$H$13:$K$13),12),"NA")</x:f>
        <x:v>65.019503427142</x:v>
      </x:c>
      <x:c r="N83" s="30" t="n">
        <x:f>IF(ISNUMBER(M83),COUNTIFS($M$6:$M$151,"&gt;"&amp;M83)+(COUNTIFS($M$6:$M$151,M83)+1)/2,"NA")</x:f>
        <x:v>73</x:v>
      </x:c>
      <x:c r="O83" s="30" t="n">
        <x:f>IF(COUNT('总览与权重'!$H$14:$K$14)=4,ROUND(100*SUMPRODUCT(E83:H83,'总览与权重'!$H$14:$K$14),12),"NA")</x:f>
        <x:v>60.889092862919</x:v>
      </x:c>
      <x:c r="P83" s="30" t="n">
        <x:f>IF(ISNUMBER(O83),COUNTIFS($O$6:$O$151,"&gt;"&amp;O83)+(COUNTIFS($O$6:$O$151,O83)+1)/2,"NA")</x:f>
        <x:v>83</x:v>
      </x:c>
      <x:c r="Q83" s="30" t="n">
        <x:f>IF(COUNT('总览与权重'!$H$15:$K$15)=4,ROUND(100*SUMPRODUCT(E83:H83,'总览与权重'!$H$15:$K$15),12),"NA")</x:f>
        <x:v>79.106131545242</x:v>
      </x:c>
      <x:c r="R83" s="30" t="n">
        <x:f>IF(ISNUMBER(Q83),COUNTIFS($Q$6:$Q$151,"&gt;"&amp;Q83)+(COUNTIFS($Q$6:$Q$151,Q83)+1)/2,"NA")</x:f>
        <x:v>71</x:v>
      </x:c>
      <x:c r="S83" s="31" t="n">
        <x:f>IF(OR(B83="s3",B83="s6"),COUNTIFS($B$6:$B$151,B83,$I$6:$I$151,"&gt;"&amp;I83)+(COUNTIFS($B$6:$B$151,B83,$I$6:$I$151,I83)+1)/2,"NA")</x:f>
        <x:v>72</x:v>
      </x:c>
      <x:c r="T83" s="26" t="str">
        <x:f>IF(COUNTIFS($I$6:$I$151,"&gt;"&amp;I83)&gt;=30,"非前20%",IF(COUNTIFS($I$6:$I$151,"&gt;="&amp;I83)&gt;=30,"边界同分","严格前20%"))</x:f>
        <x:v>非前20%</x:v>
      </x:c>
      <x:c r="U83" s="26" t="str">
        <x:f>IF(COUNTIFS($I$6:$I$151,"&lt;"&amp;I83)&gt;=30,"非后20%",IF(COUNTIFS($I$6:$I$151,"&lt;="&amp;I83)&gt;=30,"边界同分","严格后20%"))</x:f>
        <x:v>非后20%</x:v>
      </x:c>
      <x:c r="V83" s="22" t="n">
        <x:f>'指标计算'!P127</x:f>
        <x:v>-0.11788498564075993</x:v>
      </x:c>
      <x:c r="W83" s="22" t="n">
        <x:f>'指标计算'!Q127</x:f>
        <x:v>-0.11788498564075993</x:v>
      </x:c>
      <x:c r="X83" s="22" t="str">
        <x:v>["S0276"]</x:v>
      </x:c>
      <x:c r="Y83" s="22" t="str">
        <x:v>evidence/student_evidence.jsonl；student_key=2025秋:259921</x:v>
      </x:c>
      <x:c r="Z83" s="26" t="n">
        <x:f>IF(OR(B83="s3",B83="s6"),COUNTIFS($B$6:$B$151,B83,$K$6:$K$151,"&gt;"&amp;K83)+(COUNTIFS($B$6:$B$151,B83,$K$6:$K$151,K83)+1)/2,"NA")</x:f>
        <x:v>86</x:v>
      </x:c>
      <x:c r="AA83" s="26" t="n">
        <x:f>IF(OR(B83="s3",B83="s6"),COUNTIFS($B$6:$B$151,B83,$M$6:$M$151,"&gt;"&amp;M83)+(COUNTIFS($B$6:$B$151,B83,$M$6:$M$151,M83)+1)/2,"NA")</x:f>
        <x:v>71</x:v>
      </x:c>
      <x:c r="AB83" s="26" t="n">
        <x:f>IF(OR(B83="s3",B83="s6"),COUNTIFS($B$6:$B$151,B83,$O$6:$O$151,"&gt;"&amp;O83)+(COUNTIFS($B$6:$B$151,B83,$O$6:$O$151,O83)+1)/2,"NA")</x:f>
        <x:v>80</x:v>
      </x:c>
      <x:c r="AC83" s="26" t="n">
        <x:f>IF(OR(B83="s3",B83="s6"),COUNTIFS($B$6:$B$151,B83,$Q$6:$Q$151,"&gt;"&amp;Q83)+(COUNTIFS($B$6:$B$151,B83,$Q$6:$Q$151,Q83)+1)/2,"NA")</x:f>
        <x:v>70</x:v>
      </x:c>
      <x:c r="AD83" s="25" t="n">
        <x:v>59.772057158540214</x:v>
      </x:c>
      <x:c r="AE83" s="25" t="n">
        <x:v>75</x:v>
      </x:c>
      <x:c r="AF83" s="25" t="n">
        <x:v>72</x:v>
      </x:c>
      <x:c r="AG83" s="25" t="n">
        <x:v>0</x:v>
      </x:c>
    </x:row>
    <x:row r="84" ht="23" customHeight="1">
      <x:c r="A84" s="21" t="str">
        <x:v>2026春:268240</x:v>
      </x:c>
      <x:c r="B84" s="22" t="str">
        <x:v>s3</x:v>
      </x:c>
      <x:c r="C84" s="24" t="n">
        <x:v>1</x:v>
      </x:c>
      <x:c r="D84" s="24" t="n">
        <x:v>1</x:v>
      </x:c>
      <x:c r="E84" s="29" t="n">
        <x:f>'指标计算'!S171</x:f>
        <x:v>0.5143604799517841</x:v>
      </x:c>
      <x:c r="F84" s="29" t="n">
        <x:f>'指标计算'!T171</x:f>
        <x:v>0.6723257594214089</x:v>
      </x:c>
      <x:c r="G84" s="29" t="n">
        <x:f>'指标计算'!U171</x:f>
        <x:v>0.6723257594214089</x:v>
      </x:c>
      <x:c r="H84" s="29" t="n">
        <x:f>'指标计算'!V171</x:f>
        <x:v>0.6666666666666666</x:v>
      </x:c>
      <x:c r="I84" s="30" t="n">
        <x:f>IF(COUNT('总览与权重'!$H$11:$K$11)=4,ROUND(100*SUMPRODUCT(E84:H84,'总览与权重'!$H$11:$K$11),12),"NA")</x:f>
        <x:v>62.32384477541</x:v>
      </x:c>
      <x:c r="J84" s="30" t="n">
        <x:f>IF(ISNUMBER(I84),COUNTIFS($I$6:$I$151,"&gt;"&amp;I84)+(COUNTIFS($I$6:$I$151,I84)+1)/2,"NA")</x:f>
        <x:v>79</x:v>
      </x:c>
      <x:c r="K84" s="30" t="n">
        <x:f>IF(COUNT('总览与权重'!$H$12:$K$12)=4,ROUND(100*SUMPRODUCT(E84:H84,'总览与权重'!$H$12:$K$12),12),"NA")</x:f>
        <x:v>63.960088497654</x:v>
      </x:c>
      <x:c r="L84" s="30" t="n">
        <x:f>IF(ISNUMBER(K84),COUNTIFS($K$6:$K$151,"&gt;"&amp;K84)+(COUNTIFS($K$6:$K$151,K84)+1)/2,"NA")</x:f>
        <x:v>45</x:v>
      </x:c>
      <x:c r="M84" s="30" t="n">
        <x:f>IF(COUNT('总览与权重'!$H$13:$K$13)=4,ROUND(100*SUMPRODUCT(E84:H84,'总览与权重'!$H$13:$K$13),12),"NA")</x:f>
        <x:v>63.085375708984</x:v>
      </x:c>
      <x:c r="N84" s="30" t="n">
        <x:f>IF(ISNUMBER(M84),COUNTIFS($M$6:$M$151,"&gt;"&amp;M84)+(COUNTIFS($M$6:$M$151,M84)+1)/2,"NA")</x:f>
        <x:v>97</x:v>
      </x:c>
      <x:c r="O84" s="30" t="n">
        <x:f>IF(COUNT('总览与权重'!$H$14:$K$14)=4,ROUND(100*SUMPRODUCT(E84:H84,'总览与权重'!$H$14:$K$14),12),"NA")</x:f>
        <x:v>67.018751844567</x:v>
      </x:c>
      <x:c r="P84" s="30" t="n">
        <x:f>IF(ISNUMBER(O84),COUNTIFS($O$6:$O$151,"&gt;"&amp;O84)+(COUNTIFS($O$6:$O$151,O84)+1)/2,"NA")</x:f>
        <x:v>49</x:v>
      </x:c>
      <x:c r="Q84" s="30" t="n">
        <x:f>IF(COUNT('总览与权重'!$H$15:$K$15)=4,ROUND(100*SUMPRODUCT(E84:H84,'总览与权重'!$H$15:$K$15),12),"NA")</x:f>
        <x:v>66.854757967289</x:v>
      </x:c>
      <x:c r="R84" s="30" t="n">
        <x:f>IF(ISNUMBER(Q84),COUNTIFS($Q$6:$Q$151,"&gt;"&amp;Q84)+(COUNTIFS($Q$6:$Q$151,Q84)+1)/2,"NA")</x:f>
        <x:v>95</x:v>
      </x:c>
      <x:c r="S84" s="31" t="n">
        <x:f>IF(OR(B84="s3",B84="s6"),COUNTIFS($B$6:$B$151,B84,$I$6:$I$151,"&gt;"&amp;I84)+(COUNTIFS($B$6:$B$151,B84,$I$6:$I$151,I84)+1)/2,"NA")</x:f>
        <x:v>76</x:v>
      </x:c>
      <x:c r="T84" s="26" t="str">
        <x:f>IF(COUNTIFS($I$6:$I$151,"&gt;"&amp;I84)&gt;=30,"非前20%",IF(COUNTIFS($I$6:$I$151,"&gt;="&amp;I84)&gt;=30,"边界同分","严格前20%"))</x:f>
        <x:v>非前20%</x:v>
      </x:c>
      <x:c r="U84" s="26" t="str">
        <x:f>IF(COUNTIFS($I$6:$I$151,"&lt;"&amp;I84)&gt;=30,"非后20%",IF(COUNTIFS($I$6:$I$151,"&lt;="&amp;I84)&gt;=30,"边界同分","严格后20%"))</x:f>
        <x:v>非后20%</x:v>
      </x:c>
      <x:c r="V84" s="22" t="n">
        <x:f>'指标计算'!P171</x:f>
        <x:v>0.34465151884281786</x:v>
      </x:c>
      <x:c r="W84" s="22" t="n">
        <x:f>'指标计算'!Q171</x:f>
        <x:v>0.34465151884281786</x:v>
      </x:c>
      <x:c r="X84" s="22" t="str">
        <x:v>["S1113"]</x:v>
      </x:c>
      <x:c r="Y84" s="22" t="str">
        <x:v>evidence/student_evidence.jsonl；student_key=2026春:268240</x:v>
      </x:c>
      <x:c r="Z84" s="26" t="n">
        <x:f>IF(OR(B84="s3",B84="s6"),COUNTIFS($B$6:$B$151,B84,$K$6:$K$151,"&gt;"&amp;K84)+(COUNTIFS($B$6:$B$151,B84,$K$6:$K$151,K84)+1)/2,"NA")</x:f>
        <x:v>42</x:v>
      </x:c>
      <x:c r="AA84" s="26" t="n">
        <x:f>IF(OR(B84="s3",B84="s6"),COUNTIFS($B$6:$B$151,B84,$M$6:$M$151,"&gt;"&amp;M84)+(COUNTIFS($B$6:$B$151,B84,$M$6:$M$151,M84)+1)/2,"NA")</x:f>
        <x:v>93</x:v>
      </x:c>
      <x:c r="AB84" s="26" t="n">
        <x:f>IF(OR(B84="s3",B84="s6"),COUNTIFS($B$6:$B$151,B84,$O$6:$O$151,"&gt;"&amp;O84)+(COUNTIFS($B$6:$B$151,B84,$O$6:$O$151,O84)+1)/2,"NA")</x:f>
        <x:v>46</x:v>
      </x:c>
      <x:c r="AC84" s="26" t="n">
        <x:f>IF(OR(B84="s3",B84="s6"),COUNTIFS($B$6:$B$151,B84,$Q$6:$Q$151,"&gt;"&amp;Q84)+(COUNTIFS($B$6:$B$151,B84,$Q$6:$Q$151,Q84)+1)/2,"NA")</x:f>
        <x:v>93</x:v>
      </x:c>
      <x:c r="AD84" s="25" t="n">
        <x:v>59.16331643833114</x:v>
      </x:c>
      <x:c r="AE84" s="25" t="n">
        <x:v>79</x:v>
      </x:c>
      <x:c r="AF84" s="25" t="n">
        <x:v>76</x:v>
      </x:c>
      <x:c r="AG84" s="25" t="n">
        <x:v>0</x:v>
      </x:c>
    </x:row>
    <x:row r="85" ht="23" customHeight="1">
      <x:c r="A85" s="21" t="str">
        <x:v>2025秋:258868</x:v>
      </x:c>
      <x:c r="B85" s="22" t="str">
        <x:v>s3</x:v>
      </x:c>
      <x:c r="C85" s="24" t="n">
        <x:v>1</x:v>
      </x:c>
      <x:c r="D85" s="24" t="n">
        <x:v>1</x:v>
      </x:c>
      <x:c r="E85" s="29" t="n">
        <x:f>'指标计算'!S26</x:f>
        <x:v>0.49446428571428575</x:v>
      </x:c>
      <x:c r="F85" s="29" t="n">
        <x:f>'指标计算'!T26</x:f>
        <x:v>0.43357142857142855</x:v>
      </x:c>
      <x:c r="G85" s="29" t="n">
        <x:f>'指标计算'!U26</x:f>
        <x:v>0.43357142857142855</x:v>
      </x:c>
      <x:c r="H85" s="29" t="n">
        <x:f>'指标计算'!V26</x:f>
        <x:v>1</x:v>
      </x:c>
      <x:c r="I85" s="30" t="n">
        <x:f>IF(COUNT('总览与权重'!$H$11:$K$11)=4,ROUND(100*SUMPRODUCT(E85:H85,'总览与权重'!$H$11:$K$11),12),"NA")</x:f>
        <x:v>62.176785714286</x:v>
      </x:c>
      <x:c r="J85" s="30" t="n">
        <x:f>IF(ISNUMBER(I85),COUNTIFS($I$6:$I$151,"&gt;"&amp;I85)+(COUNTIFS($I$6:$I$151,I85)+1)/2,"NA")</x:f>
        <x:v>80</x:v>
      </x:c>
      <x:c r="K85" s="30" t="n">
        <x:f>IF(COUNT('总览与权重'!$H$12:$K$12)=4,ROUND(100*SUMPRODUCT(E85:H85,'总览与权重'!$H$12:$K$12),12),"NA")</x:f>
        <x:v>55.903571428571</x:v>
      </x:c>
      <x:c r="L85" s="30" t="n">
        <x:f>IF(ISNUMBER(K85),COUNTIFS($K$6:$K$151,"&gt;"&amp;K85)+(COUNTIFS($K$6:$K$151,K85)+1)/2,"NA")</x:f>
        <x:v>95</x:v>
      </x:c>
      <x:c r="M85" s="30" t="n">
        <x:f>IF(COUNT('总览与权重'!$H$13:$K$13)=4,ROUND(100*SUMPRODUCT(E85:H85,'总览与权重'!$H$13:$K$13),12),"NA")</x:f>
        <x:v>64.704464285714</x:v>
      </x:c>
      <x:c r="N85" s="30" t="n">
        <x:f>IF(ISNUMBER(M85),COUNTIFS($M$6:$M$151,"&gt;"&amp;M85)+(COUNTIFS($M$6:$M$151,M85)+1)/2,"NA")</x:f>
        <x:v>77</x:v>
      </x:c>
      <x:c r="O85" s="30" t="n">
        <x:f>IF(COUNT('总览与权重'!$H$14:$K$14)=4,ROUND(100*SUMPRODUCT(E85:H85,'总览与权重'!$H$14:$K$14),12),"NA")</x:f>
        <x:v>60.366981012765</x:v>
      </x:c>
      <x:c r="P85" s="30" t="n">
        <x:f>IF(ISNUMBER(O85),COUNTIFS($O$6:$O$151,"&gt;"&amp;O85)+(COUNTIFS($O$6:$O$151,O85)+1)/2,"NA")</x:f>
        <x:v>88</x:v>
      </x:c>
      <x:c r="Q85" s="30" t="n">
        <x:f>IF(COUNT('总览与权重'!$H$15:$K$15)=4,ROUND(100*SUMPRODUCT(E85:H85,'总览与权重'!$H$15:$K$15),12),"NA")</x:f>
        <x:v>78.827208423424</x:v>
      </x:c>
      <x:c r="R85" s="30" t="n">
        <x:f>IF(ISNUMBER(Q85),COUNTIFS($Q$6:$Q$151,"&gt;"&amp;Q85)+(COUNTIFS($Q$6:$Q$151,Q85)+1)/2,"NA")</x:f>
        <x:v>75</x:v>
      </x:c>
      <x:c r="S85" s="31" t="n">
        <x:f>IF(OR(B85="s3",B85="s6"),COUNTIFS($B$6:$B$151,B85,$I$6:$I$151,"&gt;"&amp;I85)+(COUNTIFS($B$6:$B$151,B85,$I$6:$I$151,I85)+1)/2,"NA")</x:f>
        <x:v>77</x:v>
      </x:c>
      <x:c r="T85" s="26" t="str">
        <x:f>IF(COUNTIFS($I$6:$I$151,"&gt;"&amp;I85)&gt;=30,"非前20%",IF(COUNTIFS($I$6:$I$151,"&gt;="&amp;I85)&gt;=30,"边界同分","严格前20%"))</x:f>
        <x:v>非前20%</x:v>
      </x:c>
      <x:c r="U85" s="26" t="str">
        <x:f>IF(COUNTIFS($I$6:$I$151,"&lt;"&amp;I85)&gt;=30,"非后20%",IF(COUNTIFS($I$6:$I$151,"&lt;="&amp;I85)&gt;=30,"边界同分","严格后20%"))</x:f>
        <x:v>非后20%</x:v>
      </x:c>
      <x:c r="V85" s="22" t="n">
        <x:f>'指标计算'!P26</x:f>
        <x:v>-0.13285714285714287</x:v>
      </x:c>
      <x:c r="W85" s="22" t="n">
        <x:f>'指标计算'!Q26</x:f>
        <x:v>-0.13285714285714287</x:v>
      </x:c>
      <x:c r="X85" s="22" t="str">
        <x:v>["S0028"]</x:v>
      </x:c>
      <x:c r="Y85" s="22" t="str">
        <x:v>evidence/student_evidence.jsonl；student_key=2025秋:258868</x:v>
      </x:c>
      <x:c r="Z85" s="26" t="n">
        <x:f>IF(OR(B85="s3",B85="s6"),COUNTIFS($B$6:$B$151,B85,$K$6:$K$151,"&gt;"&amp;K85)+(COUNTIFS($B$6:$B$151,B85,$K$6:$K$151,K85)+1)/2,"NA")</x:f>
        <x:v>91</x:v>
      </x:c>
      <x:c r="AA85" s="26" t="n">
        <x:f>IF(OR(B85="s3",B85="s6"),COUNTIFS($B$6:$B$151,B85,$M$6:$M$151,"&gt;"&amp;M85)+(COUNTIFS($B$6:$B$151,B85,$M$6:$M$151,M85)+1)/2,"NA")</x:f>
        <x:v>75</x:v>
      </x:c>
      <x:c r="AB85" s="26" t="n">
        <x:f>IF(OR(B85="s3",B85="s6"),COUNTIFS($B$6:$B$151,B85,$O$6:$O$151,"&gt;"&amp;O85)+(COUNTIFS($B$6:$B$151,B85,$O$6:$O$151,O85)+1)/2,"NA")</x:f>
        <x:v>85</x:v>
      </x:c>
      <x:c r="AC85" s="26" t="n">
        <x:f>IF(OR(B85="s3",B85="s6"),COUNTIFS($B$6:$B$151,B85,$Q$6:$Q$151,"&gt;"&amp;Q85)+(COUNTIFS($B$6:$B$151,B85,$Q$6:$Q$151,Q85)+1)/2,"NA")</x:f>
        <x:v>74</x:v>
      </x:c>
      <x:c r="AD85" s="25" t="n">
        <x:v>59.10807453416149</x:v>
      </x:c>
      <x:c r="AE85" s="25" t="n">
        <x:v>80</x:v>
      </x:c>
      <x:c r="AF85" s="25" t="n">
        <x:v>77</x:v>
      </x:c>
      <x:c r="AG85" s="25" t="n">
        <x:v>0</x:v>
      </x:c>
    </x:row>
    <x:row r="86" ht="23" customHeight="1">
      <x:c r="A86" s="21" t="str">
        <x:v>2025秋:258906</x:v>
      </x:c>
      <x:c r="B86" s="22" t="str">
        <x:v>s3</x:v>
      </x:c>
      <x:c r="C86" s="24" t="n">
        <x:v>1</x:v>
      </x:c>
      <x:c r="D86" s="24" t="n">
        <x:v>1</x:v>
      </x:c>
      <x:c r="E86" s="29" t="n">
        <x:f>'指标计算'!S35</x:f>
        <x:v>0.49429983638516295</x:v>
      </x:c>
      <x:c r="F86" s="29" t="n">
        <x:f>'指标计算'!T35</x:f>
        <x:v>0.4315980366219551</x:v>
      </x:c>
      <x:c r="G86" s="29" t="n">
        <x:f>'指标计算'!U35</x:f>
        <x:v>0.4315980366219551</x:v>
      </x:c>
      <x:c r="H86" s="29" t="n">
        <x:f>'指标计算'!V35</x:f>
        <x:v>1</x:v>
      </x:c>
      <x:c r="I86" s="30" t="n">
        <x:f>IF(COUNT('总览与权重'!$H$11:$K$11)=4,ROUND(100*SUMPRODUCT(E86:H86,'总览与权重'!$H$11:$K$11),12),"NA")</x:f>
        <x:v>62.092916556433</x:v>
      </x:c>
      <x:c r="J86" s="30" t="n">
        <x:f>IF(ISNUMBER(I86),COUNTIFS($I$6:$I$151,"&gt;"&amp;I86)+(COUNTIFS($I$6:$I$151,I86)+1)/2,"NA")</x:f>
        <x:v>83</x:v>
      </x:c>
      <x:c r="K86" s="30" t="n">
        <x:f>IF(COUNT('总览与权重'!$H$12:$K$12)=4,ROUND(100*SUMPRODUCT(E86:H86,'总览与权重'!$H$12:$K$12),12),"NA")</x:f>
        <x:v>55.781878925021</x:v>
      </x:c>
      <x:c r="L86" s="30" t="n">
        <x:f>IF(ISNUMBER(K86),COUNTIFS($K$6:$K$151,"&gt;"&amp;K86)+(COUNTIFS($K$6:$K$151,K86)+1)/2,"NA")</x:f>
        <x:v>98</x:v>
      </x:c>
      <x:c r="M86" s="30" t="n">
        <x:f>IF(COUNT('总览与权重'!$H$13:$K$13)=4,ROUND(100*SUMPRODUCT(E86:H86,'总览与权重'!$H$13:$K$13),12),"NA")</x:f>
        <x:v>64.621417374507</x:v>
      </x:c>
      <x:c r="N86" s="30" t="n">
        <x:f>IF(ISNUMBER(M86),COUNTIFS($M$6:$M$151,"&gt;"&amp;M86)+(COUNTIFS($M$6:$M$151,M86)+1)/2,"NA")</x:f>
        <x:v>80</x:v>
      </x:c>
      <x:c r="O86" s="30" t="n">
        <x:f>IF(COUNT('总览与权重'!$H$14:$K$14)=4,ROUND(100*SUMPRODUCT(E86:H86,'总览与权重'!$H$14:$K$14),12),"NA")</x:f>
        <x:v>60.229348030833</x:v>
      </x:c>
      <x:c r="P86" s="30" t="n">
        <x:f>IF(ISNUMBER(O86),COUNTIFS($O$6:$O$151,"&gt;"&amp;O86)+(COUNTIFS($O$6:$O$151,O86)+1)/2,"NA")</x:f>
        <x:v>91</x:v>
      </x:c>
      <x:c r="Q86" s="30" t="n">
        <x:f>IF(COUNT('总览与权重'!$H$15:$K$15)=4,ROUND(100*SUMPRODUCT(E86:H86,'总览与权重'!$H$15:$K$15),12),"NA")</x:f>
        <x:v>78.753681992308</x:v>
      </x:c>
      <x:c r="R86" s="30" t="n">
        <x:f>IF(ISNUMBER(Q86),COUNTIFS($Q$6:$Q$151,"&gt;"&amp;Q86)+(COUNTIFS($Q$6:$Q$151,Q86)+1)/2,"NA")</x:f>
        <x:v>78</x:v>
      </x:c>
      <x:c r="S86" s="31" t="n">
        <x:f>IF(OR(B86="s3",B86="s6"),COUNTIFS($B$6:$B$151,B86,$I$6:$I$151,"&gt;"&amp;I86)+(COUNTIFS($B$6:$B$151,B86,$I$6:$I$151,I86)+1)/2,"NA")</x:f>
        <x:v>80</x:v>
      </x:c>
      <x:c r="T86" s="26" t="str">
        <x:f>IF(COUNTIFS($I$6:$I$151,"&gt;"&amp;I86)&gt;=30,"非前20%",IF(COUNTIFS($I$6:$I$151,"&gt;="&amp;I86)&gt;=30,"边界同分","严格前20%"))</x:f>
        <x:v>非前20%</x:v>
      </x:c>
      <x:c r="U86" s="26" t="str">
        <x:f>IF(COUNTIFS($I$6:$I$151,"&lt;"&amp;I86)&gt;=30,"非后20%",IF(COUNTIFS($I$6:$I$151,"&lt;="&amp;I86)&gt;=30,"边界同分","严格后20%"))</x:f>
        <x:v>非后20%</x:v>
      </x:c>
      <x:c r="V86" s="22" t="n">
        <x:f>'指标计算'!P35</x:f>
        <x:v>-0.13680392675608974</x:v>
      </x:c>
      <x:c r="W86" s="22" t="n">
        <x:f>'指标计算'!Q35</x:f>
        <x:v>-0.13680392675608974</x:v>
      </x:c>
      <x:c r="X86" s="22" t="str">
        <x:v>["S0207"]</x:v>
      </x:c>
      <x:c r="Y86" s="22" t="str">
        <x:v>evidence/student_evidence.jsonl；student_key=2025秋:258906</x:v>
      </x:c>
      <x:c r="Z86" s="26" t="n">
        <x:f>IF(OR(B86="s3",B86="s6"),COUNTIFS($B$6:$B$151,B86,$K$6:$K$151,"&gt;"&amp;K86)+(COUNTIFS($B$6:$B$151,B86,$K$6:$K$151,K86)+1)/2,"NA")</x:f>
        <x:v>94</x:v>
      </x:c>
      <x:c r="AA86" s="26" t="n">
        <x:f>IF(OR(B86="s3",B86="s6"),COUNTIFS($B$6:$B$151,B86,$M$6:$M$151,"&gt;"&amp;M86)+(COUNTIFS($B$6:$B$151,B86,$M$6:$M$151,M86)+1)/2,"NA")</x:f>
        <x:v>78</x:v>
      </x:c>
      <x:c r="AB86" s="26" t="n">
        <x:f>IF(OR(B86="s3",B86="s6"),COUNTIFS($B$6:$B$151,B86,$O$6:$O$151,"&gt;"&amp;O86)+(COUNTIFS($B$6:$B$151,B86,$O$6:$O$151,O86)+1)/2,"NA")</x:f>
        <x:v>88</x:v>
      </x:c>
      <x:c r="AC86" s="26" t="n">
        <x:f>IF(OR(B86="s3",B86="s6"),COUNTIFS($B$6:$B$151,B86,$Q$6:$Q$151,"&gt;"&amp;Q86)+(COUNTIFS($B$6:$B$151,B86,$Q$6:$Q$151,Q86)+1)/2,"NA")</x:f>
        <x:v>77</x:v>
      </x:c>
      <x:c r="AD86" s="25" t="n">
        <x:v>58.93304324820819</x:v>
      </x:c>
      <x:c r="AE86" s="25" t="n">
        <x:v>83</x:v>
      </x:c>
      <x:c r="AF86" s="25" t="n">
        <x:v>80</x:v>
      </x:c>
      <x:c r="AG86" s="25" t="n">
        <x:v>0</x:v>
      </x:c>
    </x:row>
    <x:row r="87" ht="23" customHeight="1">
      <x:c r="A87" s="21" t="str">
        <x:v>2025秋:258927</x:v>
      </x:c>
      <x:c r="B87" s="22" t="str">
        <x:v>s3</x:v>
      </x:c>
      <x:c r="C87" s="24" t="n">
        <x:v>1</x:v>
      </x:c>
      <x:c r="D87" s="24" t="n">
        <x:v>1</x:v>
      </x:c>
      <x:c r="E87" s="29" t="n">
        <x:f>'指标计算'!S45</x:f>
        <x:v>0.49429983638516295</x:v>
      </x:c>
      <x:c r="F87" s="29" t="n">
        <x:f>'指标计算'!T45</x:f>
        <x:v>0.4315980366219551</x:v>
      </x:c>
      <x:c r="G87" s="29" t="n">
        <x:f>'指标计算'!U45</x:f>
        <x:v>0.4315980366219551</x:v>
      </x:c>
      <x:c r="H87" s="29" t="n">
        <x:f>'指标计算'!V45</x:f>
        <x:v>1</x:v>
      </x:c>
      <x:c r="I87" s="30" t="n">
        <x:f>IF(COUNT('总览与权重'!$H$11:$K$11)=4,ROUND(100*SUMPRODUCT(E87:H87,'总览与权重'!$H$11:$K$11),12),"NA")</x:f>
        <x:v>62.092916556433</x:v>
      </x:c>
      <x:c r="J87" s="30" t="n">
        <x:f>IF(ISNUMBER(I87),COUNTIFS($I$6:$I$151,"&gt;"&amp;I87)+(COUNTIFS($I$6:$I$151,I87)+1)/2,"NA")</x:f>
        <x:v>83</x:v>
      </x:c>
      <x:c r="K87" s="30" t="n">
        <x:f>IF(COUNT('总览与权重'!$H$12:$K$12)=4,ROUND(100*SUMPRODUCT(E87:H87,'总览与权重'!$H$12:$K$12),12),"NA")</x:f>
        <x:v>55.781878925021</x:v>
      </x:c>
      <x:c r="L87" s="30" t="n">
        <x:f>IF(ISNUMBER(K87),COUNTIFS($K$6:$K$151,"&gt;"&amp;K87)+(COUNTIFS($K$6:$K$151,K87)+1)/2,"NA")</x:f>
        <x:v>98</x:v>
      </x:c>
      <x:c r="M87" s="30" t="n">
        <x:f>IF(COUNT('总览与权重'!$H$13:$K$13)=4,ROUND(100*SUMPRODUCT(E87:H87,'总览与权重'!$H$13:$K$13),12),"NA")</x:f>
        <x:v>64.621417374507</x:v>
      </x:c>
      <x:c r="N87" s="30" t="n">
        <x:f>IF(ISNUMBER(M87),COUNTIFS($M$6:$M$151,"&gt;"&amp;M87)+(COUNTIFS($M$6:$M$151,M87)+1)/2,"NA")</x:f>
        <x:v>80</x:v>
      </x:c>
      <x:c r="O87" s="30" t="n">
        <x:f>IF(COUNT('总览与权重'!$H$14:$K$14)=4,ROUND(100*SUMPRODUCT(E87:H87,'总览与权重'!$H$14:$K$14),12),"NA")</x:f>
        <x:v>60.229348030833</x:v>
      </x:c>
      <x:c r="P87" s="30" t="n">
        <x:f>IF(ISNUMBER(O87),COUNTIFS($O$6:$O$151,"&gt;"&amp;O87)+(COUNTIFS($O$6:$O$151,O87)+1)/2,"NA")</x:f>
        <x:v>91</x:v>
      </x:c>
      <x:c r="Q87" s="30" t="n">
        <x:f>IF(COUNT('总览与权重'!$H$15:$K$15)=4,ROUND(100*SUMPRODUCT(E87:H87,'总览与权重'!$H$15:$K$15),12),"NA")</x:f>
        <x:v>78.753681992308</x:v>
      </x:c>
      <x:c r="R87" s="30" t="n">
        <x:f>IF(ISNUMBER(Q87),COUNTIFS($Q$6:$Q$151,"&gt;"&amp;Q87)+(COUNTIFS($Q$6:$Q$151,Q87)+1)/2,"NA")</x:f>
        <x:v>78</x:v>
      </x:c>
      <x:c r="S87" s="31" t="n">
        <x:f>IF(OR(B87="s3",B87="s6"),COUNTIFS($B$6:$B$151,B87,$I$6:$I$151,"&gt;"&amp;I87)+(COUNTIFS($B$6:$B$151,B87,$I$6:$I$151,I87)+1)/2,"NA")</x:f>
        <x:v>80</x:v>
      </x:c>
      <x:c r="T87" s="26" t="str">
        <x:f>IF(COUNTIFS($I$6:$I$151,"&gt;"&amp;I87)&gt;=30,"非前20%",IF(COUNTIFS($I$6:$I$151,"&gt;="&amp;I87)&gt;=30,"边界同分","严格前20%"))</x:f>
        <x:v>非前20%</x:v>
      </x:c>
      <x:c r="U87" s="26" t="str">
        <x:f>IF(COUNTIFS($I$6:$I$151,"&lt;"&amp;I87)&gt;=30,"非后20%",IF(COUNTIFS($I$6:$I$151,"&lt;="&amp;I87)&gt;=30,"边界同分","严格后20%"))</x:f>
        <x:v>非后20%</x:v>
      </x:c>
      <x:c r="V87" s="22" t="n">
        <x:f>'指标计算'!P45</x:f>
        <x:v>-0.13680392675608974</x:v>
      </x:c>
      <x:c r="W87" s="22" t="n">
        <x:f>'指标计算'!Q45</x:f>
        <x:v>-0.13680392675608974</x:v>
      </x:c>
      <x:c r="X87" s="22" t="str">
        <x:v>["S0295"]</x:v>
      </x:c>
      <x:c r="Y87" s="22" t="str">
        <x:v>evidence/student_evidence.jsonl；student_key=2025秋:258927</x:v>
      </x:c>
      <x:c r="Z87" s="26" t="n">
        <x:f>IF(OR(B87="s3",B87="s6"),COUNTIFS($B$6:$B$151,B87,$K$6:$K$151,"&gt;"&amp;K87)+(COUNTIFS($B$6:$B$151,B87,$K$6:$K$151,K87)+1)/2,"NA")</x:f>
        <x:v>94</x:v>
      </x:c>
      <x:c r="AA87" s="26" t="n">
        <x:f>IF(OR(B87="s3",B87="s6"),COUNTIFS($B$6:$B$151,B87,$M$6:$M$151,"&gt;"&amp;M87)+(COUNTIFS($B$6:$B$151,B87,$M$6:$M$151,M87)+1)/2,"NA")</x:f>
        <x:v>78</x:v>
      </x:c>
      <x:c r="AB87" s="26" t="n">
        <x:f>IF(OR(B87="s3",B87="s6"),COUNTIFS($B$6:$B$151,B87,$O$6:$O$151,"&gt;"&amp;O87)+(COUNTIFS($B$6:$B$151,B87,$O$6:$O$151,O87)+1)/2,"NA")</x:f>
        <x:v>88</x:v>
      </x:c>
      <x:c r="AC87" s="26" t="n">
        <x:f>IF(OR(B87="s3",B87="s6"),COUNTIFS($B$6:$B$151,B87,$Q$6:$Q$151,"&gt;"&amp;Q87)+(COUNTIFS($B$6:$B$151,B87,$Q$6:$Q$151,Q87)+1)/2,"NA")</x:f>
        <x:v>77</x:v>
      </x:c>
      <x:c r="AD87" s="25" t="n">
        <x:v>58.93304324820819</x:v>
      </x:c>
      <x:c r="AE87" s="25" t="n">
        <x:v>83</x:v>
      </x:c>
      <x:c r="AF87" s="25" t="n">
        <x:v>80</x:v>
      </x:c>
      <x:c r="AG87" s="25" t="n">
        <x:v>0</x:v>
      </x:c>
    </x:row>
    <x:row r="88" ht="23" customHeight="1">
      <x:c r="A88" s="21" t="str">
        <x:v>2025秋:259843</x:v>
      </x:c>
      <x:c r="B88" s="22" t="str">
        <x:v>s3</x:v>
      </x:c>
      <x:c r="C88" s="24" t="n">
        <x:v>1</x:v>
      </x:c>
      <x:c r="D88" s="24" t="n">
        <x:v>1</x:v>
      </x:c>
      <x:c r="E88" s="29" t="n">
        <x:f>'指标计算'!S113</x:f>
        <x:v>0.49429983638516295</x:v>
      </x:c>
      <x:c r="F88" s="29" t="n">
        <x:f>'指标计算'!T113</x:f>
        <x:v>0.4315980366219551</x:v>
      </x:c>
      <x:c r="G88" s="29" t="n">
        <x:f>'指标计算'!U113</x:f>
        <x:v>0.4315980366219551</x:v>
      </x:c>
      <x:c r="H88" s="29" t="n">
        <x:f>'指标计算'!V113</x:f>
        <x:v>1</x:v>
      </x:c>
      <x:c r="I88" s="30" t="n">
        <x:f>IF(COUNT('总览与权重'!$H$11:$K$11)=4,ROUND(100*SUMPRODUCT(E88:H88,'总览与权重'!$H$11:$K$11),12),"NA")</x:f>
        <x:v>62.092916556433</x:v>
      </x:c>
      <x:c r="J88" s="30" t="n">
        <x:f>IF(ISNUMBER(I88),COUNTIFS($I$6:$I$151,"&gt;"&amp;I88)+(COUNTIFS($I$6:$I$151,I88)+1)/2,"NA")</x:f>
        <x:v>83</x:v>
      </x:c>
      <x:c r="K88" s="30" t="n">
        <x:f>IF(COUNT('总览与权重'!$H$12:$K$12)=4,ROUND(100*SUMPRODUCT(E88:H88,'总览与权重'!$H$12:$K$12),12),"NA")</x:f>
        <x:v>55.781878925021</x:v>
      </x:c>
      <x:c r="L88" s="30" t="n">
        <x:f>IF(ISNUMBER(K88),COUNTIFS($K$6:$K$151,"&gt;"&amp;K88)+(COUNTIFS($K$6:$K$151,K88)+1)/2,"NA")</x:f>
        <x:v>98</x:v>
      </x:c>
      <x:c r="M88" s="30" t="n">
        <x:f>IF(COUNT('总览与权重'!$H$13:$K$13)=4,ROUND(100*SUMPRODUCT(E88:H88,'总览与权重'!$H$13:$K$13),12),"NA")</x:f>
        <x:v>64.621417374507</x:v>
      </x:c>
      <x:c r="N88" s="30" t="n">
        <x:f>IF(ISNUMBER(M88),COUNTIFS($M$6:$M$151,"&gt;"&amp;M88)+(COUNTIFS($M$6:$M$151,M88)+1)/2,"NA")</x:f>
        <x:v>80</x:v>
      </x:c>
      <x:c r="O88" s="30" t="n">
        <x:f>IF(COUNT('总览与权重'!$H$14:$K$14)=4,ROUND(100*SUMPRODUCT(E88:H88,'总览与权重'!$H$14:$K$14),12),"NA")</x:f>
        <x:v>60.229348030833</x:v>
      </x:c>
      <x:c r="P88" s="30" t="n">
        <x:f>IF(ISNUMBER(O88),COUNTIFS($O$6:$O$151,"&gt;"&amp;O88)+(COUNTIFS($O$6:$O$151,O88)+1)/2,"NA")</x:f>
        <x:v>91</x:v>
      </x:c>
      <x:c r="Q88" s="30" t="n">
        <x:f>IF(COUNT('总览与权重'!$H$15:$K$15)=4,ROUND(100*SUMPRODUCT(E88:H88,'总览与权重'!$H$15:$K$15),12),"NA")</x:f>
        <x:v>78.753681992308</x:v>
      </x:c>
      <x:c r="R88" s="30" t="n">
        <x:f>IF(ISNUMBER(Q88),COUNTIFS($Q$6:$Q$151,"&gt;"&amp;Q88)+(COUNTIFS($Q$6:$Q$151,Q88)+1)/2,"NA")</x:f>
        <x:v>78</x:v>
      </x:c>
      <x:c r="S88" s="31" t="n">
        <x:f>IF(OR(B88="s3",B88="s6"),COUNTIFS($B$6:$B$151,B88,$I$6:$I$151,"&gt;"&amp;I88)+(COUNTIFS($B$6:$B$151,B88,$I$6:$I$151,I88)+1)/2,"NA")</x:f>
        <x:v>80</x:v>
      </x:c>
      <x:c r="T88" s="26" t="str">
        <x:f>IF(COUNTIFS($I$6:$I$151,"&gt;"&amp;I88)&gt;=30,"非前20%",IF(COUNTIFS($I$6:$I$151,"&gt;="&amp;I88)&gt;=30,"边界同分","严格前20%"))</x:f>
        <x:v>非前20%</x:v>
      </x:c>
      <x:c r="U88" s="26" t="str">
        <x:f>IF(COUNTIFS($I$6:$I$151,"&lt;"&amp;I88)&gt;=30,"非后20%",IF(COUNTIFS($I$6:$I$151,"&lt;="&amp;I88)&gt;=30,"边界同分","严格后20%"))</x:f>
        <x:v>非后20%</x:v>
      </x:c>
      <x:c r="V88" s="22" t="n">
        <x:f>'指标计算'!P113</x:f>
        <x:v>-0.13680392675608974</x:v>
      </x:c>
      <x:c r="W88" s="22" t="n">
        <x:f>'指标计算'!Q113</x:f>
        <x:v>-0.13680392675608974</x:v>
      </x:c>
      <x:c r="X88" s="22" t="str">
        <x:v>["S0080"]</x:v>
      </x:c>
      <x:c r="Y88" s="22" t="str">
        <x:v>evidence/student_evidence.jsonl；student_key=2025秋:259843</x:v>
      </x:c>
      <x:c r="Z88" s="26" t="n">
        <x:f>IF(OR(B88="s3",B88="s6"),COUNTIFS($B$6:$B$151,B88,$K$6:$K$151,"&gt;"&amp;K88)+(COUNTIFS($B$6:$B$151,B88,$K$6:$K$151,K88)+1)/2,"NA")</x:f>
        <x:v>94</x:v>
      </x:c>
      <x:c r="AA88" s="26" t="n">
        <x:f>IF(OR(B88="s3",B88="s6"),COUNTIFS($B$6:$B$151,B88,$M$6:$M$151,"&gt;"&amp;M88)+(COUNTIFS($B$6:$B$151,B88,$M$6:$M$151,M88)+1)/2,"NA")</x:f>
        <x:v>78</x:v>
      </x:c>
      <x:c r="AB88" s="26" t="n">
        <x:f>IF(OR(B88="s3",B88="s6"),COUNTIFS($B$6:$B$151,B88,$O$6:$O$151,"&gt;"&amp;O88)+(COUNTIFS($B$6:$B$151,B88,$O$6:$O$151,O88)+1)/2,"NA")</x:f>
        <x:v>88</x:v>
      </x:c>
      <x:c r="AC88" s="26" t="n">
        <x:f>IF(OR(B88="s3",B88="s6"),COUNTIFS($B$6:$B$151,B88,$Q$6:$Q$151,"&gt;"&amp;Q88)+(COUNTIFS($B$6:$B$151,B88,$Q$6:$Q$151,Q88)+1)/2,"NA")</x:f>
        <x:v>77</x:v>
      </x:c>
      <x:c r="AD88" s="25" t="n">
        <x:v>58.93304324820819</x:v>
      </x:c>
      <x:c r="AE88" s="25" t="n">
        <x:v>83</x:v>
      </x:c>
      <x:c r="AF88" s="25" t="n">
        <x:v>80</x:v>
      </x:c>
      <x:c r="AG88" s="25" t="n">
        <x:v>0</x:v>
      </x:c>
    </x:row>
    <x:row r="89" ht="23" customHeight="1">
      <x:c r="A89" s="21" t="str">
        <x:v>2025秋:259899</x:v>
      </x:c>
      <x:c r="B89" s="22" t="str">
        <x:v>s3</x:v>
      </x:c>
      <x:c r="C89" s="24" t="n">
        <x:v>1</x:v>
      </x:c>
      <x:c r="D89" s="24" t="n">
        <x:v>1</x:v>
      </x:c>
      <x:c r="E89" s="29" t="n">
        <x:f>'指标计算'!S124</x:f>
        <x:v>0.49429983638516295</x:v>
      </x:c>
      <x:c r="F89" s="29" t="n">
        <x:f>'指标计算'!T124</x:f>
        <x:v>0.4315980366219551</x:v>
      </x:c>
      <x:c r="G89" s="29" t="n">
        <x:f>'指标计算'!U124</x:f>
        <x:v>0.4315980366219551</x:v>
      </x:c>
      <x:c r="H89" s="29" t="n">
        <x:f>'指标计算'!V124</x:f>
        <x:v>1</x:v>
      </x:c>
      <x:c r="I89" s="30" t="n">
        <x:f>IF(COUNT('总览与权重'!$H$11:$K$11)=4,ROUND(100*SUMPRODUCT(E89:H89,'总览与权重'!$H$11:$K$11),12),"NA")</x:f>
        <x:v>62.092916556433</x:v>
      </x:c>
      <x:c r="J89" s="30" t="n">
        <x:f>IF(ISNUMBER(I89),COUNTIFS($I$6:$I$151,"&gt;"&amp;I89)+(COUNTIFS($I$6:$I$151,I89)+1)/2,"NA")</x:f>
        <x:v>83</x:v>
      </x:c>
      <x:c r="K89" s="30" t="n">
        <x:f>IF(COUNT('总览与权重'!$H$12:$K$12)=4,ROUND(100*SUMPRODUCT(E89:H89,'总览与权重'!$H$12:$K$12),12),"NA")</x:f>
        <x:v>55.781878925021</x:v>
      </x:c>
      <x:c r="L89" s="30" t="n">
        <x:f>IF(ISNUMBER(K89),COUNTIFS($K$6:$K$151,"&gt;"&amp;K89)+(COUNTIFS($K$6:$K$151,K89)+1)/2,"NA")</x:f>
        <x:v>98</x:v>
      </x:c>
      <x:c r="M89" s="30" t="n">
        <x:f>IF(COUNT('总览与权重'!$H$13:$K$13)=4,ROUND(100*SUMPRODUCT(E89:H89,'总览与权重'!$H$13:$K$13),12),"NA")</x:f>
        <x:v>64.621417374507</x:v>
      </x:c>
      <x:c r="N89" s="30" t="n">
        <x:f>IF(ISNUMBER(M89),COUNTIFS($M$6:$M$151,"&gt;"&amp;M89)+(COUNTIFS($M$6:$M$151,M89)+1)/2,"NA")</x:f>
        <x:v>80</x:v>
      </x:c>
      <x:c r="O89" s="30" t="n">
        <x:f>IF(COUNT('总览与权重'!$H$14:$K$14)=4,ROUND(100*SUMPRODUCT(E89:H89,'总览与权重'!$H$14:$K$14),12),"NA")</x:f>
        <x:v>60.229348030833</x:v>
      </x:c>
      <x:c r="P89" s="30" t="n">
        <x:f>IF(ISNUMBER(O89),COUNTIFS($O$6:$O$151,"&gt;"&amp;O89)+(COUNTIFS($O$6:$O$151,O89)+1)/2,"NA")</x:f>
        <x:v>91</x:v>
      </x:c>
      <x:c r="Q89" s="30" t="n">
        <x:f>IF(COUNT('总览与权重'!$H$15:$K$15)=4,ROUND(100*SUMPRODUCT(E89:H89,'总览与权重'!$H$15:$K$15),12),"NA")</x:f>
        <x:v>78.753681992308</x:v>
      </x:c>
      <x:c r="R89" s="30" t="n">
        <x:f>IF(ISNUMBER(Q89),COUNTIFS($Q$6:$Q$151,"&gt;"&amp;Q89)+(COUNTIFS($Q$6:$Q$151,Q89)+1)/2,"NA")</x:f>
        <x:v>78</x:v>
      </x:c>
      <x:c r="S89" s="31" t="n">
        <x:f>IF(OR(B89="s3",B89="s6"),COUNTIFS($B$6:$B$151,B89,$I$6:$I$151,"&gt;"&amp;I89)+(COUNTIFS($B$6:$B$151,B89,$I$6:$I$151,I89)+1)/2,"NA")</x:f>
        <x:v>80</x:v>
      </x:c>
      <x:c r="T89" s="26" t="str">
        <x:f>IF(COUNTIFS($I$6:$I$151,"&gt;"&amp;I89)&gt;=30,"非前20%",IF(COUNTIFS($I$6:$I$151,"&gt;="&amp;I89)&gt;=30,"边界同分","严格前20%"))</x:f>
        <x:v>非前20%</x:v>
      </x:c>
      <x:c r="U89" s="26" t="str">
        <x:f>IF(COUNTIFS($I$6:$I$151,"&lt;"&amp;I89)&gt;=30,"非后20%",IF(COUNTIFS($I$6:$I$151,"&lt;="&amp;I89)&gt;=30,"边界同分","严格后20%"))</x:f>
        <x:v>非后20%</x:v>
      </x:c>
      <x:c r="V89" s="22" t="n">
        <x:f>'指标计算'!P124</x:f>
        <x:v>-0.13680392675608974</x:v>
      </x:c>
      <x:c r="W89" s="22" t="n">
        <x:f>'指标计算'!Q124</x:f>
        <x:v>-0.13680392675608974</x:v>
      </x:c>
      <x:c r="X89" s="22" t="str">
        <x:v>["S0318"]</x:v>
      </x:c>
      <x:c r="Y89" s="22" t="str">
        <x:v>evidence/student_evidence.jsonl；student_key=2025秋:259899</x:v>
      </x:c>
      <x:c r="Z89" s="26" t="n">
        <x:f>IF(OR(B89="s3",B89="s6"),COUNTIFS($B$6:$B$151,B89,$K$6:$K$151,"&gt;"&amp;K89)+(COUNTIFS($B$6:$B$151,B89,$K$6:$K$151,K89)+1)/2,"NA")</x:f>
        <x:v>94</x:v>
      </x:c>
      <x:c r="AA89" s="26" t="n">
        <x:f>IF(OR(B89="s3",B89="s6"),COUNTIFS($B$6:$B$151,B89,$M$6:$M$151,"&gt;"&amp;M89)+(COUNTIFS($B$6:$B$151,B89,$M$6:$M$151,M89)+1)/2,"NA")</x:f>
        <x:v>78</x:v>
      </x:c>
      <x:c r="AB89" s="26" t="n">
        <x:f>IF(OR(B89="s3",B89="s6"),COUNTIFS($B$6:$B$151,B89,$O$6:$O$151,"&gt;"&amp;O89)+(COUNTIFS($B$6:$B$151,B89,$O$6:$O$151,O89)+1)/2,"NA")</x:f>
        <x:v>88</x:v>
      </x:c>
      <x:c r="AC89" s="26" t="n">
        <x:f>IF(OR(B89="s3",B89="s6"),COUNTIFS($B$6:$B$151,B89,$Q$6:$Q$151,"&gt;"&amp;Q89)+(COUNTIFS($B$6:$B$151,B89,$Q$6:$Q$151,Q89)+1)/2,"NA")</x:f>
        <x:v>77</x:v>
      </x:c>
      <x:c r="AD89" s="25" t="n">
        <x:v>58.93304324820819</x:v>
      </x:c>
      <x:c r="AE89" s="25" t="n">
        <x:v>83</x:v>
      </x:c>
      <x:c r="AF89" s="25" t="n">
        <x:v>80</x:v>
      </x:c>
      <x:c r="AG89" s="25" t="n">
        <x:v>0</x:v>
      </x:c>
    </x:row>
    <x:row r="90" ht="23" customHeight="1">
      <x:c r="A90" s="21" t="str">
        <x:v>2025秋:25A086</x:v>
      </x:c>
      <x:c r="B90" s="22" t="str">
        <x:v>s3</x:v>
      </x:c>
      <x:c r="C90" s="24" t="n">
        <x:v>1</x:v>
      </x:c>
      <x:c r="D90" s="24" t="n">
        <x:v>1</x:v>
      </x:c>
      <x:c r="E90" s="29" t="n">
        <x:f>'指标计算'!S135</x:f>
        <x:v>0.49429983638516295</x:v>
      </x:c>
      <x:c r="F90" s="29" t="n">
        <x:f>'指标计算'!T135</x:f>
        <x:v>0.4315980366219551</x:v>
      </x:c>
      <x:c r="G90" s="29" t="n">
        <x:f>'指标计算'!U135</x:f>
        <x:v>0.4315980366219551</x:v>
      </x:c>
      <x:c r="H90" s="29" t="n">
        <x:f>'指标计算'!V135</x:f>
        <x:v>1</x:v>
      </x:c>
      <x:c r="I90" s="30" t="n">
        <x:f>IF(COUNT('总览与权重'!$H$11:$K$11)=4,ROUND(100*SUMPRODUCT(E90:H90,'总览与权重'!$H$11:$K$11),12),"NA")</x:f>
        <x:v>62.092916556433</x:v>
      </x:c>
      <x:c r="J90" s="30" t="n">
        <x:f>IF(ISNUMBER(I90),COUNTIFS($I$6:$I$151,"&gt;"&amp;I90)+(COUNTIFS($I$6:$I$151,I90)+1)/2,"NA")</x:f>
        <x:v>83</x:v>
      </x:c>
      <x:c r="K90" s="30" t="n">
        <x:f>IF(COUNT('总览与权重'!$H$12:$K$12)=4,ROUND(100*SUMPRODUCT(E90:H90,'总览与权重'!$H$12:$K$12),12),"NA")</x:f>
        <x:v>55.781878925021</x:v>
      </x:c>
      <x:c r="L90" s="30" t="n">
        <x:f>IF(ISNUMBER(K90),COUNTIFS($K$6:$K$151,"&gt;"&amp;K90)+(COUNTIFS($K$6:$K$151,K90)+1)/2,"NA")</x:f>
        <x:v>98</x:v>
      </x:c>
      <x:c r="M90" s="30" t="n">
        <x:f>IF(COUNT('总览与权重'!$H$13:$K$13)=4,ROUND(100*SUMPRODUCT(E90:H90,'总览与权重'!$H$13:$K$13),12),"NA")</x:f>
        <x:v>64.621417374507</x:v>
      </x:c>
      <x:c r="N90" s="30" t="n">
        <x:f>IF(ISNUMBER(M90),COUNTIFS($M$6:$M$151,"&gt;"&amp;M90)+(COUNTIFS($M$6:$M$151,M90)+1)/2,"NA")</x:f>
        <x:v>80</x:v>
      </x:c>
      <x:c r="O90" s="30" t="n">
        <x:f>IF(COUNT('总览与权重'!$H$14:$K$14)=4,ROUND(100*SUMPRODUCT(E90:H90,'总览与权重'!$H$14:$K$14),12),"NA")</x:f>
        <x:v>60.229348030833</x:v>
      </x:c>
      <x:c r="P90" s="30" t="n">
        <x:f>IF(ISNUMBER(O90),COUNTIFS($O$6:$O$151,"&gt;"&amp;O90)+(COUNTIFS($O$6:$O$151,O90)+1)/2,"NA")</x:f>
        <x:v>91</x:v>
      </x:c>
      <x:c r="Q90" s="30" t="n">
        <x:f>IF(COUNT('总览与权重'!$H$15:$K$15)=4,ROUND(100*SUMPRODUCT(E90:H90,'总览与权重'!$H$15:$K$15),12),"NA")</x:f>
        <x:v>78.753681992308</x:v>
      </x:c>
      <x:c r="R90" s="30" t="n">
        <x:f>IF(ISNUMBER(Q90),COUNTIFS($Q$6:$Q$151,"&gt;"&amp;Q90)+(COUNTIFS($Q$6:$Q$151,Q90)+1)/2,"NA")</x:f>
        <x:v>78</x:v>
      </x:c>
      <x:c r="S90" s="31" t="n">
        <x:f>IF(OR(B90="s3",B90="s6"),COUNTIFS($B$6:$B$151,B90,$I$6:$I$151,"&gt;"&amp;I90)+(COUNTIFS($B$6:$B$151,B90,$I$6:$I$151,I90)+1)/2,"NA")</x:f>
        <x:v>80</x:v>
      </x:c>
      <x:c r="T90" s="26" t="str">
        <x:f>IF(COUNTIFS($I$6:$I$151,"&gt;"&amp;I90)&gt;=30,"非前20%",IF(COUNTIFS($I$6:$I$151,"&gt;="&amp;I90)&gt;=30,"边界同分","严格前20%"))</x:f>
        <x:v>非前20%</x:v>
      </x:c>
      <x:c r="U90" s="26" t="str">
        <x:f>IF(COUNTIFS($I$6:$I$151,"&lt;"&amp;I90)&gt;=30,"非后20%",IF(COUNTIFS($I$6:$I$151,"&lt;="&amp;I90)&gt;=30,"边界同分","严格后20%"))</x:f>
        <x:v>非后20%</x:v>
      </x:c>
      <x:c r="V90" s="22" t="n">
        <x:f>'指标计算'!P135</x:f>
        <x:v>-0.13680392675608974</x:v>
      </x:c>
      <x:c r="W90" s="22" t="n">
        <x:f>'指标计算'!Q135</x:f>
        <x:v>-0.13680392675608974</x:v>
      </x:c>
      <x:c r="X90" s="22" t="str">
        <x:v>["S0246"]</x:v>
      </x:c>
      <x:c r="Y90" s="22" t="str">
        <x:v>evidence/student_evidence.jsonl；student_key=2025秋:25A086</x:v>
      </x:c>
      <x:c r="Z90" s="26" t="n">
        <x:f>IF(OR(B90="s3",B90="s6"),COUNTIFS($B$6:$B$151,B90,$K$6:$K$151,"&gt;"&amp;K90)+(COUNTIFS($B$6:$B$151,B90,$K$6:$K$151,K90)+1)/2,"NA")</x:f>
        <x:v>94</x:v>
      </x:c>
      <x:c r="AA90" s="26" t="n">
        <x:f>IF(OR(B90="s3",B90="s6"),COUNTIFS($B$6:$B$151,B90,$M$6:$M$151,"&gt;"&amp;M90)+(COUNTIFS($B$6:$B$151,B90,$M$6:$M$151,M90)+1)/2,"NA")</x:f>
        <x:v>78</x:v>
      </x:c>
      <x:c r="AB90" s="26" t="n">
        <x:f>IF(OR(B90="s3",B90="s6"),COUNTIFS($B$6:$B$151,B90,$O$6:$O$151,"&gt;"&amp;O90)+(COUNTIFS($B$6:$B$151,B90,$O$6:$O$151,O90)+1)/2,"NA")</x:f>
        <x:v>88</x:v>
      </x:c>
      <x:c r="AC90" s="26" t="n">
        <x:f>IF(OR(B90="s3",B90="s6"),COUNTIFS($B$6:$B$151,B90,$Q$6:$Q$151,"&gt;"&amp;Q90)+(COUNTIFS($B$6:$B$151,B90,$Q$6:$Q$151,Q90)+1)/2,"NA")</x:f>
        <x:v>77</x:v>
      </x:c>
      <x:c r="AD90" s="25" t="n">
        <x:v>58.93304324820819</x:v>
      </x:c>
      <x:c r="AE90" s="25" t="n">
        <x:v>83</x:v>
      </x:c>
      <x:c r="AF90" s="25" t="n">
        <x:v>80</x:v>
      </x:c>
      <x:c r="AG90" s="25" t="n">
        <x:v>0</x:v>
      </x:c>
    </x:row>
    <x:row r="91" ht="23" customHeight="1">
      <x:c r="A91" s="21" t="str">
        <x:v>2025秋:258887</x:v>
      </x:c>
      <x:c r="B91" s="22" t="str">
        <x:v>s3</x:v>
      </x:c>
      <x:c r="C91" s="24" t="n">
        <x:v>1</x:v>
      </x:c>
      <x:c r="D91" s="24" t="n">
        <x:v>1</x:v>
      </x:c>
      <x:c r="E91" s="29" t="n">
        <x:f>'指标计算'!S29</x:f>
        <x:v>0.4942986547644854</x:v>
      </x:c>
      <x:c r="F91" s="29" t="n">
        <x:f>'指标计算'!T29</x:f>
        <x:v>0.43158385717382486</x:v>
      </x:c>
      <x:c r="G91" s="29" t="n">
        <x:f>'指标计算'!U29</x:f>
        <x:v>0.43158385717382486</x:v>
      </x:c>
      <x:c r="H91" s="29" t="n">
        <x:f>'指标计算'!V29</x:f>
        <x:v>1</x:v>
      </x:c>
      <x:c r="I91" s="30" t="n">
        <x:f>IF(COUNT('总览与权重'!$H$11:$K$11)=4,ROUND(100*SUMPRODUCT(E91:H91,'总览与权重'!$H$11:$K$11),12),"NA")</x:f>
        <x:v>62.092313929888</x:v>
      </x:c>
      <x:c r="J91" s="30" t="n">
        <x:f>IF(ISNUMBER(I91),COUNTIFS($I$6:$I$151,"&gt;"&amp;I91)+(COUNTIFS($I$6:$I$151,I91)+1)/2,"NA")</x:f>
        <x:v>91</x:v>
      </x:c>
      <x:c r="K91" s="30" t="n">
        <x:f>IF(COUNT('总览与权重'!$H$12:$K$12)=4,ROUND(100*SUMPRODUCT(E91:H91,'总览与权重'!$H$12:$K$12),12),"NA")</x:f>
        <x:v>55.781004525719</x:v>
      </x:c>
      <x:c r="L91" s="30" t="n">
        <x:f>IF(ISNUMBER(K91),COUNTIFS($K$6:$K$151,"&gt;"&amp;K91)+(COUNTIFS($K$6:$K$151,K91)+1)/2,"NA")</x:f>
        <x:v>106</x:v>
      </x:c>
      <x:c r="M91" s="30" t="n">
        <x:f>IF(COUNT('总览与权重'!$H$13:$K$13)=4,ROUND(100*SUMPRODUCT(E91:H91,'总览与权重'!$H$13:$K$13),12),"NA")</x:f>
        <x:v>64.620820656065</x:v>
      </x:c>
      <x:c r="N91" s="30" t="n">
        <x:f>IF(ISNUMBER(M91),COUNTIFS($M$6:$M$151,"&gt;"&amp;M91)+(COUNTIFS($M$6:$M$151,M91)+1)/2,"NA")</x:f>
        <x:v>88</x:v>
      </x:c>
      <x:c r="O91" s="30" t="n">
        <x:f>IF(COUNT('总览与权重'!$H$14:$K$14)=4,ROUND(100*SUMPRODUCT(E91:H91,'总览与权重'!$H$14:$K$14),12),"NA")</x:f>
        <x:v>60.22835909413</x:v>
      </x:c>
      <x:c r="P91" s="30" t="n">
        <x:f>IF(ISNUMBER(O91),COUNTIFS($O$6:$O$151,"&gt;"&amp;O91)+(COUNTIFS($O$6:$O$151,O91)+1)/2,"NA")</x:f>
        <x:v>99</x:v>
      </x:c>
      <x:c r="Q91" s="30" t="n">
        <x:f>IF(COUNT('总览与权重'!$H$15:$K$15)=4,ROUND(100*SUMPRODUCT(E91:H91,'总览与权重'!$H$15:$K$15),12),"NA")</x:f>
        <x:v>78.75315368154</x:v>
      </x:c>
      <x:c r="R91" s="30" t="n">
        <x:f>IF(ISNUMBER(Q91),COUNTIFS($Q$6:$Q$151,"&gt;"&amp;Q91)+(COUNTIFS($Q$6:$Q$151,Q91)+1)/2,"NA")</x:f>
        <x:v>86</x:v>
      </x:c>
      <x:c r="S91" s="31" t="n">
        <x:f>IF(OR(B91="s3",B91="s6"),COUNTIFS($B$6:$B$151,B91,$I$6:$I$151,"&gt;"&amp;I91)+(COUNTIFS($B$6:$B$151,B91,$I$6:$I$151,I91)+1)/2,"NA")</x:f>
        <x:v>88</x:v>
      </x:c>
      <x:c r="T91" s="26" t="str">
        <x:f>IF(COUNTIFS($I$6:$I$151,"&gt;"&amp;I91)&gt;=30,"非前20%",IF(COUNTIFS($I$6:$I$151,"&gt;="&amp;I91)&gt;=30,"边界同分","严格前20%"))</x:f>
        <x:v>非前20%</x:v>
      </x:c>
      <x:c r="U91" s="26" t="str">
        <x:f>IF(COUNTIFS($I$6:$I$151,"&lt;"&amp;I91)&gt;=30,"非后20%",IF(COUNTIFS($I$6:$I$151,"&lt;="&amp;I91)&gt;=30,"边界同分","严格后20%"))</x:f>
        <x:v>非后20%</x:v>
      </x:c>
      <x:c r="V91" s="22" t="n">
        <x:f>'指标计算'!P29</x:f>
        <x:v>-0.13683228565235026</x:v>
      </x:c>
      <x:c r="W91" s="22" t="n">
        <x:f>'指标计算'!Q29</x:f>
        <x:v>-0.13683228565235026</x:v>
      </x:c>
      <x:c r="X91" s="22" t="str">
        <x:v>["S0309"]</x:v>
      </x:c>
      <x:c r="Y91" s="22" t="str">
        <x:v>evidence/student_evidence.jsonl；student_key=2025秋:258887</x:v>
      </x:c>
      <x:c r="Z91" s="26" t="n">
        <x:f>IF(OR(B91="s3",B91="s6"),COUNTIFS($B$6:$B$151,B91,$K$6:$K$151,"&gt;"&amp;K91)+(COUNTIFS($B$6:$B$151,B91,$K$6:$K$151,K91)+1)/2,"NA")</x:f>
        <x:v>102</x:v>
      </x:c>
      <x:c r="AA91" s="26" t="n">
        <x:f>IF(OR(B91="s3",B91="s6"),COUNTIFS($B$6:$B$151,B91,$M$6:$M$151,"&gt;"&amp;M91)+(COUNTIFS($B$6:$B$151,B91,$M$6:$M$151,M91)+1)/2,"NA")</x:f>
        <x:v>86</x:v>
      </x:c>
      <x:c r="AB91" s="26" t="n">
        <x:f>IF(OR(B91="s3",B91="s6"),COUNTIFS($B$6:$B$151,B91,$O$6:$O$151,"&gt;"&amp;O91)+(COUNTIFS($B$6:$B$151,B91,$O$6:$O$151,O91)+1)/2,"NA")</x:f>
        <x:v>96</x:v>
      </x:c>
      <x:c r="AC91" s="26" t="n">
        <x:f>IF(OR(B91="s3",B91="s6"),COUNTIFS($B$6:$B$151,B91,$Q$6:$Q$151,"&gt;"&amp;Q91)+(COUNTIFS($B$6:$B$151,B91,$Q$6:$Q$151,Q91)+1)/2,"NA")</x:f>
        <x:v>85</x:v>
      </x:c>
      <x:c r="AD91" s="25" t="n">
        <x:v>58.93178559280881</x:v>
      </x:c>
      <x:c r="AE91" s="25" t="n">
        <x:v>91</x:v>
      </x:c>
      <x:c r="AF91" s="25" t="n">
        <x:v>88</x:v>
      </x:c>
      <x:c r="AG91" s="25" t="n">
        <x:v>0</x:v>
      </x:c>
    </x:row>
    <x:row r="92" ht="23" customHeight="1">
      <x:c r="A92" s="21" t="str">
        <x:v>2025秋:258900</x:v>
      </x:c>
      <x:c r="B92" s="22" t="str">
        <x:v>s3</x:v>
      </x:c>
      <x:c r="C92" s="24" t="n">
        <x:v>1</x:v>
      </x:c>
      <x:c r="D92" s="24" t="n">
        <x:v>1</x:v>
      </x:c>
      <x:c r="E92" s="29" t="n">
        <x:f>'指标计算'!S33</x:f>
        <x:v>0.4942986547644854</x:v>
      </x:c>
      <x:c r="F92" s="29" t="n">
        <x:f>'指标计算'!T33</x:f>
        <x:v>0.43158385717382486</x:v>
      </x:c>
      <x:c r="G92" s="29" t="n">
        <x:f>'指标计算'!U33</x:f>
        <x:v>0.43158385717382486</x:v>
      </x:c>
      <x:c r="H92" s="29" t="n">
        <x:f>'指标计算'!V33</x:f>
        <x:v>1</x:v>
      </x:c>
      <x:c r="I92" s="30" t="n">
        <x:f>IF(COUNT('总览与权重'!$H$11:$K$11)=4,ROUND(100*SUMPRODUCT(E92:H92,'总览与权重'!$H$11:$K$11),12),"NA")</x:f>
        <x:v>62.092313929888</x:v>
      </x:c>
      <x:c r="J92" s="30" t="n">
        <x:f>IF(ISNUMBER(I92),COUNTIFS($I$6:$I$151,"&gt;"&amp;I92)+(COUNTIFS($I$6:$I$151,I92)+1)/2,"NA")</x:f>
        <x:v>91</x:v>
      </x:c>
      <x:c r="K92" s="30" t="n">
        <x:f>IF(COUNT('总览与权重'!$H$12:$K$12)=4,ROUND(100*SUMPRODUCT(E92:H92,'总览与权重'!$H$12:$K$12),12),"NA")</x:f>
        <x:v>55.781004525719</x:v>
      </x:c>
      <x:c r="L92" s="30" t="n">
        <x:f>IF(ISNUMBER(K92),COUNTIFS($K$6:$K$151,"&gt;"&amp;K92)+(COUNTIFS($K$6:$K$151,K92)+1)/2,"NA")</x:f>
        <x:v>106</x:v>
      </x:c>
      <x:c r="M92" s="30" t="n">
        <x:f>IF(COUNT('总览与权重'!$H$13:$K$13)=4,ROUND(100*SUMPRODUCT(E92:H92,'总览与权重'!$H$13:$K$13),12),"NA")</x:f>
        <x:v>64.620820656065</x:v>
      </x:c>
      <x:c r="N92" s="30" t="n">
        <x:f>IF(ISNUMBER(M92),COUNTIFS($M$6:$M$151,"&gt;"&amp;M92)+(COUNTIFS($M$6:$M$151,M92)+1)/2,"NA")</x:f>
        <x:v>88</x:v>
      </x:c>
      <x:c r="O92" s="30" t="n">
        <x:f>IF(COUNT('总览与权重'!$H$14:$K$14)=4,ROUND(100*SUMPRODUCT(E92:H92,'总览与权重'!$H$14:$K$14),12),"NA")</x:f>
        <x:v>60.22835909413</x:v>
      </x:c>
      <x:c r="P92" s="30" t="n">
        <x:f>IF(ISNUMBER(O92),COUNTIFS($O$6:$O$151,"&gt;"&amp;O92)+(COUNTIFS($O$6:$O$151,O92)+1)/2,"NA")</x:f>
        <x:v>99</x:v>
      </x:c>
      <x:c r="Q92" s="30" t="n">
        <x:f>IF(COUNT('总览与权重'!$H$15:$K$15)=4,ROUND(100*SUMPRODUCT(E92:H92,'总览与权重'!$H$15:$K$15),12),"NA")</x:f>
        <x:v>78.75315368154</x:v>
      </x:c>
      <x:c r="R92" s="30" t="n">
        <x:f>IF(ISNUMBER(Q92),COUNTIFS($Q$6:$Q$151,"&gt;"&amp;Q92)+(COUNTIFS($Q$6:$Q$151,Q92)+1)/2,"NA")</x:f>
        <x:v>86</x:v>
      </x:c>
      <x:c r="S92" s="31" t="n">
        <x:f>IF(OR(B92="s3",B92="s6"),COUNTIFS($B$6:$B$151,B92,$I$6:$I$151,"&gt;"&amp;I92)+(COUNTIFS($B$6:$B$151,B92,$I$6:$I$151,I92)+1)/2,"NA")</x:f>
        <x:v>88</x:v>
      </x:c>
      <x:c r="T92" s="26" t="str">
        <x:f>IF(COUNTIFS($I$6:$I$151,"&gt;"&amp;I92)&gt;=30,"非前20%",IF(COUNTIFS($I$6:$I$151,"&gt;="&amp;I92)&gt;=30,"边界同分","严格前20%"))</x:f>
        <x:v>非前20%</x:v>
      </x:c>
      <x:c r="U92" s="26" t="str">
        <x:f>IF(COUNTIFS($I$6:$I$151,"&lt;"&amp;I92)&gt;=30,"非后20%",IF(COUNTIFS($I$6:$I$151,"&lt;="&amp;I92)&gt;=30,"边界同分","严格后20%"))</x:f>
        <x:v>非后20%</x:v>
      </x:c>
      <x:c r="V92" s="22" t="n">
        <x:f>'指标计算'!P33</x:f>
        <x:v>-0.13683228565235026</x:v>
      </x:c>
      <x:c r="W92" s="22" t="n">
        <x:f>'指标计算'!Q33</x:f>
        <x:v>-0.13683228565235026</x:v>
      </x:c>
      <x:c r="X92" s="22" t="str">
        <x:v>["S0460"]</x:v>
      </x:c>
      <x:c r="Y92" s="22" t="str">
        <x:v>evidence/student_evidence.jsonl；student_key=2025秋:258900</x:v>
      </x:c>
      <x:c r="Z92" s="26" t="n">
        <x:f>IF(OR(B92="s3",B92="s6"),COUNTIFS($B$6:$B$151,B92,$K$6:$K$151,"&gt;"&amp;K92)+(COUNTIFS($B$6:$B$151,B92,$K$6:$K$151,K92)+1)/2,"NA")</x:f>
        <x:v>102</x:v>
      </x:c>
      <x:c r="AA92" s="26" t="n">
        <x:f>IF(OR(B92="s3",B92="s6"),COUNTIFS($B$6:$B$151,B92,$M$6:$M$151,"&gt;"&amp;M92)+(COUNTIFS($B$6:$B$151,B92,$M$6:$M$151,M92)+1)/2,"NA")</x:f>
        <x:v>86</x:v>
      </x:c>
      <x:c r="AB92" s="26" t="n">
        <x:f>IF(OR(B92="s3",B92="s6"),COUNTIFS($B$6:$B$151,B92,$O$6:$O$151,"&gt;"&amp;O92)+(COUNTIFS($B$6:$B$151,B92,$O$6:$O$151,O92)+1)/2,"NA")</x:f>
        <x:v>96</x:v>
      </x:c>
      <x:c r="AC92" s="26" t="n">
        <x:f>IF(OR(B92="s3",B92="s6"),COUNTIFS($B$6:$B$151,B92,$Q$6:$Q$151,"&gt;"&amp;Q92)+(COUNTIFS($B$6:$B$151,B92,$Q$6:$Q$151,Q92)+1)/2,"NA")</x:f>
        <x:v>85</x:v>
      </x:c>
      <x:c r="AD92" s="25" t="n">
        <x:v>58.93178559280881</x:v>
      </x:c>
      <x:c r="AE92" s="25" t="n">
        <x:v>91</x:v>
      </x:c>
      <x:c r="AF92" s="25" t="n">
        <x:v>88</x:v>
      </x:c>
      <x:c r="AG92" s="25" t="n">
        <x:v>0</x:v>
      </x:c>
    </x:row>
    <x:row r="93" ht="23" customHeight="1">
      <x:c r="A93" s="21" t="str">
        <x:v>2025秋:258958</x:v>
      </x:c>
      <x:c r="B93" s="22" t="str">
        <x:v>s3</x:v>
      </x:c>
      <x:c r="C93" s="24" t="n">
        <x:v>1</x:v>
      </x:c>
      <x:c r="D93" s="24" t="n">
        <x:v>1</x:v>
      </x:c>
      <x:c r="E93" s="29" t="n">
        <x:f>'指标计算'!S54</x:f>
        <x:v>0.4942986547644854</x:v>
      </x:c>
      <x:c r="F93" s="29" t="n">
        <x:f>'指标计算'!T54</x:f>
        <x:v>0.43158385717382486</x:v>
      </x:c>
      <x:c r="G93" s="29" t="n">
        <x:f>'指标计算'!U54</x:f>
        <x:v>0.43158385717382486</x:v>
      </x:c>
      <x:c r="H93" s="29" t="n">
        <x:f>'指标计算'!V54</x:f>
        <x:v>1</x:v>
      </x:c>
      <x:c r="I93" s="30" t="n">
        <x:f>IF(COUNT('总览与权重'!$H$11:$K$11)=4,ROUND(100*SUMPRODUCT(E93:H93,'总览与权重'!$H$11:$K$11),12),"NA")</x:f>
        <x:v>62.092313929888</x:v>
      </x:c>
      <x:c r="J93" s="30" t="n">
        <x:f>IF(ISNUMBER(I93),COUNTIFS($I$6:$I$151,"&gt;"&amp;I93)+(COUNTIFS($I$6:$I$151,I93)+1)/2,"NA")</x:f>
        <x:v>91</x:v>
      </x:c>
      <x:c r="K93" s="30" t="n">
        <x:f>IF(COUNT('总览与权重'!$H$12:$K$12)=4,ROUND(100*SUMPRODUCT(E93:H93,'总览与权重'!$H$12:$K$12),12),"NA")</x:f>
        <x:v>55.781004525719</x:v>
      </x:c>
      <x:c r="L93" s="30" t="n">
        <x:f>IF(ISNUMBER(K93),COUNTIFS($K$6:$K$151,"&gt;"&amp;K93)+(COUNTIFS($K$6:$K$151,K93)+1)/2,"NA")</x:f>
        <x:v>106</x:v>
      </x:c>
      <x:c r="M93" s="30" t="n">
        <x:f>IF(COUNT('总览与权重'!$H$13:$K$13)=4,ROUND(100*SUMPRODUCT(E93:H93,'总览与权重'!$H$13:$K$13),12),"NA")</x:f>
        <x:v>64.620820656065</x:v>
      </x:c>
      <x:c r="N93" s="30" t="n">
        <x:f>IF(ISNUMBER(M93),COUNTIFS($M$6:$M$151,"&gt;"&amp;M93)+(COUNTIFS($M$6:$M$151,M93)+1)/2,"NA")</x:f>
        <x:v>88</x:v>
      </x:c>
      <x:c r="O93" s="30" t="n">
        <x:f>IF(COUNT('总览与权重'!$H$14:$K$14)=4,ROUND(100*SUMPRODUCT(E93:H93,'总览与权重'!$H$14:$K$14),12),"NA")</x:f>
        <x:v>60.22835909413</x:v>
      </x:c>
      <x:c r="P93" s="30" t="n">
        <x:f>IF(ISNUMBER(O93),COUNTIFS($O$6:$O$151,"&gt;"&amp;O93)+(COUNTIFS($O$6:$O$151,O93)+1)/2,"NA")</x:f>
        <x:v>99</x:v>
      </x:c>
      <x:c r="Q93" s="30" t="n">
        <x:f>IF(COUNT('总览与权重'!$H$15:$K$15)=4,ROUND(100*SUMPRODUCT(E93:H93,'总览与权重'!$H$15:$K$15),12),"NA")</x:f>
        <x:v>78.75315368154</x:v>
      </x:c>
      <x:c r="R93" s="30" t="n">
        <x:f>IF(ISNUMBER(Q93),COUNTIFS($Q$6:$Q$151,"&gt;"&amp;Q93)+(COUNTIFS($Q$6:$Q$151,Q93)+1)/2,"NA")</x:f>
        <x:v>86</x:v>
      </x:c>
      <x:c r="S93" s="31" t="n">
        <x:f>IF(OR(B93="s3",B93="s6"),COUNTIFS($B$6:$B$151,B93,$I$6:$I$151,"&gt;"&amp;I93)+(COUNTIFS($B$6:$B$151,B93,$I$6:$I$151,I93)+1)/2,"NA")</x:f>
        <x:v>88</x:v>
      </x:c>
      <x:c r="T93" s="26" t="str">
        <x:f>IF(COUNTIFS($I$6:$I$151,"&gt;"&amp;I93)&gt;=30,"非前20%",IF(COUNTIFS($I$6:$I$151,"&gt;="&amp;I93)&gt;=30,"边界同分","严格前20%"))</x:f>
        <x:v>非前20%</x:v>
      </x:c>
      <x:c r="U93" s="26" t="str">
        <x:f>IF(COUNTIFS($I$6:$I$151,"&lt;"&amp;I93)&gt;=30,"非后20%",IF(COUNTIFS($I$6:$I$151,"&lt;="&amp;I93)&gt;=30,"边界同分","严格后20%"))</x:f>
        <x:v>非后20%</x:v>
      </x:c>
      <x:c r="V93" s="22" t="n">
        <x:f>'指标计算'!P54</x:f>
        <x:v>-0.13683228565235026</x:v>
      </x:c>
      <x:c r="W93" s="22" t="n">
        <x:f>'指标计算'!Q54</x:f>
        <x:v>-0.13683228565235026</x:v>
      </x:c>
      <x:c r="X93" s="22" t="str">
        <x:v>["S0185"]</x:v>
      </x:c>
      <x:c r="Y93" s="22" t="str">
        <x:v>evidence/student_evidence.jsonl；student_key=2025秋:258958</x:v>
      </x:c>
      <x:c r="Z93" s="26" t="n">
        <x:f>IF(OR(B93="s3",B93="s6"),COUNTIFS($B$6:$B$151,B93,$K$6:$K$151,"&gt;"&amp;K93)+(COUNTIFS($B$6:$B$151,B93,$K$6:$K$151,K93)+1)/2,"NA")</x:f>
        <x:v>102</x:v>
      </x:c>
      <x:c r="AA93" s="26" t="n">
        <x:f>IF(OR(B93="s3",B93="s6"),COUNTIFS($B$6:$B$151,B93,$M$6:$M$151,"&gt;"&amp;M93)+(COUNTIFS($B$6:$B$151,B93,$M$6:$M$151,M93)+1)/2,"NA")</x:f>
        <x:v>86</x:v>
      </x:c>
      <x:c r="AB93" s="26" t="n">
        <x:f>IF(OR(B93="s3",B93="s6"),COUNTIFS($B$6:$B$151,B93,$O$6:$O$151,"&gt;"&amp;O93)+(COUNTIFS($B$6:$B$151,B93,$O$6:$O$151,O93)+1)/2,"NA")</x:f>
        <x:v>96</x:v>
      </x:c>
      <x:c r="AC93" s="26" t="n">
        <x:f>IF(OR(B93="s3",B93="s6"),COUNTIFS($B$6:$B$151,B93,$Q$6:$Q$151,"&gt;"&amp;Q93)+(COUNTIFS($B$6:$B$151,B93,$Q$6:$Q$151,Q93)+1)/2,"NA")</x:f>
        <x:v>85</x:v>
      </x:c>
      <x:c r="AD93" s="25" t="n">
        <x:v>58.93178559280881</x:v>
      </x:c>
      <x:c r="AE93" s="25" t="n">
        <x:v>91</x:v>
      </x:c>
      <x:c r="AF93" s="25" t="n">
        <x:v>88</x:v>
      </x:c>
      <x:c r="AG93" s="25" t="n">
        <x:v>0</x:v>
      </x:c>
    </x:row>
    <x:row r="94" ht="23" customHeight="1">
      <x:c r="A94" s="21" t="str">
        <x:v>2025秋:259004</x:v>
      </x:c>
      <x:c r="B94" s="22" t="str">
        <x:v>s3</x:v>
      </x:c>
      <x:c r="C94" s="24" t="n">
        <x:v>3</x:v>
      </x:c>
      <x:c r="D94" s="24" t="n">
        <x:v>1</x:v>
      </x:c>
      <x:c r="E94" s="29" t="n">
        <x:f>'指标计算'!S61</x:f>
        <x:v>0.4942986547644854</x:v>
      </x:c>
      <x:c r="F94" s="29" t="n">
        <x:f>'指标计算'!T61</x:f>
        <x:v>0.43158385717382486</x:v>
      </x:c>
      <x:c r="G94" s="29" t="n">
        <x:f>'指标计算'!U61</x:f>
        <x:v>0.43158385717382486</x:v>
      </x:c>
      <x:c r="H94" s="29" t="n">
        <x:f>'指标计算'!V61</x:f>
        <x:v>1</x:v>
      </x:c>
      <x:c r="I94" s="30" t="n">
        <x:f>IF(COUNT('总览与权重'!$H$11:$K$11)=4,ROUND(100*SUMPRODUCT(E94:H94,'总览与权重'!$H$11:$K$11),12),"NA")</x:f>
        <x:v>62.092313929888</x:v>
      </x:c>
      <x:c r="J94" s="30" t="n">
        <x:f>IF(ISNUMBER(I94),COUNTIFS($I$6:$I$151,"&gt;"&amp;I94)+(COUNTIFS($I$6:$I$151,I94)+1)/2,"NA")</x:f>
        <x:v>91</x:v>
      </x:c>
      <x:c r="K94" s="30" t="n">
        <x:f>IF(COUNT('总览与权重'!$H$12:$K$12)=4,ROUND(100*SUMPRODUCT(E94:H94,'总览与权重'!$H$12:$K$12),12),"NA")</x:f>
        <x:v>55.781004525719</x:v>
      </x:c>
      <x:c r="L94" s="30" t="n">
        <x:f>IF(ISNUMBER(K94),COUNTIFS($K$6:$K$151,"&gt;"&amp;K94)+(COUNTIFS($K$6:$K$151,K94)+1)/2,"NA")</x:f>
        <x:v>106</x:v>
      </x:c>
      <x:c r="M94" s="30" t="n">
        <x:f>IF(COUNT('总览与权重'!$H$13:$K$13)=4,ROUND(100*SUMPRODUCT(E94:H94,'总览与权重'!$H$13:$K$13),12),"NA")</x:f>
        <x:v>64.620820656065</x:v>
      </x:c>
      <x:c r="N94" s="30" t="n">
        <x:f>IF(ISNUMBER(M94),COUNTIFS($M$6:$M$151,"&gt;"&amp;M94)+(COUNTIFS($M$6:$M$151,M94)+1)/2,"NA")</x:f>
        <x:v>88</x:v>
      </x:c>
      <x:c r="O94" s="30" t="n">
        <x:f>IF(COUNT('总览与权重'!$H$14:$K$14)=4,ROUND(100*SUMPRODUCT(E94:H94,'总览与权重'!$H$14:$K$14),12),"NA")</x:f>
        <x:v>60.22835909413</x:v>
      </x:c>
      <x:c r="P94" s="30" t="n">
        <x:f>IF(ISNUMBER(O94),COUNTIFS($O$6:$O$151,"&gt;"&amp;O94)+(COUNTIFS($O$6:$O$151,O94)+1)/2,"NA")</x:f>
        <x:v>99</x:v>
      </x:c>
      <x:c r="Q94" s="30" t="n">
        <x:f>IF(COUNT('总览与权重'!$H$15:$K$15)=4,ROUND(100*SUMPRODUCT(E94:H94,'总览与权重'!$H$15:$K$15),12),"NA")</x:f>
        <x:v>78.75315368154</x:v>
      </x:c>
      <x:c r="R94" s="30" t="n">
        <x:f>IF(ISNUMBER(Q94),COUNTIFS($Q$6:$Q$151,"&gt;"&amp;Q94)+(COUNTIFS($Q$6:$Q$151,Q94)+1)/2,"NA")</x:f>
        <x:v>86</x:v>
      </x:c>
      <x:c r="S94" s="31" t="n">
        <x:f>IF(OR(B94="s3",B94="s6"),COUNTIFS($B$6:$B$151,B94,$I$6:$I$151,"&gt;"&amp;I94)+(COUNTIFS($B$6:$B$151,B94,$I$6:$I$151,I94)+1)/2,"NA")</x:f>
        <x:v>88</x:v>
      </x:c>
      <x:c r="T94" s="26" t="str">
        <x:f>IF(COUNTIFS($I$6:$I$151,"&gt;"&amp;I94)&gt;=30,"非前20%",IF(COUNTIFS($I$6:$I$151,"&gt;="&amp;I94)&gt;=30,"边界同分","严格前20%"))</x:f>
        <x:v>非前20%</x:v>
      </x:c>
      <x:c r="U94" s="26" t="str">
        <x:f>IF(COUNTIFS($I$6:$I$151,"&lt;"&amp;I94)&gt;=30,"非后20%",IF(COUNTIFS($I$6:$I$151,"&lt;="&amp;I94)&gt;=30,"边界同分","严格后20%"))</x:f>
        <x:v>非后20%</x:v>
      </x:c>
      <x:c r="V94" s="22" t="n">
        <x:f>'指标计算'!P61</x:f>
        <x:v>-0.13683228565235026</x:v>
      </x:c>
      <x:c r="W94" s="22" t="n">
        <x:f>'指标计算'!Q61</x:f>
        <x:v>-0.13683228565235026</x:v>
      </x:c>
      <x:c r="X94" s="22" t="str">
        <x:v>["S0172","S0224","S0391"]</x:v>
      </x:c>
      <x:c r="Y94" s="22" t="str">
        <x:v>evidence/student_evidence.jsonl；student_key=2025秋:259004</x:v>
      </x:c>
      <x:c r="Z94" s="26" t="n">
        <x:f>IF(OR(B94="s3",B94="s6"),COUNTIFS($B$6:$B$151,B94,$K$6:$K$151,"&gt;"&amp;K94)+(COUNTIFS($B$6:$B$151,B94,$K$6:$K$151,K94)+1)/2,"NA")</x:f>
        <x:v>102</x:v>
      </x:c>
      <x:c r="AA94" s="26" t="n">
        <x:f>IF(OR(B94="s3",B94="s6"),COUNTIFS($B$6:$B$151,B94,$M$6:$M$151,"&gt;"&amp;M94)+(COUNTIFS($B$6:$B$151,B94,$M$6:$M$151,M94)+1)/2,"NA")</x:f>
        <x:v>86</x:v>
      </x:c>
      <x:c r="AB94" s="26" t="n">
        <x:f>IF(OR(B94="s3",B94="s6"),COUNTIFS($B$6:$B$151,B94,$O$6:$O$151,"&gt;"&amp;O94)+(COUNTIFS($B$6:$B$151,B94,$O$6:$O$151,O94)+1)/2,"NA")</x:f>
        <x:v>96</x:v>
      </x:c>
      <x:c r="AC94" s="26" t="n">
        <x:f>IF(OR(B94="s3",B94="s6"),COUNTIFS($B$6:$B$151,B94,$Q$6:$Q$151,"&gt;"&amp;Q94)+(COUNTIFS($B$6:$B$151,B94,$Q$6:$Q$151,Q94)+1)/2,"NA")</x:f>
        <x:v>85</x:v>
      </x:c>
      <x:c r="AD94" s="25" t="n">
        <x:v>58.93178559280881</x:v>
      </x:c>
      <x:c r="AE94" s="25" t="n">
        <x:v>91</x:v>
      </x:c>
      <x:c r="AF94" s="25" t="n">
        <x:v>88</x:v>
      </x:c>
      <x:c r="AG94" s="25" t="n">
        <x:v>0</x:v>
      </x:c>
    </x:row>
    <x:row r="95" ht="23" customHeight="1">
      <x:c r="A95" s="21" t="str">
        <x:v>2025秋:259092</x:v>
      </x:c>
      <x:c r="B95" s="22" t="str">
        <x:v>s3</x:v>
      </x:c>
      <x:c r="C95" s="24" t="n">
        <x:v>1</x:v>
      </x:c>
      <x:c r="D95" s="24" t="n">
        <x:v>1</x:v>
      </x:c>
      <x:c r="E95" s="29" t="n">
        <x:f>'指标计算'!S73</x:f>
        <x:v>0.4942986547644854</x:v>
      </x:c>
      <x:c r="F95" s="29" t="n">
        <x:f>'指标计算'!T73</x:f>
        <x:v>0.43158385717382486</x:v>
      </x:c>
      <x:c r="G95" s="29" t="n">
        <x:f>'指标计算'!U73</x:f>
        <x:v>0.43158385717382486</x:v>
      </x:c>
      <x:c r="H95" s="29" t="n">
        <x:f>'指标计算'!V73</x:f>
        <x:v>1</x:v>
      </x:c>
      <x:c r="I95" s="30" t="n">
        <x:f>IF(COUNT('总览与权重'!$H$11:$K$11)=4,ROUND(100*SUMPRODUCT(E95:H95,'总览与权重'!$H$11:$K$11),12),"NA")</x:f>
        <x:v>62.092313929888</x:v>
      </x:c>
      <x:c r="J95" s="30" t="n">
        <x:f>IF(ISNUMBER(I95),COUNTIFS($I$6:$I$151,"&gt;"&amp;I95)+(COUNTIFS($I$6:$I$151,I95)+1)/2,"NA")</x:f>
        <x:v>91</x:v>
      </x:c>
      <x:c r="K95" s="30" t="n">
        <x:f>IF(COUNT('总览与权重'!$H$12:$K$12)=4,ROUND(100*SUMPRODUCT(E95:H95,'总览与权重'!$H$12:$K$12),12),"NA")</x:f>
        <x:v>55.781004525719</x:v>
      </x:c>
      <x:c r="L95" s="30" t="n">
        <x:f>IF(ISNUMBER(K95),COUNTIFS($K$6:$K$151,"&gt;"&amp;K95)+(COUNTIFS($K$6:$K$151,K95)+1)/2,"NA")</x:f>
        <x:v>106</x:v>
      </x:c>
      <x:c r="M95" s="30" t="n">
        <x:f>IF(COUNT('总览与权重'!$H$13:$K$13)=4,ROUND(100*SUMPRODUCT(E95:H95,'总览与权重'!$H$13:$K$13),12),"NA")</x:f>
        <x:v>64.620820656065</x:v>
      </x:c>
      <x:c r="N95" s="30" t="n">
        <x:f>IF(ISNUMBER(M95),COUNTIFS($M$6:$M$151,"&gt;"&amp;M95)+(COUNTIFS($M$6:$M$151,M95)+1)/2,"NA")</x:f>
        <x:v>88</x:v>
      </x:c>
      <x:c r="O95" s="30" t="n">
        <x:f>IF(COUNT('总览与权重'!$H$14:$K$14)=4,ROUND(100*SUMPRODUCT(E95:H95,'总览与权重'!$H$14:$K$14),12),"NA")</x:f>
        <x:v>60.22835909413</x:v>
      </x:c>
      <x:c r="P95" s="30" t="n">
        <x:f>IF(ISNUMBER(O95),COUNTIFS($O$6:$O$151,"&gt;"&amp;O95)+(COUNTIFS($O$6:$O$151,O95)+1)/2,"NA")</x:f>
        <x:v>99</x:v>
      </x:c>
      <x:c r="Q95" s="30" t="n">
        <x:f>IF(COUNT('总览与权重'!$H$15:$K$15)=4,ROUND(100*SUMPRODUCT(E95:H95,'总览与权重'!$H$15:$K$15),12),"NA")</x:f>
        <x:v>78.75315368154</x:v>
      </x:c>
      <x:c r="R95" s="30" t="n">
        <x:f>IF(ISNUMBER(Q95),COUNTIFS($Q$6:$Q$151,"&gt;"&amp;Q95)+(COUNTIFS($Q$6:$Q$151,Q95)+1)/2,"NA")</x:f>
        <x:v>86</x:v>
      </x:c>
      <x:c r="S95" s="31" t="n">
        <x:f>IF(OR(B95="s3",B95="s6"),COUNTIFS($B$6:$B$151,B95,$I$6:$I$151,"&gt;"&amp;I95)+(COUNTIFS($B$6:$B$151,B95,$I$6:$I$151,I95)+1)/2,"NA")</x:f>
        <x:v>88</x:v>
      </x:c>
      <x:c r="T95" s="26" t="str">
        <x:f>IF(COUNTIFS($I$6:$I$151,"&gt;"&amp;I95)&gt;=30,"非前20%",IF(COUNTIFS($I$6:$I$151,"&gt;="&amp;I95)&gt;=30,"边界同分","严格前20%"))</x:f>
        <x:v>非前20%</x:v>
      </x:c>
      <x:c r="U95" s="26" t="str">
        <x:f>IF(COUNTIFS($I$6:$I$151,"&lt;"&amp;I95)&gt;=30,"非后20%",IF(COUNTIFS($I$6:$I$151,"&lt;="&amp;I95)&gt;=30,"边界同分","严格后20%"))</x:f>
        <x:v>非后20%</x:v>
      </x:c>
      <x:c r="V95" s="22" t="n">
        <x:f>'指标计算'!P73</x:f>
        <x:v>-0.13683228565235026</x:v>
      </x:c>
      <x:c r="W95" s="22" t="n">
        <x:f>'指标计算'!Q73</x:f>
        <x:v>-0.13683228565235026</x:v>
      </x:c>
      <x:c r="X95" s="22" t="str">
        <x:v>["S0034"]</x:v>
      </x:c>
      <x:c r="Y95" s="22" t="str">
        <x:v>evidence/student_evidence.jsonl；student_key=2025秋:259092</x:v>
      </x:c>
      <x:c r="Z95" s="26" t="n">
        <x:f>IF(OR(B95="s3",B95="s6"),COUNTIFS($B$6:$B$151,B95,$K$6:$K$151,"&gt;"&amp;K95)+(COUNTIFS($B$6:$B$151,B95,$K$6:$K$151,K95)+1)/2,"NA")</x:f>
        <x:v>102</x:v>
      </x:c>
      <x:c r="AA95" s="26" t="n">
        <x:f>IF(OR(B95="s3",B95="s6"),COUNTIFS($B$6:$B$151,B95,$M$6:$M$151,"&gt;"&amp;M95)+(COUNTIFS($B$6:$B$151,B95,$M$6:$M$151,M95)+1)/2,"NA")</x:f>
        <x:v>86</x:v>
      </x:c>
      <x:c r="AB95" s="26" t="n">
        <x:f>IF(OR(B95="s3",B95="s6"),COUNTIFS($B$6:$B$151,B95,$O$6:$O$151,"&gt;"&amp;O95)+(COUNTIFS($B$6:$B$151,B95,$O$6:$O$151,O95)+1)/2,"NA")</x:f>
        <x:v>96</x:v>
      </x:c>
      <x:c r="AC95" s="26" t="n">
        <x:f>IF(OR(B95="s3",B95="s6"),COUNTIFS($B$6:$B$151,B95,$Q$6:$Q$151,"&gt;"&amp;Q95)+(COUNTIFS($B$6:$B$151,B95,$Q$6:$Q$151,Q95)+1)/2,"NA")</x:f>
        <x:v>85</x:v>
      </x:c>
      <x:c r="AD95" s="25" t="n">
        <x:v>58.93178559280881</x:v>
      </x:c>
      <x:c r="AE95" s="25" t="n">
        <x:v>91</x:v>
      </x:c>
      <x:c r="AF95" s="25" t="n">
        <x:v>88</x:v>
      </x:c>
      <x:c r="AG95" s="25" t="n">
        <x:v>0</x:v>
      </x:c>
    </x:row>
    <x:row r="96" ht="23" customHeight="1">
      <x:c r="A96" s="21" t="str">
        <x:v>2025秋:259101</x:v>
      </x:c>
      <x:c r="B96" s="22" t="str">
        <x:v>s3</x:v>
      </x:c>
      <x:c r="C96" s="24" t="n">
        <x:v>1</x:v>
      </x:c>
      <x:c r="D96" s="24" t="n">
        <x:v>1</x:v>
      </x:c>
      <x:c r="E96" s="29" t="n">
        <x:f>'指标计算'!S75</x:f>
        <x:v>0.4942986547644854</x:v>
      </x:c>
      <x:c r="F96" s="29" t="n">
        <x:f>'指标计算'!T75</x:f>
        <x:v>0.43158385717382486</x:v>
      </x:c>
      <x:c r="G96" s="29" t="n">
        <x:f>'指标计算'!U75</x:f>
        <x:v>0.43158385717382486</x:v>
      </x:c>
      <x:c r="H96" s="29" t="n">
        <x:f>'指标计算'!V75</x:f>
        <x:v>1</x:v>
      </x:c>
      <x:c r="I96" s="30" t="n">
        <x:f>IF(COUNT('总览与权重'!$H$11:$K$11)=4,ROUND(100*SUMPRODUCT(E96:H96,'总览与权重'!$H$11:$K$11),12),"NA")</x:f>
        <x:v>62.092313929888</x:v>
      </x:c>
      <x:c r="J96" s="30" t="n">
        <x:f>IF(ISNUMBER(I96),COUNTIFS($I$6:$I$151,"&gt;"&amp;I96)+(COUNTIFS($I$6:$I$151,I96)+1)/2,"NA")</x:f>
        <x:v>91</x:v>
      </x:c>
      <x:c r="K96" s="30" t="n">
        <x:f>IF(COUNT('总览与权重'!$H$12:$K$12)=4,ROUND(100*SUMPRODUCT(E96:H96,'总览与权重'!$H$12:$K$12),12),"NA")</x:f>
        <x:v>55.781004525719</x:v>
      </x:c>
      <x:c r="L96" s="30" t="n">
        <x:f>IF(ISNUMBER(K96),COUNTIFS($K$6:$K$151,"&gt;"&amp;K96)+(COUNTIFS($K$6:$K$151,K96)+1)/2,"NA")</x:f>
        <x:v>106</x:v>
      </x:c>
      <x:c r="M96" s="30" t="n">
        <x:f>IF(COUNT('总览与权重'!$H$13:$K$13)=4,ROUND(100*SUMPRODUCT(E96:H96,'总览与权重'!$H$13:$K$13),12),"NA")</x:f>
        <x:v>64.620820656065</x:v>
      </x:c>
      <x:c r="N96" s="30" t="n">
        <x:f>IF(ISNUMBER(M96),COUNTIFS($M$6:$M$151,"&gt;"&amp;M96)+(COUNTIFS($M$6:$M$151,M96)+1)/2,"NA")</x:f>
        <x:v>88</x:v>
      </x:c>
      <x:c r="O96" s="30" t="n">
        <x:f>IF(COUNT('总览与权重'!$H$14:$K$14)=4,ROUND(100*SUMPRODUCT(E96:H96,'总览与权重'!$H$14:$K$14),12),"NA")</x:f>
        <x:v>60.22835909413</x:v>
      </x:c>
      <x:c r="P96" s="30" t="n">
        <x:f>IF(ISNUMBER(O96),COUNTIFS($O$6:$O$151,"&gt;"&amp;O96)+(COUNTIFS($O$6:$O$151,O96)+1)/2,"NA")</x:f>
        <x:v>99</x:v>
      </x:c>
      <x:c r="Q96" s="30" t="n">
        <x:f>IF(COUNT('总览与权重'!$H$15:$K$15)=4,ROUND(100*SUMPRODUCT(E96:H96,'总览与权重'!$H$15:$K$15),12),"NA")</x:f>
        <x:v>78.75315368154</x:v>
      </x:c>
      <x:c r="R96" s="30" t="n">
        <x:f>IF(ISNUMBER(Q96),COUNTIFS($Q$6:$Q$151,"&gt;"&amp;Q96)+(COUNTIFS($Q$6:$Q$151,Q96)+1)/2,"NA")</x:f>
        <x:v>86</x:v>
      </x:c>
      <x:c r="S96" s="31" t="n">
        <x:f>IF(OR(B96="s3",B96="s6"),COUNTIFS($B$6:$B$151,B96,$I$6:$I$151,"&gt;"&amp;I96)+(COUNTIFS($B$6:$B$151,B96,$I$6:$I$151,I96)+1)/2,"NA")</x:f>
        <x:v>88</x:v>
      </x:c>
      <x:c r="T96" s="26" t="str">
        <x:f>IF(COUNTIFS($I$6:$I$151,"&gt;"&amp;I96)&gt;=30,"非前20%",IF(COUNTIFS($I$6:$I$151,"&gt;="&amp;I96)&gt;=30,"边界同分","严格前20%"))</x:f>
        <x:v>非前20%</x:v>
      </x:c>
      <x:c r="U96" s="26" t="str">
        <x:f>IF(COUNTIFS($I$6:$I$151,"&lt;"&amp;I96)&gt;=30,"非后20%",IF(COUNTIFS($I$6:$I$151,"&lt;="&amp;I96)&gt;=30,"边界同分","严格后20%"))</x:f>
        <x:v>非后20%</x:v>
      </x:c>
      <x:c r="V96" s="22" t="n">
        <x:f>'指标计算'!P75</x:f>
        <x:v>-0.13683228565235026</x:v>
      </x:c>
      <x:c r="W96" s="22" t="n">
        <x:f>'指标计算'!Q75</x:f>
        <x:v>-0.13683228565235026</x:v>
      </x:c>
      <x:c r="X96" s="22" t="str">
        <x:v>["S0291"]</x:v>
      </x:c>
      <x:c r="Y96" s="22" t="str">
        <x:v>evidence/student_evidence.jsonl；student_key=2025秋:259101</x:v>
      </x:c>
      <x:c r="Z96" s="26" t="n">
        <x:f>IF(OR(B96="s3",B96="s6"),COUNTIFS($B$6:$B$151,B96,$K$6:$K$151,"&gt;"&amp;K96)+(COUNTIFS($B$6:$B$151,B96,$K$6:$K$151,K96)+1)/2,"NA")</x:f>
        <x:v>102</x:v>
      </x:c>
      <x:c r="AA96" s="26" t="n">
        <x:f>IF(OR(B96="s3",B96="s6"),COUNTIFS($B$6:$B$151,B96,$M$6:$M$151,"&gt;"&amp;M96)+(COUNTIFS($B$6:$B$151,B96,$M$6:$M$151,M96)+1)/2,"NA")</x:f>
        <x:v>86</x:v>
      </x:c>
      <x:c r="AB96" s="26" t="n">
        <x:f>IF(OR(B96="s3",B96="s6"),COUNTIFS($B$6:$B$151,B96,$O$6:$O$151,"&gt;"&amp;O96)+(COUNTIFS($B$6:$B$151,B96,$O$6:$O$151,O96)+1)/2,"NA")</x:f>
        <x:v>96</x:v>
      </x:c>
      <x:c r="AC96" s="26" t="n">
        <x:f>IF(OR(B96="s3",B96="s6"),COUNTIFS($B$6:$B$151,B96,$Q$6:$Q$151,"&gt;"&amp;Q96)+(COUNTIFS($B$6:$B$151,B96,$Q$6:$Q$151,Q96)+1)/2,"NA")</x:f>
        <x:v>85</x:v>
      </x:c>
      <x:c r="AD96" s="25" t="n">
        <x:v>58.93178559280881</x:v>
      </x:c>
      <x:c r="AE96" s="25" t="n">
        <x:v>91</x:v>
      </x:c>
      <x:c r="AF96" s="25" t="n">
        <x:v>88</x:v>
      </x:c>
      <x:c r="AG96" s="25" t="n">
        <x:v>0</x:v>
      </x:c>
    </x:row>
    <x:row r="97" ht="23" customHeight="1">
      <x:c r="A97" s="21" t="str">
        <x:v>2025秋:259430</x:v>
      </x:c>
      <x:c r="B97" s="22" t="str">
        <x:v>s3</x:v>
      </x:c>
      <x:c r="C97" s="24" t="n">
        <x:v>1</x:v>
      </x:c>
      <x:c r="D97" s="24" t="n">
        <x:v>1</x:v>
      </x:c>
      <x:c r="E97" s="29" t="n">
        <x:f>'指标计算'!S104</x:f>
        <x:v>0.4942986547644854</x:v>
      </x:c>
      <x:c r="F97" s="29" t="n">
        <x:f>'指标计算'!T104</x:f>
        <x:v>0.43158385717382486</x:v>
      </x:c>
      <x:c r="G97" s="29" t="n">
        <x:f>'指标计算'!U104</x:f>
        <x:v>0.43158385717382486</x:v>
      </x:c>
      <x:c r="H97" s="29" t="n">
        <x:f>'指标计算'!V104</x:f>
        <x:v>1</x:v>
      </x:c>
      <x:c r="I97" s="30" t="n">
        <x:f>IF(COUNT('总览与权重'!$H$11:$K$11)=4,ROUND(100*SUMPRODUCT(E97:H97,'总览与权重'!$H$11:$K$11),12),"NA")</x:f>
        <x:v>62.092313929888</x:v>
      </x:c>
      <x:c r="J97" s="30" t="n">
        <x:f>IF(ISNUMBER(I97),COUNTIFS($I$6:$I$151,"&gt;"&amp;I97)+(COUNTIFS($I$6:$I$151,I97)+1)/2,"NA")</x:f>
        <x:v>91</x:v>
      </x:c>
      <x:c r="K97" s="30" t="n">
        <x:f>IF(COUNT('总览与权重'!$H$12:$K$12)=4,ROUND(100*SUMPRODUCT(E97:H97,'总览与权重'!$H$12:$K$12),12),"NA")</x:f>
        <x:v>55.781004525719</x:v>
      </x:c>
      <x:c r="L97" s="30" t="n">
        <x:f>IF(ISNUMBER(K97),COUNTIFS($K$6:$K$151,"&gt;"&amp;K97)+(COUNTIFS($K$6:$K$151,K97)+1)/2,"NA")</x:f>
        <x:v>106</x:v>
      </x:c>
      <x:c r="M97" s="30" t="n">
        <x:f>IF(COUNT('总览与权重'!$H$13:$K$13)=4,ROUND(100*SUMPRODUCT(E97:H97,'总览与权重'!$H$13:$K$13),12),"NA")</x:f>
        <x:v>64.620820656065</x:v>
      </x:c>
      <x:c r="N97" s="30" t="n">
        <x:f>IF(ISNUMBER(M97),COUNTIFS($M$6:$M$151,"&gt;"&amp;M97)+(COUNTIFS($M$6:$M$151,M97)+1)/2,"NA")</x:f>
        <x:v>88</x:v>
      </x:c>
      <x:c r="O97" s="30" t="n">
        <x:f>IF(COUNT('总览与权重'!$H$14:$K$14)=4,ROUND(100*SUMPRODUCT(E97:H97,'总览与权重'!$H$14:$K$14),12),"NA")</x:f>
        <x:v>60.22835909413</x:v>
      </x:c>
      <x:c r="P97" s="30" t="n">
        <x:f>IF(ISNUMBER(O97),COUNTIFS($O$6:$O$151,"&gt;"&amp;O97)+(COUNTIFS($O$6:$O$151,O97)+1)/2,"NA")</x:f>
        <x:v>99</x:v>
      </x:c>
      <x:c r="Q97" s="30" t="n">
        <x:f>IF(COUNT('总览与权重'!$H$15:$K$15)=4,ROUND(100*SUMPRODUCT(E97:H97,'总览与权重'!$H$15:$K$15),12),"NA")</x:f>
        <x:v>78.75315368154</x:v>
      </x:c>
      <x:c r="R97" s="30" t="n">
        <x:f>IF(ISNUMBER(Q97),COUNTIFS($Q$6:$Q$151,"&gt;"&amp;Q97)+(COUNTIFS($Q$6:$Q$151,Q97)+1)/2,"NA")</x:f>
        <x:v>86</x:v>
      </x:c>
      <x:c r="S97" s="31" t="n">
        <x:f>IF(OR(B97="s3",B97="s6"),COUNTIFS($B$6:$B$151,B97,$I$6:$I$151,"&gt;"&amp;I97)+(COUNTIFS($B$6:$B$151,B97,$I$6:$I$151,I97)+1)/2,"NA")</x:f>
        <x:v>88</x:v>
      </x:c>
      <x:c r="T97" s="26" t="str">
        <x:f>IF(COUNTIFS($I$6:$I$151,"&gt;"&amp;I97)&gt;=30,"非前20%",IF(COUNTIFS($I$6:$I$151,"&gt;="&amp;I97)&gt;=30,"边界同分","严格前20%"))</x:f>
        <x:v>非前20%</x:v>
      </x:c>
      <x:c r="U97" s="26" t="str">
        <x:f>IF(COUNTIFS($I$6:$I$151,"&lt;"&amp;I97)&gt;=30,"非后20%",IF(COUNTIFS($I$6:$I$151,"&lt;="&amp;I97)&gt;=30,"边界同分","严格后20%"))</x:f>
        <x:v>非后20%</x:v>
      </x:c>
      <x:c r="V97" s="22" t="n">
        <x:f>'指标计算'!P104</x:f>
        <x:v>-0.13683228565235026</x:v>
      </x:c>
      <x:c r="W97" s="22" t="n">
        <x:f>'指标计算'!Q104</x:f>
        <x:v>-0.13683228565235026</x:v>
      </x:c>
      <x:c r="X97" s="22" t="str">
        <x:v>["S0181"]</x:v>
      </x:c>
      <x:c r="Y97" s="22" t="str">
        <x:v>evidence/student_evidence.jsonl；student_key=2025秋:259430</x:v>
      </x:c>
      <x:c r="Z97" s="26" t="n">
        <x:f>IF(OR(B97="s3",B97="s6"),COUNTIFS($B$6:$B$151,B97,$K$6:$K$151,"&gt;"&amp;K97)+(COUNTIFS($B$6:$B$151,B97,$K$6:$K$151,K97)+1)/2,"NA")</x:f>
        <x:v>102</x:v>
      </x:c>
      <x:c r="AA97" s="26" t="n">
        <x:f>IF(OR(B97="s3",B97="s6"),COUNTIFS($B$6:$B$151,B97,$M$6:$M$151,"&gt;"&amp;M97)+(COUNTIFS($B$6:$B$151,B97,$M$6:$M$151,M97)+1)/2,"NA")</x:f>
        <x:v>86</x:v>
      </x:c>
      <x:c r="AB97" s="26" t="n">
        <x:f>IF(OR(B97="s3",B97="s6"),COUNTIFS($B$6:$B$151,B97,$O$6:$O$151,"&gt;"&amp;O97)+(COUNTIFS($B$6:$B$151,B97,$O$6:$O$151,O97)+1)/2,"NA")</x:f>
        <x:v>96</x:v>
      </x:c>
      <x:c r="AC97" s="26" t="n">
        <x:f>IF(OR(B97="s3",B97="s6"),COUNTIFS($B$6:$B$151,B97,$Q$6:$Q$151,"&gt;"&amp;Q97)+(COUNTIFS($B$6:$B$151,B97,$Q$6:$Q$151,Q97)+1)/2,"NA")</x:f>
        <x:v>85</x:v>
      </x:c>
      <x:c r="AD97" s="25" t="n">
        <x:v>58.93178559280881</x:v>
      </x:c>
      <x:c r="AE97" s="25" t="n">
        <x:v>91</x:v>
      </x:c>
      <x:c r="AF97" s="25" t="n">
        <x:v>88</x:v>
      </x:c>
      <x:c r="AG97" s="25" t="n">
        <x:v>0</x:v>
      </x:c>
    </x:row>
    <x:row r="98" ht="23" customHeight="1">
      <x:c r="A98" s="21" t="str">
        <x:v>2025秋:259431</x:v>
      </x:c>
      <x:c r="B98" s="22" t="str">
        <x:v>s3</x:v>
      </x:c>
      <x:c r="C98" s="24" t="n">
        <x:v>1</x:v>
      </x:c>
      <x:c r="D98" s="24" t="n">
        <x:v>1</x:v>
      </x:c>
      <x:c r="E98" s="29" t="n">
        <x:f>'指标计算'!S105</x:f>
        <x:v>0.4942986547644854</x:v>
      </x:c>
      <x:c r="F98" s="29" t="n">
        <x:f>'指标计算'!T105</x:f>
        <x:v>0.43158385717382486</x:v>
      </x:c>
      <x:c r="G98" s="29" t="n">
        <x:f>'指标计算'!U105</x:f>
        <x:v>0.43158385717382486</x:v>
      </x:c>
      <x:c r="H98" s="29" t="n">
        <x:f>'指标计算'!V105</x:f>
        <x:v>1</x:v>
      </x:c>
      <x:c r="I98" s="30" t="n">
        <x:f>IF(COUNT('总览与权重'!$H$11:$K$11)=4,ROUND(100*SUMPRODUCT(E98:H98,'总览与权重'!$H$11:$K$11),12),"NA")</x:f>
        <x:v>62.092313929888</x:v>
      </x:c>
      <x:c r="J98" s="30" t="n">
        <x:f>IF(ISNUMBER(I98),COUNTIFS($I$6:$I$151,"&gt;"&amp;I98)+(COUNTIFS($I$6:$I$151,I98)+1)/2,"NA")</x:f>
        <x:v>91</x:v>
      </x:c>
      <x:c r="K98" s="30" t="n">
        <x:f>IF(COUNT('总览与权重'!$H$12:$K$12)=4,ROUND(100*SUMPRODUCT(E98:H98,'总览与权重'!$H$12:$K$12),12),"NA")</x:f>
        <x:v>55.781004525719</x:v>
      </x:c>
      <x:c r="L98" s="30" t="n">
        <x:f>IF(ISNUMBER(K98),COUNTIFS($K$6:$K$151,"&gt;"&amp;K98)+(COUNTIFS($K$6:$K$151,K98)+1)/2,"NA")</x:f>
        <x:v>106</x:v>
      </x:c>
      <x:c r="M98" s="30" t="n">
        <x:f>IF(COUNT('总览与权重'!$H$13:$K$13)=4,ROUND(100*SUMPRODUCT(E98:H98,'总览与权重'!$H$13:$K$13),12),"NA")</x:f>
        <x:v>64.620820656065</x:v>
      </x:c>
      <x:c r="N98" s="30" t="n">
        <x:f>IF(ISNUMBER(M98),COUNTIFS($M$6:$M$151,"&gt;"&amp;M98)+(COUNTIFS($M$6:$M$151,M98)+1)/2,"NA")</x:f>
        <x:v>88</x:v>
      </x:c>
      <x:c r="O98" s="30" t="n">
        <x:f>IF(COUNT('总览与权重'!$H$14:$K$14)=4,ROUND(100*SUMPRODUCT(E98:H98,'总览与权重'!$H$14:$K$14),12),"NA")</x:f>
        <x:v>60.22835909413</x:v>
      </x:c>
      <x:c r="P98" s="30" t="n">
        <x:f>IF(ISNUMBER(O98),COUNTIFS($O$6:$O$151,"&gt;"&amp;O98)+(COUNTIFS($O$6:$O$151,O98)+1)/2,"NA")</x:f>
        <x:v>99</x:v>
      </x:c>
      <x:c r="Q98" s="30" t="n">
        <x:f>IF(COUNT('总览与权重'!$H$15:$K$15)=4,ROUND(100*SUMPRODUCT(E98:H98,'总览与权重'!$H$15:$K$15),12),"NA")</x:f>
        <x:v>78.75315368154</x:v>
      </x:c>
      <x:c r="R98" s="30" t="n">
        <x:f>IF(ISNUMBER(Q98),COUNTIFS($Q$6:$Q$151,"&gt;"&amp;Q98)+(COUNTIFS($Q$6:$Q$151,Q98)+1)/2,"NA")</x:f>
        <x:v>86</x:v>
      </x:c>
      <x:c r="S98" s="31" t="n">
        <x:f>IF(OR(B98="s3",B98="s6"),COUNTIFS($B$6:$B$151,B98,$I$6:$I$151,"&gt;"&amp;I98)+(COUNTIFS($B$6:$B$151,B98,$I$6:$I$151,I98)+1)/2,"NA")</x:f>
        <x:v>88</x:v>
      </x:c>
      <x:c r="T98" s="26" t="str">
        <x:f>IF(COUNTIFS($I$6:$I$151,"&gt;"&amp;I98)&gt;=30,"非前20%",IF(COUNTIFS($I$6:$I$151,"&gt;="&amp;I98)&gt;=30,"边界同分","严格前20%"))</x:f>
        <x:v>非前20%</x:v>
      </x:c>
      <x:c r="U98" s="26" t="str">
        <x:f>IF(COUNTIFS($I$6:$I$151,"&lt;"&amp;I98)&gt;=30,"非后20%",IF(COUNTIFS($I$6:$I$151,"&lt;="&amp;I98)&gt;=30,"边界同分","严格后20%"))</x:f>
        <x:v>非后20%</x:v>
      </x:c>
      <x:c r="V98" s="22" t="n">
        <x:f>'指标计算'!P105</x:f>
        <x:v>-0.13683228565235026</x:v>
      </x:c>
      <x:c r="W98" s="22" t="n">
        <x:f>'指标计算'!Q105</x:f>
        <x:v>-0.13683228565235026</x:v>
      </x:c>
      <x:c r="X98" s="22" t="str">
        <x:v>["S0500"]</x:v>
      </x:c>
      <x:c r="Y98" s="22" t="str">
        <x:v>evidence/student_evidence.jsonl；student_key=2025秋:259431</x:v>
      </x:c>
      <x:c r="Z98" s="26" t="n">
        <x:f>IF(OR(B98="s3",B98="s6"),COUNTIFS($B$6:$B$151,B98,$K$6:$K$151,"&gt;"&amp;K98)+(COUNTIFS($B$6:$B$151,B98,$K$6:$K$151,K98)+1)/2,"NA")</x:f>
        <x:v>102</x:v>
      </x:c>
      <x:c r="AA98" s="26" t="n">
        <x:f>IF(OR(B98="s3",B98="s6"),COUNTIFS($B$6:$B$151,B98,$M$6:$M$151,"&gt;"&amp;M98)+(COUNTIFS($B$6:$B$151,B98,$M$6:$M$151,M98)+1)/2,"NA")</x:f>
        <x:v>86</x:v>
      </x:c>
      <x:c r="AB98" s="26" t="n">
        <x:f>IF(OR(B98="s3",B98="s6"),COUNTIFS($B$6:$B$151,B98,$O$6:$O$151,"&gt;"&amp;O98)+(COUNTIFS($B$6:$B$151,B98,$O$6:$O$151,O98)+1)/2,"NA")</x:f>
        <x:v>96</x:v>
      </x:c>
      <x:c r="AC98" s="26" t="n">
        <x:f>IF(OR(B98="s3",B98="s6"),COUNTIFS($B$6:$B$151,B98,$Q$6:$Q$151,"&gt;"&amp;Q98)+(COUNTIFS($B$6:$B$151,B98,$Q$6:$Q$151,Q98)+1)/2,"NA")</x:f>
        <x:v>85</x:v>
      </x:c>
      <x:c r="AD98" s="25" t="n">
        <x:v>58.93178559280881</x:v>
      </x:c>
      <x:c r="AE98" s="25" t="n">
        <x:v>91</x:v>
      </x:c>
      <x:c r="AF98" s="25" t="n">
        <x:v>88</x:v>
      </x:c>
      <x:c r="AG98" s="25" t="n">
        <x:v>0</x:v>
      </x:c>
    </x:row>
    <x:row r="99" ht="23" customHeight="1">
      <x:c r="A99" s="21" t="str">
        <x:v>2025秋:259778</x:v>
      </x:c>
      <x:c r="B99" s="22" t="str">
        <x:v>s3</x:v>
      </x:c>
      <x:c r="C99" s="24" t="n">
        <x:v>2</x:v>
      </x:c>
      <x:c r="D99" s="24" t="n">
        <x:v>1</x:v>
      </x:c>
      <x:c r="E99" s="29" t="n">
        <x:f>'指标计算'!S110</x:f>
        <x:v>0.4942986547644854</x:v>
      </x:c>
      <x:c r="F99" s="29" t="n">
        <x:f>'指标计算'!T110</x:f>
        <x:v>0.43158385717382486</x:v>
      </x:c>
      <x:c r="G99" s="29" t="n">
        <x:f>'指标计算'!U110</x:f>
        <x:v>0.43158385717382486</x:v>
      </x:c>
      <x:c r="H99" s="29" t="n">
        <x:f>'指标计算'!V110</x:f>
        <x:v>1</x:v>
      </x:c>
      <x:c r="I99" s="30" t="n">
        <x:f>IF(COUNT('总览与权重'!$H$11:$K$11)=4,ROUND(100*SUMPRODUCT(E99:H99,'总览与权重'!$H$11:$K$11),12),"NA")</x:f>
        <x:v>62.092313929888</x:v>
      </x:c>
      <x:c r="J99" s="30" t="n">
        <x:f>IF(ISNUMBER(I99),COUNTIFS($I$6:$I$151,"&gt;"&amp;I99)+(COUNTIFS($I$6:$I$151,I99)+1)/2,"NA")</x:f>
        <x:v>91</x:v>
      </x:c>
      <x:c r="K99" s="30" t="n">
        <x:f>IF(COUNT('总览与权重'!$H$12:$K$12)=4,ROUND(100*SUMPRODUCT(E99:H99,'总览与权重'!$H$12:$K$12),12),"NA")</x:f>
        <x:v>55.781004525719</x:v>
      </x:c>
      <x:c r="L99" s="30" t="n">
        <x:f>IF(ISNUMBER(K99),COUNTIFS($K$6:$K$151,"&gt;"&amp;K99)+(COUNTIFS($K$6:$K$151,K99)+1)/2,"NA")</x:f>
        <x:v>106</x:v>
      </x:c>
      <x:c r="M99" s="30" t="n">
        <x:f>IF(COUNT('总览与权重'!$H$13:$K$13)=4,ROUND(100*SUMPRODUCT(E99:H99,'总览与权重'!$H$13:$K$13),12),"NA")</x:f>
        <x:v>64.620820656065</x:v>
      </x:c>
      <x:c r="N99" s="30" t="n">
        <x:f>IF(ISNUMBER(M99),COUNTIFS($M$6:$M$151,"&gt;"&amp;M99)+(COUNTIFS($M$6:$M$151,M99)+1)/2,"NA")</x:f>
        <x:v>88</x:v>
      </x:c>
      <x:c r="O99" s="30" t="n">
        <x:f>IF(COUNT('总览与权重'!$H$14:$K$14)=4,ROUND(100*SUMPRODUCT(E99:H99,'总览与权重'!$H$14:$K$14),12),"NA")</x:f>
        <x:v>60.22835909413</x:v>
      </x:c>
      <x:c r="P99" s="30" t="n">
        <x:f>IF(ISNUMBER(O99),COUNTIFS($O$6:$O$151,"&gt;"&amp;O99)+(COUNTIFS($O$6:$O$151,O99)+1)/2,"NA")</x:f>
        <x:v>99</x:v>
      </x:c>
      <x:c r="Q99" s="30" t="n">
        <x:f>IF(COUNT('总览与权重'!$H$15:$K$15)=4,ROUND(100*SUMPRODUCT(E99:H99,'总览与权重'!$H$15:$K$15),12),"NA")</x:f>
        <x:v>78.75315368154</x:v>
      </x:c>
      <x:c r="R99" s="30" t="n">
        <x:f>IF(ISNUMBER(Q99),COUNTIFS($Q$6:$Q$151,"&gt;"&amp;Q99)+(COUNTIFS($Q$6:$Q$151,Q99)+1)/2,"NA")</x:f>
        <x:v>86</x:v>
      </x:c>
      <x:c r="S99" s="31" t="n">
        <x:f>IF(OR(B99="s3",B99="s6"),COUNTIFS($B$6:$B$151,B99,$I$6:$I$151,"&gt;"&amp;I99)+(COUNTIFS($B$6:$B$151,B99,$I$6:$I$151,I99)+1)/2,"NA")</x:f>
        <x:v>88</x:v>
      </x:c>
      <x:c r="T99" s="26" t="str">
        <x:f>IF(COUNTIFS($I$6:$I$151,"&gt;"&amp;I99)&gt;=30,"非前20%",IF(COUNTIFS($I$6:$I$151,"&gt;="&amp;I99)&gt;=30,"边界同分","严格前20%"))</x:f>
        <x:v>非前20%</x:v>
      </x:c>
      <x:c r="U99" s="26" t="str">
        <x:f>IF(COUNTIFS($I$6:$I$151,"&lt;"&amp;I99)&gt;=30,"非后20%",IF(COUNTIFS($I$6:$I$151,"&lt;="&amp;I99)&gt;=30,"边界同分","严格后20%"))</x:f>
        <x:v>非后20%</x:v>
      </x:c>
      <x:c r="V99" s="22" t="n">
        <x:f>'指标计算'!P110</x:f>
        <x:v>-0.13683228565235026</x:v>
      </x:c>
      <x:c r="W99" s="22" t="n">
        <x:f>'指标计算'!Q110</x:f>
        <x:v>-0.13683228565235026</x:v>
      </x:c>
      <x:c r="X99" s="22" t="str">
        <x:v>["S0102","S0432"]</x:v>
      </x:c>
      <x:c r="Y99" s="22" t="str">
        <x:v>evidence/student_evidence.jsonl；student_key=2025秋:259778</x:v>
      </x:c>
      <x:c r="Z99" s="26" t="n">
        <x:f>IF(OR(B99="s3",B99="s6"),COUNTIFS($B$6:$B$151,B99,$K$6:$K$151,"&gt;"&amp;K99)+(COUNTIFS($B$6:$B$151,B99,$K$6:$K$151,K99)+1)/2,"NA")</x:f>
        <x:v>102</x:v>
      </x:c>
      <x:c r="AA99" s="26" t="n">
        <x:f>IF(OR(B99="s3",B99="s6"),COUNTIFS($B$6:$B$151,B99,$M$6:$M$151,"&gt;"&amp;M99)+(COUNTIFS($B$6:$B$151,B99,$M$6:$M$151,M99)+1)/2,"NA")</x:f>
        <x:v>86</x:v>
      </x:c>
      <x:c r="AB99" s="26" t="n">
        <x:f>IF(OR(B99="s3",B99="s6"),COUNTIFS($B$6:$B$151,B99,$O$6:$O$151,"&gt;"&amp;O99)+(COUNTIFS($B$6:$B$151,B99,$O$6:$O$151,O99)+1)/2,"NA")</x:f>
        <x:v>96</x:v>
      </x:c>
      <x:c r="AC99" s="26" t="n">
        <x:f>IF(OR(B99="s3",B99="s6"),COUNTIFS($B$6:$B$151,B99,$Q$6:$Q$151,"&gt;"&amp;Q99)+(COUNTIFS($B$6:$B$151,B99,$Q$6:$Q$151,Q99)+1)/2,"NA")</x:f>
        <x:v>85</x:v>
      </x:c>
      <x:c r="AD99" s="25" t="n">
        <x:v>58.93178559280881</x:v>
      </x:c>
      <x:c r="AE99" s="25" t="n">
        <x:v>91</x:v>
      </x:c>
      <x:c r="AF99" s="25" t="n">
        <x:v>88</x:v>
      </x:c>
      <x:c r="AG99" s="25" t="n">
        <x:v>0</x:v>
      </x:c>
    </x:row>
    <x:row r="100" ht="23" customHeight="1">
      <x:c r="A100" s="21" t="str">
        <x:v>2025秋:259885</x:v>
      </x:c>
      <x:c r="B100" s="22" t="str">
        <x:v>s3</x:v>
      </x:c>
      <x:c r="C100" s="24" t="n">
        <x:v>1</x:v>
      </x:c>
      <x:c r="D100" s="24" t="n">
        <x:v>1</x:v>
      </x:c>
      <x:c r="E100" s="29" t="n">
        <x:f>'指标计算'!S121</x:f>
        <x:v>0.4942986547644854</x:v>
      </x:c>
      <x:c r="F100" s="29" t="n">
        <x:f>'指标计算'!T121</x:f>
        <x:v>0.43158385717382486</x:v>
      </x:c>
      <x:c r="G100" s="29" t="n">
        <x:f>'指标计算'!U121</x:f>
        <x:v>0.43158385717382486</x:v>
      </x:c>
      <x:c r="H100" s="29" t="n">
        <x:f>'指标计算'!V121</x:f>
        <x:v>1</x:v>
      </x:c>
      <x:c r="I100" s="30" t="n">
        <x:f>IF(COUNT('总览与权重'!$H$11:$K$11)=4,ROUND(100*SUMPRODUCT(E100:H100,'总览与权重'!$H$11:$K$11),12),"NA")</x:f>
        <x:v>62.092313929888</x:v>
      </x:c>
      <x:c r="J100" s="30" t="n">
        <x:f>IF(ISNUMBER(I100),COUNTIFS($I$6:$I$151,"&gt;"&amp;I100)+(COUNTIFS($I$6:$I$151,I100)+1)/2,"NA")</x:f>
        <x:v>91</x:v>
      </x:c>
      <x:c r="K100" s="30" t="n">
        <x:f>IF(COUNT('总览与权重'!$H$12:$K$12)=4,ROUND(100*SUMPRODUCT(E100:H100,'总览与权重'!$H$12:$K$12),12),"NA")</x:f>
        <x:v>55.781004525719</x:v>
      </x:c>
      <x:c r="L100" s="30" t="n">
        <x:f>IF(ISNUMBER(K100),COUNTIFS($K$6:$K$151,"&gt;"&amp;K100)+(COUNTIFS($K$6:$K$151,K100)+1)/2,"NA")</x:f>
        <x:v>106</x:v>
      </x:c>
      <x:c r="M100" s="30" t="n">
        <x:f>IF(COUNT('总览与权重'!$H$13:$K$13)=4,ROUND(100*SUMPRODUCT(E100:H100,'总览与权重'!$H$13:$K$13),12),"NA")</x:f>
        <x:v>64.620820656065</x:v>
      </x:c>
      <x:c r="N100" s="30" t="n">
        <x:f>IF(ISNUMBER(M100),COUNTIFS($M$6:$M$151,"&gt;"&amp;M100)+(COUNTIFS($M$6:$M$151,M100)+1)/2,"NA")</x:f>
        <x:v>88</x:v>
      </x:c>
      <x:c r="O100" s="30" t="n">
        <x:f>IF(COUNT('总览与权重'!$H$14:$K$14)=4,ROUND(100*SUMPRODUCT(E100:H100,'总览与权重'!$H$14:$K$14),12),"NA")</x:f>
        <x:v>60.22835909413</x:v>
      </x:c>
      <x:c r="P100" s="30" t="n">
        <x:f>IF(ISNUMBER(O100),COUNTIFS($O$6:$O$151,"&gt;"&amp;O100)+(COUNTIFS($O$6:$O$151,O100)+1)/2,"NA")</x:f>
        <x:v>99</x:v>
      </x:c>
      <x:c r="Q100" s="30" t="n">
        <x:f>IF(COUNT('总览与权重'!$H$15:$K$15)=4,ROUND(100*SUMPRODUCT(E100:H100,'总览与权重'!$H$15:$K$15),12),"NA")</x:f>
        <x:v>78.75315368154</x:v>
      </x:c>
      <x:c r="R100" s="30" t="n">
        <x:f>IF(ISNUMBER(Q100),COUNTIFS($Q$6:$Q$151,"&gt;"&amp;Q100)+(COUNTIFS($Q$6:$Q$151,Q100)+1)/2,"NA")</x:f>
        <x:v>86</x:v>
      </x:c>
      <x:c r="S100" s="31" t="n">
        <x:f>IF(OR(B100="s3",B100="s6"),COUNTIFS($B$6:$B$151,B100,$I$6:$I$151,"&gt;"&amp;I100)+(COUNTIFS($B$6:$B$151,B100,$I$6:$I$151,I100)+1)/2,"NA")</x:f>
        <x:v>88</x:v>
      </x:c>
      <x:c r="T100" s="26" t="str">
        <x:f>IF(COUNTIFS($I$6:$I$151,"&gt;"&amp;I100)&gt;=30,"非前20%",IF(COUNTIFS($I$6:$I$151,"&gt;="&amp;I100)&gt;=30,"边界同分","严格前20%"))</x:f>
        <x:v>非前20%</x:v>
      </x:c>
      <x:c r="U100" s="26" t="str">
        <x:f>IF(COUNTIFS($I$6:$I$151,"&lt;"&amp;I100)&gt;=30,"非后20%",IF(COUNTIFS($I$6:$I$151,"&lt;="&amp;I100)&gt;=30,"边界同分","严格后20%"))</x:f>
        <x:v>非后20%</x:v>
      </x:c>
      <x:c r="V100" s="22" t="n">
        <x:f>'指标计算'!P121</x:f>
        <x:v>-0.13683228565235026</x:v>
      </x:c>
      <x:c r="W100" s="22" t="n">
        <x:f>'指标计算'!Q121</x:f>
        <x:v>-0.13683228565235026</x:v>
      </x:c>
      <x:c r="X100" s="22" t="str">
        <x:v>["S0386"]</x:v>
      </x:c>
      <x:c r="Y100" s="22" t="str">
        <x:v>evidence/student_evidence.jsonl；student_key=2025秋:259885</x:v>
      </x:c>
      <x:c r="Z100" s="26" t="n">
        <x:f>IF(OR(B100="s3",B100="s6"),COUNTIFS($B$6:$B$151,B100,$K$6:$K$151,"&gt;"&amp;K100)+(COUNTIFS($B$6:$B$151,B100,$K$6:$K$151,K100)+1)/2,"NA")</x:f>
        <x:v>102</x:v>
      </x:c>
      <x:c r="AA100" s="26" t="n">
        <x:f>IF(OR(B100="s3",B100="s6"),COUNTIFS($B$6:$B$151,B100,$M$6:$M$151,"&gt;"&amp;M100)+(COUNTIFS($B$6:$B$151,B100,$M$6:$M$151,M100)+1)/2,"NA")</x:f>
        <x:v>86</x:v>
      </x:c>
      <x:c r="AB100" s="26" t="n">
        <x:f>IF(OR(B100="s3",B100="s6"),COUNTIFS($B$6:$B$151,B100,$O$6:$O$151,"&gt;"&amp;O100)+(COUNTIFS($B$6:$B$151,B100,$O$6:$O$151,O100)+1)/2,"NA")</x:f>
        <x:v>96</x:v>
      </x:c>
      <x:c r="AC100" s="26" t="n">
        <x:f>IF(OR(B100="s3",B100="s6"),COUNTIFS($B$6:$B$151,B100,$Q$6:$Q$151,"&gt;"&amp;Q100)+(COUNTIFS($B$6:$B$151,B100,$Q$6:$Q$151,Q100)+1)/2,"NA")</x:f>
        <x:v>85</x:v>
      </x:c>
      <x:c r="AD100" s="25" t="n">
        <x:v>58.93178559280881</x:v>
      </x:c>
      <x:c r="AE100" s="25" t="n">
        <x:v>91</x:v>
      </x:c>
      <x:c r="AF100" s="25" t="n">
        <x:v>88</x:v>
      </x:c>
      <x:c r="AG100" s="25" t="n">
        <x:v>0</x:v>
      </x:c>
    </x:row>
    <x:row r="101" ht="23" customHeight="1">
      <x:c r="A101" s="21" t="str">
        <x:v>2025秋:259919</x:v>
      </x:c>
      <x:c r="B101" s="22" t="str">
        <x:v>s3</x:v>
      </x:c>
      <x:c r="C101" s="24" t="n">
        <x:v>1</x:v>
      </x:c>
      <x:c r="D101" s="24" t="n">
        <x:v>1</x:v>
      </x:c>
      <x:c r="E101" s="29" t="n">
        <x:f>'指标计算'!S126</x:f>
        <x:v>0.4942986547644854</x:v>
      </x:c>
      <x:c r="F101" s="29" t="n">
        <x:f>'指标计算'!T126</x:f>
        <x:v>0.43158385717382486</x:v>
      </x:c>
      <x:c r="G101" s="29" t="n">
        <x:f>'指标计算'!U126</x:f>
        <x:v>0.43158385717382486</x:v>
      </x:c>
      <x:c r="H101" s="29" t="n">
        <x:f>'指标计算'!V126</x:f>
        <x:v>1</x:v>
      </x:c>
      <x:c r="I101" s="30" t="n">
        <x:f>IF(COUNT('总览与权重'!$H$11:$K$11)=4,ROUND(100*SUMPRODUCT(E101:H101,'总览与权重'!$H$11:$K$11),12),"NA")</x:f>
        <x:v>62.092313929888</x:v>
      </x:c>
      <x:c r="J101" s="30" t="n">
        <x:f>IF(ISNUMBER(I101),COUNTIFS($I$6:$I$151,"&gt;"&amp;I101)+(COUNTIFS($I$6:$I$151,I101)+1)/2,"NA")</x:f>
        <x:v>91</x:v>
      </x:c>
      <x:c r="K101" s="30" t="n">
        <x:f>IF(COUNT('总览与权重'!$H$12:$K$12)=4,ROUND(100*SUMPRODUCT(E101:H101,'总览与权重'!$H$12:$K$12),12),"NA")</x:f>
        <x:v>55.781004525719</x:v>
      </x:c>
      <x:c r="L101" s="30" t="n">
        <x:f>IF(ISNUMBER(K101),COUNTIFS($K$6:$K$151,"&gt;"&amp;K101)+(COUNTIFS($K$6:$K$151,K101)+1)/2,"NA")</x:f>
        <x:v>106</x:v>
      </x:c>
      <x:c r="M101" s="30" t="n">
        <x:f>IF(COUNT('总览与权重'!$H$13:$K$13)=4,ROUND(100*SUMPRODUCT(E101:H101,'总览与权重'!$H$13:$K$13),12),"NA")</x:f>
        <x:v>64.620820656065</x:v>
      </x:c>
      <x:c r="N101" s="30" t="n">
        <x:f>IF(ISNUMBER(M101),COUNTIFS($M$6:$M$151,"&gt;"&amp;M101)+(COUNTIFS($M$6:$M$151,M101)+1)/2,"NA")</x:f>
        <x:v>88</x:v>
      </x:c>
      <x:c r="O101" s="30" t="n">
        <x:f>IF(COUNT('总览与权重'!$H$14:$K$14)=4,ROUND(100*SUMPRODUCT(E101:H101,'总览与权重'!$H$14:$K$14),12),"NA")</x:f>
        <x:v>60.22835909413</x:v>
      </x:c>
      <x:c r="P101" s="30" t="n">
        <x:f>IF(ISNUMBER(O101),COUNTIFS($O$6:$O$151,"&gt;"&amp;O101)+(COUNTIFS($O$6:$O$151,O101)+1)/2,"NA")</x:f>
        <x:v>99</x:v>
      </x:c>
      <x:c r="Q101" s="30" t="n">
        <x:f>IF(COUNT('总览与权重'!$H$15:$K$15)=4,ROUND(100*SUMPRODUCT(E101:H101,'总览与权重'!$H$15:$K$15),12),"NA")</x:f>
        <x:v>78.75315368154</x:v>
      </x:c>
      <x:c r="R101" s="30" t="n">
        <x:f>IF(ISNUMBER(Q101),COUNTIFS($Q$6:$Q$151,"&gt;"&amp;Q101)+(COUNTIFS($Q$6:$Q$151,Q101)+1)/2,"NA")</x:f>
        <x:v>86</x:v>
      </x:c>
      <x:c r="S101" s="31" t="n">
        <x:f>IF(OR(B101="s3",B101="s6"),COUNTIFS($B$6:$B$151,B101,$I$6:$I$151,"&gt;"&amp;I101)+(COUNTIFS($B$6:$B$151,B101,$I$6:$I$151,I101)+1)/2,"NA")</x:f>
        <x:v>88</x:v>
      </x:c>
      <x:c r="T101" s="26" t="str">
        <x:f>IF(COUNTIFS($I$6:$I$151,"&gt;"&amp;I101)&gt;=30,"非前20%",IF(COUNTIFS($I$6:$I$151,"&gt;="&amp;I101)&gt;=30,"边界同分","严格前20%"))</x:f>
        <x:v>非前20%</x:v>
      </x:c>
      <x:c r="U101" s="26" t="str">
        <x:f>IF(COUNTIFS($I$6:$I$151,"&lt;"&amp;I101)&gt;=30,"非后20%",IF(COUNTIFS($I$6:$I$151,"&lt;="&amp;I101)&gt;=30,"边界同分","严格后20%"))</x:f>
        <x:v>非后20%</x:v>
      </x:c>
      <x:c r="V101" s="22" t="n">
        <x:f>'指标计算'!P126</x:f>
        <x:v>-0.13683228565235026</x:v>
      </x:c>
      <x:c r="W101" s="22" t="n">
        <x:f>'指标计算'!Q126</x:f>
        <x:v>-0.13683228565235026</x:v>
      </x:c>
      <x:c r="X101" s="22" t="str">
        <x:v>["S0279"]</x:v>
      </x:c>
      <x:c r="Y101" s="22" t="str">
        <x:v>evidence/student_evidence.jsonl；student_key=2025秋:259919</x:v>
      </x:c>
      <x:c r="Z101" s="26" t="n">
        <x:f>IF(OR(B101="s3",B101="s6"),COUNTIFS($B$6:$B$151,B101,$K$6:$K$151,"&gt;"&amp;K101)+(COUNTIFS($B$6:$B$151,B101,$K$6:$K$151,K101)+1)/2,"NA")</x:f>
        <x:v>102</x:v>
      </x:c>
      <x:c r="AA101" s="26" t="n">
        <x:f>IF(OR(B101="s3",B101="s6"),COUNTIFS($B$6:$B$151,B101,$M$6:$M$151,"&gt;"&amp;M101)+(COUNTIFS($B$6:$B$151,B101,$M$6:$M$151,M101)+1)/2,"NA")</x:f>
        <x:v>86</x:v>
      </x:c>
      <x:c r="AB101" s="26" t="n">
        <x:f>IF(OR(B101="s3",B101="s6"),COUNTIFS($B$6:$B$151,B101,$O$6:$O$151,"&gt;"&amp;O101)+(COUNTIFS($B$6:$B$151,B101,$O$6:$O$151,O101)+1)/2,"NA")</x:f>
        <x:v>96</x:v>
      </x:c>
      <x:c r="AC101" s="26" t="n">
        <x:f>IF(OR(B101="s3",B101="s6"),COUNTIFS($B$6:$B$151,B101,$Q$6:$Q$151,"&gt;"&amp;Q101)+(COUNTIFS($B$6:$B$151,B101,$Q$6:$Q$151,Q101)+1)/2,"NA")</x:f>
        <x:v>85</x:v>
      </x:c>
      <x:c r="AD101" s="25" t="n">
        <x:v>58.93178559280881</x:v>
      </x:c>
      <x:c r="AE101" s="25" t="n">
        <x:v>91</x:v>
      </x:c>
      <x:c r="AF101" s="25" t="n">
        <x:v>88</x:v>
      </x:c>
      <x:c r="AG101" s="25" t="n">
        <x:v>0</x:v>
      </x:c>
    </x:row>
    <x:row r="102" ht="23" customHeight="1">
      <x:c r="A102" s="21" t="str">
        <x:v>2025秋:258439</x:v>
      </x:c>
      <x:c r="B102" s="22" t="str">
        <x:v>s6</x:v>
      </x:c>
      <x:c r="C102" s="24" t="n">
        <x:v>1</x:v>
      </x:c>
      <x:c r="D102" s="24" t="n">
        <x:v>1</x:v>
      </x:c>
      <x:c r="E102" s="29" t="n">
        <x:f>'指标计算'!S16</x:f>
        <x:v>0.4934285714285714</x:v>
      </x:c>
      <x:c r="F102" s="29" t="n">
        <x:f>'指标计算'!T16</x:f>
        <x:v>0.42114285714285715</x:v>
      </x:c>
      <x:c r="G102" s="29" t="n">
        <x:f>'指标计算'!U16</x:f>
        <x:v>0.42114285714285715</x:v>
      </x:c>
      <x:c r="H102" s="29" t="n">
        <x:f>'指标计算'!V16</x:f>
        <x:v>1</x:v>
      </x:c>
      <x:c r="I102" s="30" t="n">
        <x:f>IF(COUNT('总览与权重'!$H$11:$K$11)=4,ROUND(100*SUMPRODUCT(E102:H102,'总览与权重'!$H$11:$K$11),12),"NA")</x:f>
        <x:v>61.648571428571</x:v>
      </x:c>
      <x:c r="J102" s="30" t="n">
        <x:f>IF(ISNUMBER(I102),COUNTIFS($I$6:$I$151,"&gt;"&amp;I102)+(COUNTIFS($I$6:$I$151,I102)+1)/2,"NA")</x:f>
        <x:v>97</x:v>
      </x:c>
      <x:c r="K102" s="30" t="n">
        <x:f>IF(COUNT('总览与权重'!$H$12:$K$12)=4,ROUND(100*SUMPRODUCT(E102:H102,'总览与权重'!$H$12:$K$12),12),"NA")</x:f>
        <x:v>55.137142857143</x:v>
      </x:c>
      <x:c r="L102" s="30" t="n">
        <x:f>IF(ISNUMBER(K102),COUNTIFS($K$6:$K$151,"&gt;"&amp;K102)+(COUNTIFS($K$6:$K$151,K102)+1)/2,"NA")</x:f>
        <x:v>113</x:v>
      </x:c>
      <x:c r="M102" s="30" t="n">
        <x:f>IF(COUNT('总览与权重'!$H$13:$K$13)=4,ROUND(100*SUMPRODUCT(E102:H102,'总览与权重'!$H$13:$K$13),12),"NA")</x:f>
        <x:v>64.181428571429</x:v>
      </x:c>
      <x:c r="N102" s="30" t="n">
        <x:f>IF(ISNUMBER(M102),COUNTIFS($M$6:$M$151,"&gt;"&amp;M102)+(COUNTIFS($M$6:$M$151,M102)+1)/2,"NA")</x:f>
        <x:v>94</x:v>
      </x:c>
      <x:c r="O102" s="30" t="n">
        <x:f>IF(COUNT('总览与权重'!$H$14:$K$14)=4,ROUND(100*SUMPRODUCT(E102:H102,'总览与权重'!$H$14:$K$14),12),"NA")</x:f>
        <x:v>59.500158105476</x:v>
      </x:c>
      <x:c r="P102" s="30" t="n">
        <x:f>IF(ISNUMBER(O102),COUNTIFS($O$6:$O$151,"&gt;"&amp;O102)+(COUNTIFS($O$6:$O$151,O102)+1)/2,"NA")</x:f>
        <x:v>105</x:v>
      </x:c>
      <x:c r="Q102" s="30" t="n">
        <x:f>IF(COUNT('总览与权重'!$H$15:$K$15)=4,ROUND(100*SUMPRODUCT(E102:H102,'总览与权重'!$H$15:$K$15),12),"NA")</x:f>
        <x:v>78.364133411254</x:v>
      </x:c>
      <x:c r="R102" s="30" t="n">
        <x:f>IF(ISNUMBER(Q102),COUNTIFS($Q$6:$Q$151,"&gt;"&amp;Q102)+(COUNTIFS($Q$6:$Q$151,Q102)+1)/2,"NA")</x:f>
        <x:v>92</x:v>
      </x:c>
      <x:c r="S102" s="31" t="n">
        <x:f>IF(OR(B102="s3",B102="s6"),COUNTIFS($B$6:$B$151,B102,$I$6:$I$151,"&gt;"&amp;I102)+(COUNTIFS($B$6:$B$151,B102,$I$6:$I$151,I102)+1)/2,"NA")</x:f>
        <x:v>4</x:v>
      </x:c>
      <x:c r="T102" s="26" t="str">
        <x:f>IF(COUNTIFS($I$6:$I$151,"&gt;"&amp;I102)&gt;=30,"非前20%",IF(COUNTIFS($I$6:$I$151,"&gt;="&amp;I102)&gt;=30,"边界同分","严格前20%"))</x:f>
        <x:v>非前20%</x:v>
      </x:c>
      <x:c r="U102" s="26" t="str">
        <x:f>IF(COUNTIFS($I$6:$I$151,"&lt;"&amp;I102)&gt;=30,"非后20%",IF(COUNTIFS($I$6:$I$151,"&lt;="&amp;I102)&gt;=30,"边界同分","严格后20%"))</x:f>
        <x:v>非后20%</x:v>
      </x:c>
      <x:c r="V102" s="22" t="n">
        <x:f>'指标计算'!P16</x:f>
        <x:v>-0.15771428571428572</x:v>
      </x:c>
      <x:c r="W102" s="22" t="n">
        <x:f>'指标计算'!Q16</x:f>
        <x:v>-0.15771428571428572</x:v>
      </x:c>
      <x:c r="X102" s="22" t="str">
        <x:v>["S0280"]</x:v>
      </x:c>
      <x:c r="Y102" s="22" t="str">
        <x:v>evidence/student_evidence.jsonl；student_key=2025秋:258439</x:v>
      </x:c>
      <x:c r="Z102" s="26" t="n">
        <x:f>IF(OR(B102="s3",B102="s6"),COUNTIFS($B$6:$B$151,B102,$K$6:$K$151,"&gt;"&amp;K102)+(COUNTIFS($B$6:$B$151,B102,$K$6:$K$151,K102)+1)/2,"NA")</x:f>
        <x:v>5</x:v>
      </x:c>
      <x:c r="AA102" s="26" t="n">
        <x:f>IF(OR(B102="s3",B102="s6"),COUNTIFS($B$6:$B$151,B102,$M$6:$M$151,"&gt;"&amp;M102)+(COUNTIFS($B$6:$B$151,B102,$M$6:$M$151,M102)+1)/2,"NA")</x:f>
        <x:v>3</x:v>
      </x:c>
      <x:c r="AB102" s="26" t="n">
        <x:f>IF(OR(B102="s3",B102="s6"),COUNTIFS($B$6:$B$151,B102,$O$6:$O$151,"&gt;"&amp;O102)+(COUNTIFS($B$6:$B$151,B102,$O$6:$O$151,O102)+1)/2,"NA")</x:f>
        <x:v>4</x:v>
      </x:c>
      <x:c r="AC102" s="26" t="n">
        <x:f>IF(OR(B102="s3",B102="s6"),COUNTIFS($B$6:$B$151,B102,$Q$6:$Q$151,"&gt;"&amp;Q102)+(COUNTIFS($B$6:$B$151,B102,$Q$6:$Q$151,Q102)+1)/2,"NA")</x:f>
        <x:v>2</x:v>
      </x:c>
      <x:c r="AD102" s="25" t="n">
        <x:v>58.005714285714284</x:v>
      </x:c>
      <x:c r="AE102" s="25" t="n">
        <x:v>97</x:v>
      </x:c>
      <x:c r="AF102" s="25" t="n">
        <x:v>4</x:v>
      </x:c>
      <x:c r="AG102" s="25" t="n">
        <x:v>0</x:v>
      </x:c>
    </x:row>
    <x:row r="103" ht="23" customHeight="1">
      <x:c r="A103" s="21" t="str">
        <x:v>2026春:268127</x:v>
      </x:c>
      <x:c r="B103" s="22" t="str">
        <x:v>s3</x:v>
      </x:c>
      <x:c r="C103" s="24" t="n">
        <x:v>1</x:v>
      </x:c>
      <x:c r="D103" s="24" t="n">
        <x:v>1</x:v>
      </x:c>
      <x:c r="E103" s="29" t="n">
        <x:f>'指标计算'!S153</x:f>
        <x:v>0.510210503771432</x:v>
      </x:c>
      <x:c r="F103" s="29" t="n">
        <x:f>'指标计算'!T153</x:f>
        <x:v>0.6225260452571836</x:v>
      </x:c>
      <x:c r="G103" s="29" t="n">
        <x:f>'指标计算'!U153</x:f>
        <x:v>0.6225260452571836</x:v>
      </x:c>
      <x:c r="H103" s="29" t="n">
        <x:f>'指标计算'!V153</x:f>
        <x:v>0.6666666666666666</x:v>
      </x:c>
      <x:c r="I103" s="30" t="n">
        <x:f>IF(COUNT('总览与权重'!$H$11:$K$11)=4,ROUND(100*SUMPRODUCT(E103:H103,'总览与权重'!$H$11:$K$11),12),"NA")</x:f>
        <x:v>60.20735692343</x:v>
      </x:c>
      <x:c r="J103" s="30" t="n">
        <x:f>IF(ISNUMBER(I103),COUNTIFS($I$6:$I$151,"&gt;"&amp;I103)+(COUNTIFS($I$6:$I$151,I103)+1)/2,"NA")</x:f>
        <x:v>98</x:v>
      </x:c>
      <x:c r="K103" s="30" t="n">
        <x:f>IF(COUNT('总览与权重'!$H$12:$K$12)=4,ROUND(100*SUMPRODUCT(E103:H103,'总览与权重'!$H$12:$K$12),12),"NA")</x:f>
        <x:v>60.889106124193</x:v>
      </x:c>
      <x:c r="L103" s="30" t="n">
        <x:f>IF(ISNUMBER(K103),COUNTIFS($K$6:$K$151,"&gt;"&amp;K103)+(COUNTIFS($K$6:$K$151,K103)+1)/2,"NA")</x:f>
        <x:v>54</x:v>
      </x:c>
      <x:c r="M103" s="30" t="n">
        <x:f>IF(COUNT('总览与权重'!$H$13:$K$13)=4,ROUND(100*SUMPRODUCT(E103:H103,'总览与权重'!$H$13:$K$13),12),"NA")</x:f>
        <x:v>60.989637737906</x:v>
      </x:c>
      <x:c r="N103" s="30" t="n">
        <x:f>IF(ISNUMBER(M103),COUNTIFS($M$6:$M$151,"&gt;"&amp;M103)+(COUNTIFS($M$6:$M$151,M103)+1)/2,"NA")</x:f>
        <x:v>98</x:v>
      </x:c>
      <x:c r="O103" s="30" t="n">
        <x:f>IF(COUNT('总览与权重'!$H$14:$K$14)=4,ROUND(100*SUMPRODUCT(E103:H103,'总览与权重'!$H$14:$K$14),12),"NA")</x:f>
        <x:v>63.545502061832</x:v>
      </x:c>
      <x:c r="P103" s="30" t="n">
        <x:f>IF(ISNUMBER(O103),COUNTIFS($O$6:$O$151,"&gt;"&amp;O103)+(COUNTIFS($O$6:$O$151,O103)+1)/2,"NA")</x:f>
        <x:v>59</x:v>
      </x:c>
      <x:c r="Q103" s="30" t="n">
        <x:f>IF(COUNT('总览与权重'!$H$15:$K$15)=4,ROUND(100*SUMPRODUCT(E103:H103,'总览与权重'!$H$15:$K$15),12),"NA")</x:f>
        <x:v>64.999274947766</x:v>
      </x:c>
      <x:c r="R103" s="30" t="n">
        <x:f>IF(ISNUMBER(Q103),COUNTIFS($Q$6:$Q$151,"&gt;"&amp;Q103)+(COUNTIFS($Q$6:$Q$151,Q103)+1)/2,"NA")</x:f>
        <x:v>97</x:v>
      </x:c>
      <x:c r="S103" s="31" t="n">
        <x:f>IF(OR(B103="s3",B103="s6"),COUNTIFS($B$6:$B$151,B103,$I$6:$I$151,"&gt;"&amp;I103)+(COUNTIFS($B$6:$B$151,B103,$I$6:$I$151,I103)+1)/2,"NA")</x:f>
        <x:v>94</x:v>
      </x:c>
      <x:c r="T103" s="26" t="str">
        <x:f>IF(COUNTIFS($I$6:$I$151,"&gt;"&amp;I103)&gt;=30,"非前20%",IF(COUNTIFS($I$6:$I$151,"&gt;="&amp;I103)&gt;=30,"边界同分","严格前20%"))</x:f>
        <x:v>非前20%</x:v>
      </x:c>
      <x:c r="U103" s="26" t="str">
        <x:f>IF(COUNTIFS($I$6:$I$151,"&lt;"&amp;I103)&gt;=30,"非后20%",IF(COUNTIFS($I$6:$I$151,"&lt;="&amp;I103)&gt;=30,"边界同分","严格后20%"))</x:f>
        <x:v>非后20%</x:v>
      </x:c>
      <x:c r="V103" s="22" t="n">
        <x:f>'指标计算'!P153</x:f>
        <x:v>0.24505209051436724</x:v>
      </x:c>
      <x:c r="W103" s="22" t="n">
        <x:f>'指标计算'!Q153</x:f>
        <x:v>0.24505209051436724</x:v>
      </x:c>
      <x:c r="X103" s="22" t="str">
        <x:v>["S0935"]</x:v>
      </x:c>
      <x:c r="Y103" s="22" t="str">
        <x:v>evidence/student_evidence.jsonl；student_key=2026春:268127</x:v>
      </x:c>
      <x:c r="Z103" s="26" t="n">
        <x:f>IF(OR(B103="s3",B103="s6"),COUNTIFS($B$6:$B$151,B103,$K$6:$K$151,"&gt;"&amp;K103)+(COUNTIFS($B$6:$B$151,B103,$K$6:$K$151,K103)+1)/2,"NA")</x:f>
        <x:v>51</x:v>
      </x:c>
      <x:c r="AA103" s="26" t="n">
        <x:f>IF(OR(B103="s3",B103="s6"),COUNTIFS($B$6:$B$151,B103,$M$6:$M$151,"&gt;"&amp;M103)+(COUNTIFS($B$6:$B$151,B103,$M$6:$M$151,M103)+1)/2,"NA")</x:f>
        <x:v>94</x:v>
      </x:c>
      <x:c r="AB103" s="26" t="n">
        <x:f>IF(OR(B103="s3",B103="s6"),COUNTIFS($B$6:$B$151,B103,$O$6:$O$151,"&gt;"&amp;O103)+(COUNTIFS($B$6:$B$151,B103,$O$6:$O$151,O103)+1)/2,"NA")</x:f>
        <x:v>56</x:v>
      </x:c>
      <x:c r="AC103" s="26" t="n">
        <x:f>IF(OR(B103="s3",B103="s6"),COUNTIFS($B$6:$B$151,B103,$Q$6:$Q$151,"&gt;"&amp;Q103)+(COUNTIFS($B$6:$B$151,B103,$Q$6:$Q$151,Q103)+1)/2,"NA")</x:f>
        <x:v>94</x:v>
      </x:c>
      <x:c r="AD103" s="25" t="n">
        <x:v>57.04682858635156</x:v>
      </x:c>
      <x:c r="AE103" s="25" t="n">
        <x:v>98</x:v>
      </x:c>
      <x:c r="AF103" s="25" t="n">
        <x:v>94</x:v>
      </x:c>
      <x:c r="AG103" s="25" t="n">
        <x:v>0</x:v>
      </x:c>
    </x:row>
    <x:row r="104" ht="23" customHeight="1">
      <x:c r="A104" s="21" t="str">
        <x:v>2026春:268121</x:v>
      </x:c>
      <x:c r="B104" s="22" t="str">
        <x:v>s3</x:v>
      </x:c>
      <x:c r="C104" s="24" t="n">
        <x:v>1</x:v>
      </x:c>
      <x:c r="D104" s="24" t="n">
        <x:v>1</x:v>
      </x:c>
      <x:c r="E104" s="29" t="n">
        <x:f>'指标计算'!S151</x:f>
        <x:v>0.5094126400808077</x:v>
      </x:c>
      <x:c r="F104" s="29" t="n">
        <x:f>'指标计算'!T151</x:f>
        <x:v>0.6129516809696918</x:v>
      </x:c>
      <x:c r="G104" s="29" t="n">
        <x:f>'指标计算'!U151</x:f>
        <x:v>0.6129516809696918</x:v>
      </x:c>
      <x:c r="H104" s="29" t="n">
        <x:f>'指标计算'!V151</x:f>
        <x:v>0.6666666666666666</x:v>
      </x:c>
      <x:c r="I104" s="30" t="n">
        <x:f>IF(COUNT('总览与权重'!$H$11:$K$11)=4,ROUND(100*SUMPRODUCT(E104:H104,'总览与权重'!$H$11:$K$11),12),"NA")</x:f>
        <x:v>59.800446441212</x:v>
      </x:c>
      <x:c r="J104" s="30" t="n">
        <x:f>IF(ISNUMBER(I104),COUNTIFS($I$6:$I$151,"&gt;"&amp;I104)+(COUNTIFS($I$6:$I$151,I104)+1)/2,"NA")</x:f>
        <x:v>99</x:v>
      </x:c>
      <x:c r="K104" s="30" t="n">
        <x:f>IF(COUNT('总览与权重'!$H$12:$K$12)=4,ROUND(100*SUMPRODUCT(E104:H104,'总览与权重'!$H$12:$K$12),12),"NA")</x:f>
        <x:v>60.298686993131</x:v>
      </x:c>
      <x:c r="L104" s="30" t="n">
        <x:f>IF(ISNUMBER(K104),COUNTIFS($K$6:$K$151,"&gt;"&amp;K104)+(COUNTIFS($K$6:$K$151,K104)+1)/2,"NA")</x:f>
        <x:v>55</x:v>
      </x:c>
      <x:c r="M104" s="30" t="n">
        <x:f>IF(COUNT('总览与权重'!$H$13:$K$13)=4,ROUND(100*SUMPRODUCT(E104:H104,'总览与权重'!$H$13:$K$13),12),"NA")</x:f>
        <x:v>60.586716574141</x:v>
      </x:c>
      <x:c r="N104" s="30" t="n">
        <x:f>IF(ISNUMBER(M104),COUNTIFS($M$6:$M$151,"&gt;"&amp;M104)+(COUNTIFS($M$6:$M$151,M104)+1)/2,"NA")</x:f>
        <x:v>99</x:v>
      </x:c>
      <x:c r="O104" s="30" t="n">
        <x:f>IF(COUNT('总览与权重'!$H$14:$K$14)=4,ROUND(100*SUMPRODUCT(E104:H104,'总览与权重'!$H$14:$K$14),12),"NA")</x:f>
        <x:v>62.877744038729</x:v>
      </x:c>
      <x:c r="P104" s="30" t="n">
        <x:f>IF(ISNUMBER(O104),COUNTIFS($O$6:$O$151,"&gt;"&amp;O104)+(COUNTIFS($O$6:$O$151,O104)+1)/2,"NA")</x:f>
        <x:v>63</x:v>
      </x:c>
      <x:c r="Q104" s="30" t="n">
        <x:f>IF(COUNT('总览与权重'!$H$15:$K$15)=4,ROUND(100*SUMPRODUCT(E104:H104,'总览与权重'!$H$15:$K$15),12),"NA")</x:f>
        <x:v>64.642544579804</x:v>
      </x:c>
      <x:c r="R104" s="30" t="n">
        <x:f>IF(ISNUMBER(Q104),COUNTIFS($Q$6:$Q$151,"&gt;"&amp;Q104)+(COUNTIFS($Q$6:$Q$151,Q104)+1)/2,"NA")</x:f>
        <x:v>98</x:v>
      </x:c>
      <x:c r="S104" s="31" t="n">
        <x:f>IF(OR(B104="s3",B104="s6"),COUNTIFS($B$6:$B$151,B104,$I$6:$I$151,"&gt;"&amp;I104)+(COUNTIFS($B$6:$B$151,B104,$I$6:$I$151,I104)+1)/2,"NA")</x:f>
        <x:v>95</x:v>
      </x:c>
      <x:c r="T104" s="26" t="str">
        <x:f>IF(COUNTIFS($I$6:$I$151,"&gt;"&amp;I104)&gt;=30,"非前20%",IF(COUNTIFS($I$6:$I$151,"&gt;="&amp;I104)&gt;=30,"边界同分","严格前20%"))</x:f>
        <x:v>非前20%</x:v>
      </x:c>
      <x:c r="U104" s="26" t="str">
        <x:f>IF(COUNTIFS($I$6:$I$151,"&lt;"&amp;I104)&gt;=30,"非后20%",IF(COUNTIFS($I$6:$I$151,"&lt;="&amp;I104)&gt;=30,"边界同分","严格后20%"))</x:f>
        <x:v>非后20%</x:v>
      </x:c>
      <x:c r="V104" s="22" t="n">
        <x:f>'指标计算'!P151</x:f>
        <x:v>0.22590336193938357</x:v>
      </x:c>
      <x:c r="W104" s="22" t="n">
        <x:f>'指标计算'!Q151</x:f>
        <x:v>0.22590336193938357</x:v>
      </x:c>
      <x:c r="X104" s="22" t="str">
        <x:v>["S0915"]</x:v>
      </x:c>
      <x:c r="Y104" s="22" t="str">
        <x:v>evidence/student_evidence.jsonl；student_key=2026春:268121</x:v>
      </x:c>
      <x:c r="Z104" s="26" t="n">
        <x:f>IF(OR(B104="s3",B104="s6"),COUNTIFS($B$6:$B$151,B104,$K$6:$K$151,"&gt;"&amp;K104)+(COUNTIFS($B$6:$B$151,B104,$K$6:$K$151,K104)+1)/2,"NA")</x:f>
        <x:v>52</x:v>
      </x:c>
      <x:c r="AA104" s="26" t="n">
        <x:f>IF(OR(B104="s3",B104="s6"),COUNTIFS($B$6:$B$151,B104,$M$6:$M$151,"&gt;"&amp;M104)+(COUNTIFS($B$6:$B$151,B104,$M$6:$M$151,M104)+1)/2,"NA")</x:f>
        <x:v>95</x:v>
      </x:c>
      <x:c r="AB104" s="26" t="n">
        <x:f>IF(OR(B104="s3",B104="s6"),COUNTIFS($B$6:$B$151,B104,$O$6:$O$151,"&gt;"&amp;O104)+(COUNTIFS($B$6:$B$151,B104,$O$6:$O$151,O104)+1)/2,"NA")</x:f>
        <x:v>60</x:v>
      </x:c>
      <x:c r="AC104" s="26" t="n">
        <x:f>IF(OR(B104="s3",B104="s6"),COUNTIFS($B$6:$B$151,B104,$Q$6:$Q$151,"&gt;"&amp;Q104)+(COUNTIFS($B$6:$B$151,B104,$Q$6:$Q$151,Q104)+1)/2,"NA")</x:f>
        <x:v>95</x:v>
      </x:c>
      <x:c r="AD104" s="25" t="n">
        <x:v>56.63991810413316</x:v>
      </x:c>
      <x:c r="AE104" s="25" t="n">
        <x:v>100</x:v>
      </x:c>
      <x:c r="AF104" s="25" t="n">
        <x:v>96</x:v>
      </x:c>
      <x:c r="AG104" s="25" t="n">
        <x:v>1</x:v>
      </x:c>
    </x:row>
    <x:row r="105" ht="23" customHeight="1">
      <x:c r="A105" s="21" t="str">
        <x:v>2025秋:259863</x:v>
      </x:c>
      <x:c r="B105" s="22" t="str">
        <x:v>s3</x:v>
      </x:c>
      <x:c r="C105" s="24" t="n">
        <x:v>2</x:v>
      </x:c>
      <x:c r="D105" s="24" t="n">
        <x:v>1</x:v>
      </x:c>
      <x:c r="E105" s="29" t="n">
        <x:f>'指标计算'!S116</x:f>
        <x:v>0.5064052339528194</x:v>
      </x:c>
      <x:c r="F105" s="29" t="n">
        <x:f>'指标计算'!T116</x:f>
        <x:v>0.5960785092922924</x:v>
      </x:c>
      <x:c r="G105" s="29" t="n">
        <x:f>'指标计算'!U116</x:f>
        <x:v>0.5960785092922924</x:v>
      </x:c>
      <x:c r="H105" s="29" t="n">
        <x:f>'指标计算'!V116</x:f>
        <x:v>0.6666666666666666</x:v>
      </x:c>
      <x:c r="I105" s="30" t="n">
        <x:f>IF(COUNT('总览与权重'!$H$11:$K$11)=4,ROUND(100*SUMPRODUCT(E105:H105,'总览与权重'!$H$11:$K$11),12),"NA")</x:f>
        <x:v>59.035297390276</x:v>
      </x:c>
      <x:c r="J105" s="30" t="n">
        <x:f>IF(ISNUMBER(I105),COUNTIFS($I$6:$I$151,"&gt;"&amp;I105)+(COUNTIFS($I$6:$I$151,I105)+1)/2,"NA")</x:f>
        <x:v>100</x:v>
      </x:c>
      <x:c r="K105" s="30" t="n">
        <x:f>IF(COUNT('总览与权重'!$H$12:$K$12)=4,ROUND(100*SUMPRODUCT(E105:H105,'总览与权重'!$H$12:$K$12),12),"NA")</x:f>
        <x:v>59.226148569927</x:v>
      </x:c>
      <x:c r="L105" s="30" t="n">
        <x:f>IF(ISNUMBER(K105),COUNTIFS($K$6:$K$151,"&gt;"&amp;K105)+(COUNTIFS($K$6:$K$151,K105)+1)/2,"NA")</x:f>
        <x:v>62</x:v>
      </x:c>
      <x:c r="M105" s="30" t="n">
        <x:f>IF(COUNT('总览与权重'!$H$13:$K$13)=4,ROUND(100*SUMPRODUCT(E105:H105,'总览与权重'!$H$13:$K$13),12),"NA")</x:f>
        <x:v>59.836604553846</x:v>
      </x:c>
      <x:c r="N105" s="30" t="n">
        <x:f>IF(ISNUMBER(M105),COUNTIFS($M$6:$M$151,"&gt;"&amp;M105)+(COUNTIFS($M$6:$M$151,M105)+1)/2,"NA")</x:f>
        <x:v>100</x:v>
      </x:c>
      <x:c r="O105" s="30" t="n">
        <x:f>IF(COUNT('总览与权重'!$H$14:$K$14)=4,ROUND(100*SUMPRODUCT(E105:H105,'总览与权重'!$H$14:$K$14),12),"NA")</x:f>
        <x:v>61.700488726748</x:v>
      </x:c>
      <x:c r="P105" s="30" t="n">
        <x:f>IF(ISNUMBER(O105),COUNTIFS($O$6:$O$151,"&gt;"&amp;O105)+(COUNTIFS($O$6:$O$151,O105)+1)/2,"NA")</x:f>
        <x:v>73</x:v>
      </x:c>
      <x:c r="Q105" s="30" t="n">
        <x:f>IF(COUNT('总览与权重'!$H$15:$K$15)=4,ROUND(100*SUMPRODUCT(E105:H105,'总览与权重'!$H$15:$K$15),12),"NA")</x:f>
        <x:v>64.013630053737</x:v>
      </x:c>
      <x:c r="R105" s="30" t="n">
        <x:f>IF(ISNUMBER(Q105),COUNTIFS($Q$6:$Q$151,"&gt;"&amp;Q105)+(COUNTIFS($Q$6:$Q$151,Q105)+1)/2,"NA")</x:f>
        <x:v>99</x:v>
      </x:c>
      <x:c r="S105" s="31" t="n">
        <x:f>IF(OR(B105="s3",B105="s6"),COUNTIFS($B$6:$B$151,B105,$I$6:$I$151,"&gt;"&amp;I105)+(COUNTIFS($B$6:$B$151,B105,$I$6:$I$151,I105)+1)/2,"NA")</x:f>
        <x:v>96</x:v>
      </x:c>
      <x:c r="T105" s="26" t="str">
        <x:f>IF(COUNTIFS($I$6:$I$151,"&gt;"&amp;I105)&gt;=30,"非前20%",IF(COUNTIFS($I$6:$I$151,"&gt;="&amp;I105)&gt;=30,"边界同分","严格前20%"))</x:f>
        <x:v>非前20%</x:v>
      </x:c>
      <x:c r="U105" s="26" t="str">
        <x:f>IF(COUNTIFS($I$6:$I$151,"&lt;"&amp;I105)&gt;=30,"非后20%",IF(COUNTIFS($I$6:$I$151,"&lt;="&amp;I105)&gt;=30,"边界同分","严格后20%"))</x:f>
        <x:v>非后20%</x:v>
      </x:c>
      <x:c r="V105" s="22" t="n">
        <x:f>'指标计算'!P116</x:f>
        <x:v>0.1537256148676679</x:v>
      </x:c>
      <x:c r="W105" s="22" t="n">
        <x:f>'指标计算'!Q116</x:f>
        <x:v>0.19215701858458487</x:v>
      </x:c>
      <x:c r="X105" s="22" t="str">
        <x:v>["S0268","S0278"]</x:v>
      </x:c>
      <x:c r="Y105" s="22" t="str">
        <x:v>evidence/student_evidence.jsonl；student_key=2025秋:259863</x:v>
      </x:c>
      <x:c r="Z105" s="26" t="n">
        <x:f>IF(OR(B105="s3",B105="s6"),COUNTIFS($B$6:$B$151,B105,$K$6:$K$151,"&gt;"&amp;K105)+(COUNTIFS($B$6:$B$151,B105,$K$6:$K$151,K105)+1)/2,"NA")</x:f>
        <x:v>59</x:v>
      </x:c>
      <x:c r="AA105" s="26" t="n">
        <x:f>IF(OR(B105="s3",B105="s6"),COUNTIFS($B$6:$B$151,B105,$M$6:$M$151,"&gt;"&amp;M105)+(COUNTIFS($B$6:$B$151,B105,$M$6:$M$151,M105)+1)/2,"NA")</x:f>
        <x:v>96</x:v>
      </x:c>
      <x:c r="AB105" s="26" t="n">
        <x:f>IF(OR(B105="s3",B105="s6"),COUNTIFS($B$6:$B$151,B105,$O$6:$O$151,"&gt;"&amp;O105)+(COUNTIFS($B$6:$B$151,B105,$O$6:$O$151,O105)+1)/2,"NA")</x:f>
        <x:v>70</x:v>
      </x:c>
      <x:c r="AC105" s="26" t="n">
        <x:f>IF(OR(B105="s3",B105="s6"),COUNTIFS($B$6:$B$151,B105,$Q$6:$Q$151,"&gt;"&amp;Q105)+(COUNTIFS($B$6:$B$151,B105,$Q$6:$Q$151,Q105)+1)/2,"NA")</x:f>
        <x:v>96</x:v>
      </x:c>
      <x:c r="AD105" s="25" t="n">
        <x:v>56.890270011649676</x:v>
      </x:c>
      <x:c r="AE105" s="25" t="n">
        <x:v>99</x:v>
      </x:c>
      <x:c r="AF105" s="25" t="n">
        <x:v>95</x:v>
      </x:c>
      <x:c r="AG105" s="25" t="n">
        <x:v>-1</x:v>
      </x:c>
    </x:row>
    <x:row r="106" ht="23" customHeight="1">
      <x:c r="A106" s="21" t="str">
        <x:v>2025秋:259161</x:v>
      </x:c>
      <x:c r="B106" s="22" t="str">
        <x:v>s3</x:v>
      </x:c>
      <x:c r="C106" s="24" t="n">
        <x:v>1</x:v>
      </x:c>
      <x:c r="D106" s="24" t="n">
        <x:v>1</x:v>
      </x:c>
      <x:c r="E106" s="29" t="n">
        <x:f>'指标计算'!S79</x:f>
        <x:v>0.5058953181971051</x:v>
      </x:c>
      <x:c r="F106" s="29" t="n">
        <x:f>'指标计算'!T79</x:f>
        <x:v>0.588429772956576</x:v>
      </x:c>
      <x:c r="G106" s="29" t="n">
        <x:f>'指标计算'!U79</x:f>
        <x:v>0.588429772956576</x:v>
      </x:c>
      <x:c r="H106" s="29" t="n">
        <x:f>'指标计算'!V79</x:f>
        <x:v>0.6666666666666666</x:v>
      </x:c>
      <x:c r="I106" s="30" t="n">
        <x:f>IF(COUNT('总览与权重'!$H$11:$K$11)=4,ROUND(100*SUMPRODUCT(E106:H106,'总览与权重'!$H$11:$K$11),12),"NA")</x:f>
        <x:v>58.714050464176</x:v>
      </x:c>
      <x:c r="J106" s="30" t="n">
        <x:f>IF(ISNUMBER(I106),COUNTIFS($I$6:$I$151,"&gt;"&amp;I106)+(COUNTIFS($I$6:$I$151,I106)+1)/2,"NA")</x:f>
        <x:v>101</x:v>
      </x:c>
      <x:c r="K106" s="30" t="n">
        <x:f>IF(COUNT('总览与权重'!$H$12:$K$12)=4,ROUND(100*SUMPRODUCT(E106:H106,'总览与权重'!$H$12:$K$12),12),"NA")</x:f>
        <x:v>58.75702607467</x:v>
      </x:c>
      <x:c r="L106" s="30" t="n">
        <x:f>IF(ISNUMBER(K106),COUNTIFS($K$6:$K$151,"&gt;"&amp;K106)+(COUNTIFS($K$6:$K$151,K106)+1)/2,"NA")</x:f>
        <x:v>66</x:v>
      </x:c>
      <x:c r="M106" s="30" t="n">
        <x:f>IF(COUNT('总览与权重'!$H$13:$K$13)=4,ROUND(100*SUMPRODUCT(E106:H106,'总览与权重'!$H$13:$K$13),12),"NA")</x:f>
        <x:v>59.517907206524</x:v>
      </x:c>
      <x:c r="N106" s="30" t="n">
        <x:f>IF(ISNUMBER(M106),COUNTIFS($M$6:$M$151,"&gt;"&amp;M106)+(COUNTIFS($M$6:$M$151,M106)+1)/2,"NA")</x:f>
        <x:v>101</x:v>
      </x:c>
      <x:c r="O106" s="30" t="n">
        <x:f>IF(COUNT('总览与权重'!$H$14:$K$14)=4,ROUND(100*SUMPRODUCT(E106:H106,'总览与权重'!$H$14:$K$14),12),"NA")</x:f>
        <x:v>61.167067965239</x:v>
      </x:c>
      <x:c r="P106" s="30" t="n">
        <x:f>IF(ISNUMBER(O106),COUNTIFS($O$6:$O$151,"&gt;"&amp;O106)+(COUNTIFS($O$6:$O$151,O106)+1)/2,"NA")</x:f>
        <x:v>79</x:v>
      </x:c>
      <x:c r="Q106" s="30" t="n">
        <x:f>IF(COUNT('总览与权重'!$H$15:$K$15)=4,ROUND(100*SUMPRODUCT(E106:H106,'总览与权重'!$H$15:$K$15),12),"NA")</x:f>
        <x:v>63.728665473832</x:v>
      </x:c>
      <x:c r="R106" s="30" t="n">
        <x:f>IF(ISNUMBER(Q106),COUNTIFS($Q$6:$Q$151,"&gt;"&amp;Q106)+(COUNTIFS($Q$6:$Q$151,Q106)+1)/2,"NA")</x:f>
        <x:v>100</x:v>
      </x:c>
      <x:c r="S106" s="31" t="n">
        <x:f>IF(OR(B106="s3",B106="s6"),COUNTIFS($B$6:$B$151,B106,$I$6:$I$151,"&gt;"&amp;I106)+(COUNTIFS($B$6:$B$151,B106,$I$6:$I$151,I106)+1)/2,"NA")</x:f>
        <x:v>97</x:v>
      </x:c>
      <x:c r="T106" s="26" t="str">
        <x:f>IF(COUNTIFS($I$6:$I$151,"&gt;"&amp;I106)&gt;=30,"非前20%",IF(COUNTIFS($I$6:$I$151,"&gt;="&amp;I106)&gt;=30,"边界同分","严格前20%"))</x:f>
        <x:v>非前20%</x:v>
      </x:c>
      <x:c r="U106" s="26" t="str">
        <x:f>IF(COUNTIFS($I$6:$I$151,"&lt;"&amp;I106)&gt;=30,"非后20%",IF(COUNTIFS($I$6:$I$151,"&lt;="&amp;I106)&gt;=30,"边界同分","严格后20%"))</x:f>
        <x:v>非后20%</x:v>
      </x:c>
      <x:c r="V106" s="22" t="n">
        <x:f>'指标计算'!P79</x:f>
        <x:v>0.14148763673052153</x:v>
      </x:c>
      <x:c r="W106" s="22" t="n">
        <x:f>'指标计算'!Q79</x:f>
        <x:v>0.1768595459131519</x:v>
      </x:c>
      <x:c r="X106" s="22" t="str">
        <x:v>["S0210"]</x:v>
      </x:c>
      <x:c r="Y106" s="22" t="str">
        <x:v>evidence/student_evidence.jsonl；student_key=2025秋:259161</x:v>
      </x:c>
      <x:c r="Z106" s="26" t="n">
        <x:f>IF(OR(B106="s3",B106="s6"),COUNTIFS($B$6:$B$151,B106,$K$6:$K$151,"&gt;"&amp;K106)+(COUNTIFS($B$6:$B$151,B106,$K$6:$K$151,K106)+1)/2,"NA")</x:f>
        <x:v>63</x:v>
      </x:c>
      <x:c r="AA106" s="26" t="n">
        <x:f>IF(OR(B106="s3",B106="s6"),COUNTIFS($B$6:$B$151,B106,$M$6:$M$151,"&gt;"&amp;M106)+(COUNTIFS($B$6:$B$151,B106,$M$6:$M$151,M106)+1)/2,"NA")</x:f>
        <x:v>97</x:v>
      </x:c>
      <x:c r="AB106" s="26" t="n">
        <x:f>IF(OR(B106="s3",B106="s6"),COUNTIFS($B$6:$B$151,B106,$O$6:$O$151,"&gt;"&amp;O106)+(COUNTIFS($B$6:$B$151,B106,$O$6:$O$151,O106)+1)/2,"NA")</x:f>
        <x:v>76</x:v>
      </x:c>
      <x:c r="AC106" s="26" t="n">
        <x:f>IF(OR(B106="s3",B106="s6"),COUNTIFS($B$6:$B$151,B106,$Q$6:$Q$151,"&gt;"&amp;Q106)+(COUNTIFS($B$6:$B$151,B106,$Q$6:$Q$151,Q106)+1)/2,"NA")</x:f>
        <x:v>97</x:v>
      </x:c>
      <x:c r="AD106" s="25" t="n">
        <x:v>56.569023085549595</x:v>
      </x:c>
      <x:c r="AE106" s="25" t="n">
        <x:v>101</x:v>
      </x:c>
      <x:c r="AF106" s="25" t="n">
        <x:v>97</x:v>
      </x:c>
      <x:c r="AG106" s="25" t="n">
        <x:v>0</x:v>
      </x:c>
    </x:row>
    <x:row r="107" ht="23" customHeight="1">
      <x:c r="A107" s="21" t="str">
        <x:v>2025秋:259335</x:v>
      </x:c>
      <x:c r="B107" s="22" t="str">
        <x:v>s3</x:v>
      </x:c>
      <x:c r="C107" s="24" t="n">
        <x:v>1</x:v>
      </x:c>
      <x:c r="D107" s="24" t="n">
        <x:v>1</x:v>
      </x:c>
      <x:c r="E107" s="29" t="n">
        <x:f>'指标计算'!S90</x:f>
        <x:v>0.5156614362548273</x:v>
      </x:c>
      <x:c r="F107" s="29" t="n">
        <x:f>'指标计算'!T90</x:f>
        <x:v>0.6879372350579278</x:v>
      </x:c>
      <x:c r="G107" s="29" t="n">
        <x:f>'指标计算'!U90</x:f>
        <x:v>0.6879372350579278</x:v>
      </x:c>
      <x:c r="H107" s="29" t="n">
        <x:f>'指标计算'!V90</x:f>
        <x:v>0.5</x:v>
      </x:c>
      <x:c r="I107" s="30" t="n">
        <x:f>IF(COUNT('总览与权重'!$H$11:$K$11)=4,ROUND(100*SUMPRODUCT(E107:H107,'总览与权重'!$H$11:$K$11),12),"NA")</x:f>
        <x:v>57.987332489962</x:v>
      </x:c>
      <x:c r="J107" s="30" t="n">
        <x:f>IF(ISNUMBER(I107),COUNTIFS($I$6:$I$151,"&gt;"&amp;I107)+(COUNTIFS($I$6:$I$151,I107)+1)/2,"NA")</x:f>
        <x:v>102</x:v>
      </x:c>
      <x:c r="K107" s="30" t="n">
        <x:f>IF(COUNT('总览与权重'!$H$12:$K$12)=4,ROUND(100*SUMPRODUCT(E107:H107,'总览与权重'!$H$12:$K$12),12),"NA")</x:f>
        <x:v>61.589462828572</x:v>
      </x:c>
      <x:c r="L107" s="30" t="n">
        <x:f>IF(ISNUMBER(K107),COUNTIFS($K$6:$K$151,"&gt;"&amp;K107)+(COUNTIFS($K$6:$K$151,K107)+1)/2,"NA")</x:f>
        <x:v>51</x:v>
      </x:c>
      <x:c r="M107" s="30" t="n">
        <x:f>IF(COUNT('总览与权重'!$H$13:$K$13)=4,ROUND(100*SUMPRODUCT(E107:H107,'总览与权重'!$H$13:$K$13),12),"NA")</x:f>
        <x:v>57.909025308688</x:v>
      </x:c>
      <x:c r="N107" s="30" t="n">
        <x:f>IF(ISNUMBER(M107),COUNTIFS($M$6:$M$151,"&gt;"&amp;M107)+(COUNTIFS($M$6:$M$151,M107)+1)/2,"NA")</x:f>
        <x:v>103</x:v>
      </x:c>
      <x:c r="O107" s="30" t="n">
        <x:f>IF(COUNT('总览与权重'!$H$14:$K$14)=4,ROUND(100*SUMPRODUCT(E107:H107,'总览与权重'!$H$14:$K$14),12),"NA")</x:f>
        <x:v>63.107564406501</x:v>
      </x:c>
      <x:c r="P107" s="30" t="n">
        <x:f>IF(ISNUMBER(O107),COUNTIFS($O$6:$O$151,"&gt;"&amp;O107)+(COUNTIFS($O$6:$O$151,O107)+1)/2,"NA")</x:f>
        <x:v>62</x:v>
      </x:c>
      <x:c r="Q107" s="30" t="n">
        <x:f>IF(COUNT('总览与权重'!$H$15:$K$15)=4,ROUND(100*SUMPRODUCT(E107:H107,'总览与权重'!$H$15:$K$15),12),"NA")</x:f>
        <x:v>57.002336343461</x:v>
      </x:c>
      <x:c r="R107" s="30" t="n">
        <x:f>IF(ISNUMBER(Q107),COUNTIFS($Q$6:$Q$151,"&gt;"&amp;Q107)+(COUNTIFS($Q$6:$Q$151,Q107)+1)/2,"NA")</x:f>
        <x:v>107</x:v>
      </x:c>
      <x:c r="S107" s="31" t="n">
        <x:f>IF(OR(B107="s3",B107="s6"),COUNTIFS($B$6:$B$151,B107,$I$6:$I$151,"&gt;"&amp;I107)+(COUNTIFS($B$6:$B$151,B107,$I$6:$I$151,I107)+1)/2,"NA")</x:f>
        <x:v>98</x:v>
      </x:c>
      <x:c r="T107" s="26" t="str">
        <x:f>IF(COUNTIFS($I$6:$I$151,"&gt;"&amp;I107)&gt;=30,"非前20%",IF(COUNTIFS($I$6:$I$151,"&gt;="&amp;I107)&gt;=30,"边界同分","严格前20%"))</x:f>
        <x:v>非前20%</x:v>
      </x:c>
      <x:c r="U107" s="26" t="str">
        <x:f>IF(COUNTIFS($I$6:$I$151,"&lt;"&amp;I107)&gt;=30,"非后20%",IF(COUNTIFS($I$6:$I$151,"&lt;="&amp;I107)&gt;=30,"边界同分","严格后20%"))</x:f>
        <x:v>非后20%</x:v>
      </x:c>
      <x:c r="V107" s="22" t="n">
        <x:f>'指标计算'!P90</x:f>
        <x:v>0.3758744701158555</x:v>
      </x:c>
      <x:c r="W107" s="22" t="n">
        <x:f>'指标计算'!Q90</x:f>
        <x:v>0.3758744701158555</x:v>
      </x:c>
      <x:c r="X107" s="22" t="str">
        <x:v>["S0299"]</x:v>
      </x:c>
      <x:c r="Y107" s="22" t="str">
        <x:v>evidence/student_evidence.jsonl；student_key=2025秋:259335</x:v>
      </x:c>
      <x:c r="Z107" s="26" t="n">
        <x:f>IF(OR(B107="s3",B107="s6"),COUNTIFS($B$6:$B$151,B107,$K$6:$K$151,"&gt;"&amp;K107)+(COUNTIFS($B$6:$B$151,B107,$K$6:$K$151,K107)+1)/2,"NA")</x:f>
        <x:v>48</x:v>
      </x:c>
      <x:c r="AA107" s="26" t="n">
        <x:f>IF(OR(B107="s3",B107="s6"),COUNTIFS($B$6:$B$151,B107,$M$6:$M$151,"&gt;"&amp;M107)+(COUNTIFS($B$6:$B$151,B107,$M$6:$M$151,M107)+1)/2,"NA")</x:f>
        <x:v>99</x:v>
      </x:c>
      <x:c r="AB107" s="26" t="n">
        <x:f>IF(OR(B107="s3",B107="s6"),COUNTIFS($B$6:$B$151,B107,$O$6:$O$151,"&gt;"&amp;O107)+(COUNTIFS($B$6:$B$151,B107,$O$6:$O$151,O107)+1)/2,"NA")</x:f>
        <x:v>59</x:v>
      </x:c>
      <x:c r="AC107" s="26" t="n">
        <x:f>IF(OR(B107="s3",B107="s6"),COUNTIFS($B$6:$B$151,B107,$Q$6:$Q$151,"&gt;"&amp;Q107)+(COUNTIFS($B$6:$B$151,B107,$Q$6:$Q$151,Q107)+1)/2,"NA")</x:f>
        <x:v>102</x:v>
      </x:c>
      <x:c r="AD107" s="25" t="n">
        <x:v>54.82745918173704</x:v>
      </x:c>
      <x:c r="AE107" s="25" t="n">
        <x:v>104</x:v>
      </x:c>
      <x:c r="AF107" s="25" t="n">
        <x:v>100</x:v>
      </x:c>
      <x:c r="AG107" s="25" t="n">
        <x:v>2</x:v>
      </x:c>
    </x:row>
    <x:row r="108" ht="23" customHeight="1">
      <x:c r="A108" s="21" t="str">
        <x:v>2026春:268525</x:v>
      </x:c>
      <x:c r="B108" s="22" t="str">
        <x:v>s3</x:v>
      </x:c>
      <x:c r="C108" s="24" t="n">
        <x:v>1</x:v>
      </x:c>
      <x:c r="D108" s="24" t="n">
        <x:v>1</x:v>
      </x:c>
      <x:c r="E108" s="29" t="n">
        <x:f>'指标计算'!S178</x:f>
        <x:v>0.5126181246810421</x:v>
      </x:c>
      <x:c r="F108" s="29" t="n">
        <x:f>'指标计算'!T178</x:f>
        <x:v>0.6892718702156307</x:v>
      </x:c>
      <x:c r="G108" s="29" t="n">
        <x:f>'指标计算'!U178</x:f>
        <x:v>0.6892718702156307</x:v>
      </x:c>
      <x:c r="H108" s="29" t="n">
        <x:f>'指标计算'!V178</x:f>
        <x:v>0.5</x:v>
      </x:c>
      <x:c r="I108" s="30" t="n">
        <x:f>IF(COUNT('总览与权重'!$H$11:$K$11)=4,ROUND(100*SUMPRODUCT(E108:H108,'总览与权重'!$H$11:$K$11),12),"NA")</x:f>
        <x:v>57.949418549056</x:v>
      </x:c>
      <x:c r="J108" s="30" t="n">
        <x:f>IF(ISNUMBER(I108),COUNTIFS($I$6:$I$151,"&gt;"&amp;I108)+(COUNTIFS($I$6:$I$151,I108)+1)/2,"NA")</x:f>
        <x:v>103</x:v>
      </x:c>
      <x:c r="K108" s="30" t="n">
        <x:f>IF(COUNT('总览与权重'!$H$12:$K$12)=4,ROUND(100*SUMPRODUCT(E108:H108,'总览与权重'!$H$12:$K$12),12),"NA")</x:f>
        <x:v>61.608674706559</x:v>
      </x:c>
      <x:c r="L108" s="30" t="n">
        <x:f>IF(ISNUMBER(K108),COUNTIFS($K$6:$K$151,"&gt;"&amp;K108)+(COUNTIFS($K$6:$K$151,K108)+1)/2,"NA")</x:f>
        <x:v>50</x:v>
      </x:c>
      <x:c r="M108" s="30" t="n">
        <x:f>IF(COUNT('总览与权重'!$H$13:$K$13)=4,ROUND(100*SUMPRODUCT(E108:H108,'总览与权重'!$H$13:$K$13),12),"NA")</x:f>
        <x:v>57.886327925651</x:v>
      </x:c>
      <x:c r="N108" s="30" t="n">
        <x:f>IF(ISNUMBER(M108),COUNTIFS($M$6:$M$151,"&gt;"&amp;M108)+(COUNTIFS($M$6:$M$151,M108)+1)/2,"NA")</x:f>
        <x:v>104</x:v>
      </x:c>
      <x:c r="O108" s="30" t="n">
        <x:f>IF(COUNT('总览与权重'!$H$14:$K$14)=4,ROUND(100*SUMPRODUCT(E108:H108,'总览与权重'!$H$14:$K$14),12),"NA")</x:f>
        <x:v>63.199768002355</x:v>
      </x:c>
      <x:c r="P108" s="30" t="n">
        <x:f>IF(ISNUMBER(O108),COUNTIFS($O$6:$O$151,"&gt;"&amp;O108)+(COUNTIFS($O$6:$O$151,O108)+1)/2,"NA")</x:f>
        <x:v>61</x:v>
      </x:c>
      <x:c r="Q108" s="30" t="n">
        <x:f>IF(COUNT('总览与权重'!$H$15:$K$15)=4,ROUND(100*SUMPRODUCT(E108:H108,'总览与权重'!$H$15:$K$15),12),"NA")</x:f>
        <x:v>57.051593441898</x:v>
      </x:c>
      <x:c r="R108" s="30" t="n">
        <x:f>IF(ISNUMBER(Q108),COUNTIFS($Q$6:$Q$151,"&gt;"&amp;Q108)+(COUNTIFS($Q$6:$Q$151,Q108)+1)/2,"NA")</x:f>
        <x:v>106</x:v>
      </x:c>
      <x:c r="S108" s="31" t="n">
        <x:f>IF(OR(B108="s3",B108="s6"),COUNTIFS($B$6:$B$151,B108,$I$6:$I$151,"&gt;"&amp;I108)+(COUNTIFS($B$6:$B$151,B108,$I$6:$I$151,I108)+1)/2,"NA")</x:f>
        <x:v>99</x:v>
      </x:c>
      <x:c r="T108" s="26" t="str">
        <x:f>IF(COUNTIFS($I$6:$I$151,"&gt;"&amp;I108)&gt;=30,"非前20%",IF(COUNTIFS($I$6:$I$151,"&gt;="&amp;I108)&gt;=30,"边界同分","严格前20%"))</x:f>
        <x:v>非前20%</x:v>
      </x:c>
      <x:c r="U108" s="26" t="str">
        <x:f>IF(COUNTIFS($I$6:$I$151,"&lt;"&amp;I108)&gt;=30,"非后20%",IF(COUNTIFS($I$6:$I$151,"&lt;="&amp;I108)&gt;=30,"边界同分","严格后20%"))</x:f>
        <x:v>非后20%</x:v>
      </x:c>
      <x:c r="V108" s="22" t="n">
        <x:f>'指标计算'!P178</x:f>
        <x:v>0.30283499234500927</x:v>
      </x:c>
      <x:c r="W108" s="22" t="n">
        <x:f>'指标计算'!Q178</x:f>
        <x:v>0.37854374043126154</x:v>
      </x:c>
      <x:c r="X108" s="22" t="str">
        <x:v>["S1247"]</x:v>
      </x:c>
      <x:c r="Y108" s="22" t="str">
        <x:v>evidence/student_evidence.jsonl；student_key=2026春:268525</x:v>
      </x:c>
      <x:c r="Z108" s="26" t="n">
        <x:f>IF(OR(B108="s3",B108="s6"),COUNTIFS($B$6:$B$151,B108,$K$6:$K$151,"&gt;"&amp;K108)+(COUNTIFS($B$6:$B$151,B108,$K$6:$K$151,K108)+1)/2,"NA")</x:f>
        <x:v>47</x:v>
      </x:c>
      <x:c r="AA108" s="26" t="n">
        <x:f>IF(OR(B108="s3",B108="s6"),COUNTIFS($B$6:$B$151,B108,$M$6:$M$151,"&gt;"&amp;M108)+(COUNTIFS($B$6:$B$151,B108,$M$6:$M$151,M108)+1)/2,"NA")</x:f>
        <x:v>100</x:v>
      </x:c>
      <x:c r="AB108" s="26" t="n">
        <x:f>IF(OR(B108="s3",B108="s6"),COUNTIFS($B$6:$B$151,B108,$O$6:$O$151,"&gt;"&amp;O108)+(COUNTIFS($B$6:$B$151,B108,$O$6:$O$151,O108)+1)/2,"NA")</x:f>
        <x:v>58</x:v>
      </x:c>
      <x:c r="AC108" s="26" t="n">
        <x:f>IF(OR(B108="s3",B108="s6"),COUNTIFS($B$6:$B$151,B108,$Q$6:$Q$151,"&gt;"&amp;Q108)+(COUNTIFS($B$6:$B$151,B108,$Q$6:$Q$151,Q108)+1)/2,"NA")</x:f>
        <x:v>101</x:v>
      </x:c>
      <x:c r="AD108" s="25" t="n">
        <x:v>55.7789857423716</x:v>
      </x:c>
      <x:c r="AE108" s="25" t="n">
        <x:v>102</x:v>
      </x:c>
      <x:c r="AF108" s="25" t="n">
        <x:v>98</x:v>
      </x:c>
      <x:c r="AG108" s="25" t="n">
        <x:v>-1</x:v>
      </x:c>
    </x:row>
    <x:row r="109" ht="23" customHeight="1">
      <x:c r="A109" s="21" t="str">
        <x:v>2025秋:25A168</x:v>
      </x:c>
      <x:c r="B109" s="22" t="str">
        <x:v>s3</x:v>
      </x:c>
      <x:c r="C109" s="24" t="n">
        <x:v>3</x:v>
      </x:c>
      <x:c r="D109" s="24" t="n">
        <x:v>2</x:v>
      </x:c>
      <x:c r="E109" s="29" t="n">
        <x:f>'指标计算'!S139</x:f>
        <x:v>0.5049903877834804</x:v>
      </x:c>
      <x:c r="F109" s="29" t="n">
        <x:f>'指标计算'!T139</x:f>
        <x:v>0.5299423267008827</x:v>
      </x:c>
      <x:c r="G109" s="29" t="n">
        <x:f>'指标计算'!U139</x:f>
        <x:v>0.6283007962279406</x:v>
      </x:c>
      <x:c r="H109" s="29" t="n">
        <x:f>'指标计算'!V139</x:f>
        <x:v>0.6666666666666666</x:v>
      </x:c>
      <x:c r="I109" s="30" t="n">
        <x:f>IF(COUNT('总览与权重'!$H$11:$K$11)=4,ROUND(100*SUMPRODUCT(E109:H109,'总览与权重'!$H$11:$K$11),12),"NA")</x:f>
        <x:v>57.822781744446</x:v>
      </x:c>
      <x:c r="J109" s="30" t="n">
        <x:f>IF(ISNUMBER(I109),COUNTIFS($I$6:$I$151,"&gt;"&amp;I109)+(COUNTIFS($I$6:$I$151,I109)+1)/2,"NA")</x:f>
        <x:v>104</x:v>
      </x:c>
      <x:c r="K109" s="30" t="n">
        <x:f>IF(COUNT('总览与权重'!$H$12:$K$12)=4,ROUND(100*SUMPRODUCT(E109:H109,'总览与权重'!$H$12:$K$12),12),"NA")</x:f>
        <x:v>59.164019472138</x:v>
      </x:c>
      <x:c r="L109" s="30" t="n">
        <x:f>IF(ISNUMBER(K109),COUNTIFS($K$6:$K$151,"&gt;"&amp;K109)+(COUNTIFS($K$6:$K$151,K109)+1)/2,"NA")</x:f>
        <x:v>63</x:v>
      </x:c>
      <x:c r="M109" s="30" t="n">
        <x:f>IF(COUNT('总览与权重'!$H$13:$K$13)=4,ROUND(100*SUMPRODUCT(E109:H109,'总览与权重'!$H$13:$K$13),12),"NA")</x:f>
        <x:v>58.139370791226</x:v>
      </x:c>
      <x:c r="N109" s="30" t="n">
        <x:f>IF(ISNUMBER(M109),COUNTIFS($M$6:$M$151,"&gt;"&amp;M109)+(COUNTIFS($M$6:$M$151,M109)+1)/2,"NA")</x:f>
        <x:v>102</x:v>
      </x:c>
      <x:c r="O109" s="30" t="n">
        <x:f>IF(COUNT('总览与权重'!$H$14:$K$14)=4,ROUND(100*SUMPRODUCT(E109:H109,'总览与权重'!$H$14:$K$14),12),"NA")</x:f>
        <x:v>60.533019569424</x:v>
      </x:c>
      <x:c r="P109" s="30" t="n">
        <x:f>IF(ISNUMBER(O109),COUNTIFS($O$6:$O$151,"&gt;"&amp;O109)+(COUNTIFS($O$6:$O$151,O109)+1)/2,"NA")</x:f>
        <x:v>87</x:v>
      </x:c>
      <x:c r="Q109" s="30" t="n">
        <x:f>IF(COUNT('总览与权重'!$H$15:$K$15)=4,ROUND(100*SUMPRODUCT(E109:H109,'总览与权重'!$H$15:$K$15),12),"NA")</x:f>
        <x:v>63.389943497129</x:v>
      </x:c>
      <x:c r="R109" s="30" t="n">
        <x:f>IF(ISNUMBER(Q109),COUNTIFS($Q$6:$Q$151,"&gt;"&amp;Q109)+(COUNTIFS($Q$6:$Q$151,Q109)+1)/2,"NA")</x:f>
        <x:v>101</x:v>
      </x:c>
      <x:c r="S109" s="31" t="n">
        <x:f>IF(OR(B109="s3",B109="s6"),COUNTIFS($B$6:$B$151,B109,$I$6:$I$151,"&gt;"&amp;I109)+(COUNTIFS($B$6:$B$151,B109,$I$6:$I$151,I109)+1)/2,"NA")</x:f>
        <x:v>100</x:v>
      </x:c>
      <x:c r="T109" s="26" t="str">
        <x:f>IF(COUNTIFS($I$6:$I$151,"&gt;"&amp;I109)&gt;=30,"非前20%",IF(COUNTIFS($I$6:$I$151,"&gt;="&amp;I109)&gt;=30,"边界同分","严格前20%"))</x:f>
        <x:v>非前20%</x:v>
      </x:c>
      <x:c r="U109" s="26" t="str">
        <x:f>IF(COUNTIFS($I$6:$I$151,"&lt;"&amp;I109)&gt;=30,"非后20%",IF(COUNTIFS($I$6:$I$151,"&lt;="&amp;I109)&gt;=30,"边界同分","严格后20%"))</x:f>
        <x:v>非后20%</x:v>
      </x:c>
      <x:c r="V109" s="22" t="n">
        <x:f>'指标计算'!P139</x:f>
        <x:v>0.11976930680353076</x:v>
      </x:c>
      <x:c r="W109" s="22" t="n">
        <x:f>'指标计算'!Q139</x:f>
        <x:v>0.05988465340176538</x:v>
      </x:c>
      <x:c r="X109" s="22" t="str">
        <x:v>["S0201","S0429","S0472"]</x:v>
      </x:c>
      <x:c r="Y109" s="22" t="str">
        <x:v>evidence/student_evidence.jsonl；student_key=2025秋:25A168</x:v>
      </x:c>
      <x:c r="Z109" s="26" t="n">
        <x:f>IF(OR(B109="s3",B109="s6"),COUNTIFS($B$6:$B$151,B109,$K$6:$K$151,"&gt;"&amp;K109)+(COUNTIFS($B$6:$B$151,B109,$K$6:$K$151,K109)+1)/2,"NA")</x:f>
        <x:v>60</x:v>
      </x:c>
      <x:c r="AA109" s="26" t="n">
        <x:f>IF(OR(B109="s3",B109="s6"),COUNTIFS($B$6:$B$151,B109,$M$6:$M$151,"&gt;"&amp;M109)+(COUNTIFS($B$6:$B$151,B109,$M$6:$M$151,M109)+1)/2,"NA")</x:f>
        <x:v>98</x:v>
      </x:c>
      <x:c r="AB109" s="26" t="n">
        <x:f>IF(OR(B109="s3",B109="s6"),COUNTIFS($B$6:$B$151,B109,$O$6:$O$151,"&gt;"&amp;O109)+(COUNTIFS($B$6:$B$151,B109,$O$6:$O$151,O109)+1)/2,"NA")</x:f>
        <x:v>84</x:v>
      </x:c>
      <x:c r="AC109" s="26" t="n">
        <x:f>IF(OR(B109="s3",B109="s6"),COUNTIFS($B$6:$B$151,B109,$Q$6:$Q$151,"&gt;"&amp;Q109)+(COUNTIFS($B$6:$B$151,B109,$Q$6:$Q$151,Q109)+1)/2,"NA")</x:f>
        <x:v>98</x:v>
      </x:c>
      <x:c r="AD109" s="25" t="n">
        <x:v>54.476802349082575</x:v>
      </x:c>
      <x:c r="AE109" s="25" t="n">
        <x:v>105</x:v>
      </x:c>
      <x:c r="AF109" s="25" t="n">
        <x:v>101</x:v>
      </x:c>
      <x:c r="AG109" s="25" t="n">
        <x:v>1</x:v>
      </x:c>
    </x:row>
    <x:row r="110" ht="23" customHeight="1">
      <x:c r="A110" s="21" t="str">
        <x:v>2026春:25A071</x:v>
      </x:c>
      <x:c r="B110" s="22" t="str">
        <x:v>s3</x:v>
      </x:c>
      <x:c r="C110" s="24" t="n">
        <x:v>1</x:v>
      </x:c>
      <x:c r="D110" s="24" t="n">
        <x:v>1</x:v>
      </x:c>
      <x:c r="E110" s="29" t="n">
        <x:f>'指标计算'!S148</x:f>
        <x:v>0.5122647103070591</x:v>
      </x:c>
      <x:c r="F110" s="29" t="n">
        <x:f>'指标计算'!T148</x:f>
        <x:v>0.6839706546058866</x:v>
      </x:c>
      <x:c r="G110" s="29" t="n">
        <x:f>'指标计算'!U148</x:f>
        <x:v>0.6839706546058866</x:v>
      </x:c>
      <x:c r="H110" s="29" t="n">
        <x:f>'指标计算'!V148</x:f>
        <x:v>0.5</x:v>
      </x:c>
      <x:c r="I110" s="30" t="n">
        <x:f>IF(COUNT('总览与权重'!$H$11:$K$11)=4,ROUND(100*SUMPRODUCT(E110:H110,'总览与权重'!$H$11:$K$11),12),"NA")</x:f>
        <x:v>57.726767493447</x:v>
      </x:c>
      <x:c r="J110" s="30" t="n">
        <x:f>IF(ISNUMBER(I110),COUNTIFS($I$6:$I$151,"&gt;"&amp;I110)+(COUNTIFS($I$6:$I$151,I110)+1)/2,"NA")</x:f>
        <x:v>105</x:v>
      </x:c>
      <x:c r="K110" s="30" t="n">
        <x:f>IF(COUNT('总览与权重'!$H$12:$K$12)=4,ROUND(100*SUMPRODUCT(E110:H110,'总览与权重'!$H$12:$K$12),12),"NA")</x:f>
        <x:v>61.283533482494</x:v>
      </x:c>
      <x:c r="L110" s="30" t="n">
        <x:f>IF(ISNUMBER(K110),COUNTIFS($K$6:$K$151,"&gt;"&amp;K110)+(COUNTIFS($K$6:$K$151,K110)+1)/2,"NA")</x:f>
        <x:v>52</x:v>
      </x:c>
      <x:c r="M110" s="30" t="n">
        <x:f>IF(COUNT('总览与权重'!$H$13:$K$13)=4,ROUND(100*SUMPRODUCT(E110:H110,'总览与权重'!$H$13:$K$13),12),"NA")</x:f>
        <x:v>57.665443941912</x:v>
      </x:c>
      <x:c r="N110" s="30" t="n">
        <x:f>IF(ISNUMBER(M110),COUNTIFS($M$6:$M$151,"&gt;"&amp;M110)+(COUNTIFS($M$6:$M$151,M110)+1)/2,"NA")</x:f>
        <x:v>105</x:v>
      </x:c>
      <x:c r="O110" s="30" t="n">
        <x:f>IF(COUNT('总览与权重'!$H$14:$K$14)=4,ROUND(100*SUMPRODUCT(E110:H110,'总览与权重'!$H$14:$K$14),12),"NA")</x:f>
        <x:v>62.830062688515</x:v>
      </x:c>
      <x:c r="P110" s="30" t="n">
        <x:f>IF(ISNUMBER(O110),COUNTIFS($O$6:$O$151,"&gt;"&amp;O110)+(COUNTIFS($O$6:$O$151,O110)+1)/2,"NA")</x:f>
        <x:v>64</x:v>
      </x:c>
      <x:c r="Q110" s="30" t="n">
        <x:f>IF(COUNT('总览与权重'!$H$15:$K$15)=4,ROUND(100*SUMPRODUCT(E110:H110,'总览与权重'!$H$15:$K$15),12),"NA")</x:f>
        <x:v>56.854089094395</x:v>
      </x:c>
      <x:c r="R110" s="30" t="n">
        <x:f>IF(ISNUMBER(Q110),COUNTIFS($Q$6:$Q$151,"&gt;"&amp;Q110)+(COUNTIFS($Q$6:$Q$151,Q110)+1)/2,"NA")</x:f>
        <x:v>108</x:v>
      </x:c>
      <x:c r="S110" s="31" t="n">
        <x:f>IF(OR(B110="s3",B110="s6"),COUNTIFS($B$6:$B$151,B110,$I$6:$I$151,"&gt;"&amp;I110)+(COUNTIFS($B$6:$B$151,B110,$I$6:$I$151,I110)+1)/2,"NA")</x:f>
        <x:v>101</x:v>
      </x:c>
      <x:c r="T110" s="26" t="str">
        <x:f>IF(COUNTIFS($I$6:$I$151,"&gt;"&amp;I110)&gt;=30,"非前20%",IF(COUNTIFS($I$6:$I$151,"&gt;="&amp;I110)&gt;=30,"边界同分","严格前20%"))</x:f>
        <x:v>非前20%</x:v>
      </x:c>
      <x:c r="U110" s="26" t="str">
        <x:f>IF(COUNTIFS($I$6:$I$151,"&lt;"&amp;I110)&gt;=30,"非后20%",IF(COUNTIFS($I$6:$I$151,"&lt;="&amp;I110)&gt;=30,"边界同分","严格后20%"))</x:f>
        <x:v>非后20%</x:v>
      </x:c>
      <x:c r="V110" s="22" t="n">
        <x:f>'指标计算'!P148</x:f>
        <x:v>0.29435304736941864</x:v>
      </x:c>
      <x:c r="W110" s="22" t="n">
        <x:f>'指标计算'!Q148</x:f>
        <x:v>0.36794130921177326</x:v>
      </x:c>
      <x:c r="X110" s="22" t="str">
        <x:v>["S0868"]</x:v>
      </x:c>
      <x:c r="Y110" s="22" t="str">
        <x:v>evidence/student_evidence.jsonl；student_key=2026春:25A071</x:v>
      </x:c>
      <x:c r="Z110" s="26" t="n">
        <x:f>IF(OR(B110="s3",B110="s6"),COUNTIFS($B$6:$B$151,B110,$K$6:$K$151,"&gt;"&amp;K110)+(COUNTIFS($B$6:$B$151,B110,$K$6:$K$151,K110)+1)/2,"NA")</x:f>
        <x:v>49</x:v>
      </x:c>
      <x:c r="AA110" s="26" t="n">
        <x:f>IF(OR(B110="s3",B110="s6"),COUNTIFS($B$6:$B$151,B110,$M$6:$M$151,"&gt;"&amp;M110)+(COUNTIFS($B$6:$B$151,B110,$M$6:$M$151,M110)+1)/2,"NA")</x:f>
        <x:v>101</x:v>
      </x:c>
      <x:c r="AB110" s="26" t="n">
        <x:f>IF(OR(B110="s3",B110="s6"),COUNTIFS($B$6:$B$151,B110,$O$6:$O$151,"&gt;"&amp;O110)+(COUNTIFS($B$6:$B$151,B110,$O$6:$O$151,O110)+1)/2,"NA")</x:f>
        <x:v>61</x:v>
      </x:c>
      <x:c r="AC110" s="26" t="n">
        <x:f>IF(OR(B110="s3",B110="s6"),COUNTIFS($B$6:$B$151,B110,$Q$6:$Q$151,"&gt;"&amp;Q110)+(COUNTIFS($B$6:$B$151,B110,$Q$6:$Q$151,Q110)+1)/2,"NA")</x:f>
        <x:v>103</x:v>
      </x:c>
      <x:c r="AD110" s="25" t="n">
        <x:v>55.556334686762355</x:v>
      </x:c>
      <x:c r="AE110" s="25" t="n">
        <x:v>103</x:v>
      </x:c>
      <x:c r="AF110" s="25" t="n">
        <x:v>99</x:v>
      </x:c>
      <x:c r="AG110" s="25" t="n">
        <x:v>-2</x:v>
      </x:c>
    </x:row>
    <x:row r="111" ht="23" customHeight="1">
      <x:c r="A111" s="21" t="str">
        <x:v>2025秋:258932</x:v>
      </x:c>
      <x:c r="B111" s="22" t="str">
        <x:v>s3</x:v>
      </x:c>
      <x:c r="C111" s="24" t="n">
        <x:v>2</x:v>
      </x:c>
      <x:c r="D111" s="24" t="n">
        <x:v>2</x:v>
      </x:c>
      <x:c r="E111" s="29" t="n">
        <x:f>'指标计算'!S46</x:f>
        <x:v>0.5018243708610529</x:v>
      </x:c>
      <x:c r="F111" s="29" t="n">
        <x:f>'指标计算'!T46</x:f>
        <x:v>0.5121624724070194</x:v>
      </x:c>
      <x:c r="G111" s="29" t="n">
        <x:f>'指标计算'!U46</x:f>
        <x:v>0.6128680171383497</x:v>
      </x:c>
      <x:c r="H111" s="29" t="n">
        <x:f>'指标计算'!V46</x:f>
        <x:v>0.6666666666666666</x:v>
      </x:c>
      <x:c r="I111" s="30" t="n">
        <x:f>IF(COUNT('总览与权重'!$H$11:$K$11)=4,ROUND(100*SUMPRODUCT(E111:H111,'总览与权重'!$H$11:$K$11),12),"NA")</x:f>
        <x:v>57.051813193082</x:v>
      </x:c>
      <x:c r="J111" s="30" t="n">
        <x:f>IF(ISNUMBER(I111),COUNTIFS($I$6:$I$151,"&gt;"&amp;I111)+(COUNTIFS($I$6:$I$151,I111)+1)/2,"NA")</x:f>
        <x:v>106</x:v>
      </x:c>
      <x:c r="K111" s="30" t="n">
        <x:f>IF(COUNT('总览与权重'!$H$12:$K$12)=4,ROUND(100*SUMPRODUCT(E111:H111,'总览与权重'!$H$12:$K$12),12),"NA")</x:f>
        <x:v>58.127790884229</x:v>
      </x:c>
      <x:c r="L111" s="30" t="n">
        <x:f>IF(ISNUMBER(K111),COUNTIFS($K$6:$K$151,"&gt;"&amp;K111)+(COUNTIFS($K$6:$K$151,K111)+1)/2,"NA")</x:f>
        <x:v>68</x:v>
      </x:c>
      <x:c r="M111" s="30" t="n">
        <x:f>IF(COUNT('总览与权重'!$H$13:$K$13)=4,ROUND(100*SUMPRODUCT(E111:H111,'总览与权重'!$H$13:$K$13),12),"NA")</x:f>
        <x:v>57.372496948454</x:v>
      </x:c>
      <x:c r="N111" s="30" t="n">
        <x:f>IF(ISNUMBER(M111),COUNTIFS($M$6:$M$151,"&gt;"&amp;M111)+(COUNTIFS($M$6:$M$151,M111)+1)/2,"NA")</x:f>
        <x:v>106</x:v>
      </x:c>
      <x:c r="O111" s="30" t="n">
        <x:f>IF(COUNT('总览与权重'!$H$14:$K$14)=4,ROUND(100*SUMPRODUCT(E111:H111,'总览与权重'!$H$14:$K$14),12),"NA")</x:f>
        <x:v>59.374687762044</x:v>
      </x:c>
      <x:c r="P111" s="30" t="n">
        <x:f>IF(ISNUMBER(O111),COUNTIFS($O$6:$O$151,"&gt;"&amp;O111)+(COUNTIFS($O$6:$O$151,O111)+1)/2,"NA")</x:f>
        <x:v>106</x:v>
      </x:c>
      <x:c r="Q111" s="30" t="n">
        <x:f>IF(COUNT('总览与权重'!$H$15:$K$15)=4,ROUND(100*SUMPRODUCT(E111:H111,'总览与权重'!$H$15:$K$15),12),"NA")</x:f>
        <x:v>62.771138304871</x:v>
      </x:c>
      <x:c r="R111" s="30" t="n">
        <x:f>IF(ISNUMBER(Q111),COUNTIFS($Q$6:$Q$151,"&gt;"&amp;Q111)+(COUNTIFS($Q$6:$Q$151,Q111)+1)/2,"NA")</x:f>
        <x:v>102</x:v>
      </x:c>
      <x:c r="S111" s="31" t="n">
        <x:f>IF(OR(B111="s3",B111="s6"),COUNTIFS($B$6:$B$151,B111,$I$6:$I$151,"&gt;"&amp;I111)+(COUNTIFS($B$6:$B$151,B111,$I$6:$I$151,I111)+1)/2,"NA")</x:f>
        <x:v>102</x:v>
      </x:c>
      <x:c r="T111" s="26" t="str">
        <x:f>IF(COUNTIFS($I$6:$I$151,"&gt;"&amp;I111)&gt;=30,"非前20%",IF(COUNTIFS($I$6:$I$151,"&gt;="&amp;I111)&gt;=30,"边界同分","严格前20%"))</x:f>
        <x:v>非前20%</x:v>
      </x:c>
      <x:c r="U111" s="26" t="str">
        <x:f>IF(COUNTIFS($I$6:$I$151,"&lt;"&amp;I111)&gt;=30,"非后20%",IF(COUNTIFS($I$6:$I$151,"&lt;="&amp;I111)&gt;=30,"边界同分","严格后20%"))</x:f>
        <x:v>非后20%</x:v>
      </x:c>
      <x:c r="V111" s="22" t="n">
        <x:f>'指标计算'!P46</x:f>
        <x:v>0.04378490066526988</x:v>
      </x:c>
      <x:c r="W111" s="22" t="n">
        <x:f>'指标计算'!Q46</x:f>
        <x:v>0.024324944814038824</x:v>
      </x:c>
      <x:c r="X111" s="22" t="str">
        <x:v>["S0059","S0409"]</x:v>
      </x:c>
      <x:c r="Y111" s="22" t="str">
        <x:v>evidence/student_evidence.jsonl；student_key=2025秋:258932</x:v>
      </x:c>
      <x:c r="Z111" s="26" t="n">
        <x:f>IF(OR(B111="s3",B111="s6"),COUNTIFS($B$6:$B$151,B111,$K$6:$K$151,"&gt;"&amp;K111)+(COUNTIFS($B$6:$B$151,B111,$K$6:$K$151,K111)+1)/2,"NA")</x:f>
        <x:v>65</x:v>
      </x:c>
      <x:c r="AA111" s="26" t="n">
        <x:f>IF(OR(B111="s3",B111="s6"),COUNTIFS($B$6:$B$151,B111,$M$6:$M$151,"&gt;"&amp;M111)+(COUNTIFS($B$6:$B$151,B111,$M$6:$M$151,M111)+1)/2,"NA")</x:f>
        <x:v>102</x:v>
      </x:c>
      <x:c r="AB111" s="26" t="n">
        <x:f>IF(OR(B111="s3",B111="s6"),COUNTIFS($B$6:$B$151,B111,$O$6:$O$151,"&gt;"&amp;O111)+(COUNTIFS($B$6:$B$151,B111,$O$6:$O$151,O111)+1)/2,"NA")</x:f>
        <x:v>102</x:v>
      </x:c>
      <x:c r="AC111" s="26" t="n">
        <x:f>IF(OR(B111="s3",B111="s6"),COUNTIFS($B$6:$B$151,B111,$Q$6:$Q$151,"&gt;"&amp;Q111)+(COUNTIFS($B$6:$B$151,B111,$Q$6:$Q$151,Q111)+1)/2,"NA")</x:f>
        <x:v>99</x:v>
      </x:c>
      <x:c r="AD111" s="25" t="n">
        <x:v>54.38060286638873</x:v>
      </x:c>
      <x:c r="AE111" s="25" t="n">
        <x:v>106</x:v>
      </x:c>
      <x:c r="AF111" s="25" t="n">
        <x:v>102</x:v>
      </x:c>
      <x:c r="AG111" s="25" t="n">
        <x:v>0</x:v>
      </x:c>
    </x:row>
    <x:row r="112" ht="23" customHeight="1">
      <x:c r="A112" s="21" t="str">
        <x:v>2025秋:259039</x:v>
      </x:c>
      <x:c r="B112" s="22" t="str">
        <x:v>s3</x:v>
      </x:c>
      <x:c r="C112" s="24" t="n">
        <x:v>1</x:v>
      </x:c>
      <x:c r="D112" s="24" t="n">
        <x:v>1</x:v>
      </x:c>
      <x:c r="E112" s="29" t="n">
        <x:f>'指标计算'!S67</x:f>
        <x:v>0.510210503771432</x:v>
      </x:c>
      <x:c r="F112" s="29" t="n">
        <x:f>'指标计算'!T67</x:f>
        <x:v>0.6225260452571836</x:v>
      </x:c>
      <x:c r="G112" s="29" t="n">
        <x:f>'指标计算'!U67</x:f>
        <x:v>0.6225260452571836</x:v>
      </x:c>
      <x:c r="H112" s="29" t="n">
        <x:f>'指标计算'!V67</x:f>
        <x:v>0.5</x:v>
      </x:c>
      <x:c r="I112" s="30" t="n">
        <x:f>IF(COUNT('总览与权重'!$H$11:$K$11)=4,ROUND(100*SUMPRODUCT(E112:H112,'总览与权重'!$H$11:$K$11),12),"NA")</x:f>
        <x:v>55.20735692343</x:v>
      </x:c>
      <x:c r="J112" s="30" t="n">
        <x:f>IF(ISNUMBER(I112),COUNTIFS($I$6:$I$151,"&gt;"&amp;I112)+(COUNTIFS($I$6:$I$151,I112)+1)/2,"NA")</x:f>
        <x:v>107</x:v>
      </x:c>
      <x:c r="K112" s="30" t="n">
        <x:f>IF(COUNT('总览与权重'!$H$12:$K$12)=4,ROUND(100*SUMPRODUCT(E112:H112,'总览与权重'!$H$12:$K$12),12),"NA")</x:f>
        <x:v>57.55577279086</x:v>
      </x:c>
      <x:c r="L112" s="30" t="n">
        <x:f>IF(ISNUMBER(K112),COUNTIFS($K$6:$K$151,"&gt;"&amp;K112)+(COUNTIFS($K$6:$K$151,K112)+1)/2,"NA")</x:f>
        <x:v>72</x:v>
      </x:c>
      <x:c r="M112" s="30" t="n">
        <x:f>IF(COUNT('总览与权重'!$H$13:$K$13)=4,ROUND(100*SUMPRODUCT(E112:H112,'总览与权重'!$H$13:$K$13),12),"NA")</x:f>
        <x:v>55.156304404573</x:v>
      </x:c>
      <x:c r="N112" s="30" t="n">
        <x:f>IF(ISNUMBER(M112),COUNTIFS($M$6:$M$151,"&gt;"&amp;M112)+(COUNTIFS($M$6:$M$151,M112)+1)/2,"NA")</x:f>
        <x:v>108</x:v>
      </x:c>
      <x:c r="O112" s="30" t="n">
        <x:f>IF(COUNT('总览与权重'!$H$14:$K$14)=4,ROUND(100*SUMPRODUCT(E112:H112,'总览与权重'!$H$14:$K$14),12),"NA")</x:f>
        <x:v>58.545502061832</x:v>
      </x:c>
      <x:c r="P112" s="30" t="n">
        <x:f>IF(ISNUMBER(O112),COUNTIFS($O$6:$O$151,"&gt;"&amp;O112)+(COUNTIFS($O$6:$O$151,O112)+1)/2,"NA")</x:f>
        <x:v>107</x:v>
      </x:c>
      <x:c r="Q112" s="30" t="n">
        <x:f>IF(COUNT('总览与权重'!$H$15:$K$15)=4,ROUND(100*SUMPRODUCT(E112:H112,'总览与权重'!$H$15:$K$15),12),"NA")</x:f>
        <x:v>54.565186773449</x:v>
      </x:c>
      <x:c r="R112" s="30" t="n">
        <x:f>IF(ISNUMBER(Q112),COUNTIFS($Q$6:$Q$151,"&gt;"&amp;Q112)+(COUNTIFS($Q$6:$Q$151,Q112)+1)/2,"NA")</x:f>
        <x:v>109</x:v>
      </x:c>
      <x:c r="S112" s="31" t="n">
        <x:f>IF(OR(B112="s3",B112="s6"),COUNTIFS($B$6:$B$151,B112,$I$6:$I$151,"&gt;"&amp;I112)+(COUNTIFS($B$6:$B$151,B112,$I$6:$I$151,I112)+1)/2,"NA")</x:f>
        <x:v>103</x:v>
      </x:c>
      <x:c r="T112" s="26" t="str">
        <x:f>IF(COUNTIFS($I$6:$I$151,"&gt;"&amp;I112)&gt;=30,"非前20%",IF(COUNTIFS($I$6:$I$151,"&gt;="&amp;I112)&gt;=30,"边界同分","严格前20%"))</x:f>
        <x:v>非前20%</x:v>
      </x:c>
      <x:c r="U112" s="26" t="str">
        <x:f>IF(COUNTIFS($I$6:$I$151,"&lt;"&amp;I112)&gt;=30,"非后20%",IF(COUNTIFS($I$6:$I$151,"&lt;="&amp;I112)&gt;=30,"边界同分","严格后20%"))</x:f>
        <x:v>非后20%</x:v>
      </x:c>
      <x:c r="V112" s="22" t="n">
        <x:f>'指标计算'!P67</x:f>
        <x:v>0.24505209051436724</x:v>
      </x:c>
      <x:c r="W112" s="22" t="n">
        <x:f>'指标计算'!Q67</x:f>
        <x:v>0.24505209051436724</x:v>
      </x:c>
      <x:c r="X112" s="22" t="str">
        <x:v>["S0017"]</x:v>
      </x:c>
      <x:c r="Y112" s="22" t="str">
        <x:v>evidence/student_evidence.jsonl；student_key=2025秋:259039</x:v>
      </x:c>
      <x:c r="Z112" s="26" t="n">
        <x:f>IF(OR(B112="s3",B112="s6"),COUNTIFS($B$6:$B$151,B112,$K$6:$K$151,"&gt;"&amp;K112)+(COUNTIFS($B$6:$B$151,B112,$K$6:$K$151,K112)+1)/2,"NA")</x:f>
        <x:v>69</x:v>
      </x:c>
      <x:c r="AA112" s="26" t="n">
        <x:f>IF(OR(B112="s3",B112="s6"),COUNTIFS($B$6:$B$151,B112,$M$6:$M$151,"&gt;"&amp;M112)+(COUNTIFS($B$6:$B$151,B112,$M$6:$M$151,M112)+1)/2,"NA")</x:f>
        <x:v>104</x:v>
      </x:c>
      <x:c r="AB112" s="26" t="n">
        <x:f>IF(OR(B112="s3",B112="s6"),COUNTIFS($B$6:$B$151,B112,$O$6:$O$151,"&gt;"&amp;O112)+(COUNTIFS($B$6:$B$151,B112,$O$6:$O$151,O112)+1)/2,"NA")</x:f>
        <x:v>103</x:v>
      </x:c>
      <x:c r="AC112" s="26" t="n">
        <x:f>IF(OR(B112="s3",B112="s6"),COUNTIFS($B$6:$B$151,B112,$Q$6:$Q$151,"&gt;"&amp;Q112)+(COUNTIFS($B$6:$B$151,B112,$Q$6:$Q$151,Q112)+1)/2,"NA")</x:f>
        <x:v>104</x:v>
      </x:c>
      <x:c r="AD112" s="25" t="n">
        <x:v>52.04682858635156</x:v>
      </x:c>
      <x:c r="AE112" s="25" t="n">
        <x:v>109</x:v>
      </x:c>
      <x:c r="AF112" s="25" t="n">
        <x:v>105</x:v>
      </x:c>
      <x:c r="AG112" s="25" t="n">
        <x:v>2</x:v>
      </x:c>
    </x:row>
    <x:row r="113" ht="23" customHeight="1">
      <x:c r="A113" s="21" t="str">
        <x:v>2025秋:259403</x:v>
      </x:c>
      <x:c r="B113" s="22" t="str">
        <x:v>s3</x:v>
      </x:c>
      <x:c r="C113" s="24" t="n">
        <x:v>1</x:v>
      </x:c>
      <x:c r="D113" s="24" t="n">
        <x:v>1</x:v>
      </x:c>
      <x:c r="E113" s="29" t="n">
        <x:f>'指标计算'!S97</x:f>
        <x:v>0.5101240724484921</x:v>
      </x:c>
      <x:c r="F113" s="29" t="n">
        <x:f>'指标计算'!T97</x:f>
        <x:v>0.6214888693819057</x:v>
      </x:c>
      <x:c r="G113" s="29" t="n">
        <x:f>'指标计算'!U97</x:f>
        <x:v>0.6214888693819057</x:v>
      </x:c>
      <x:c r="H113" s="29" t="n">
        <x:f>'指标计算'!V97</x:f>
        <x:v>0.5</x:v>
      </x:c>
      <x:c r="I113" s="30" t="n">
        <x:f>IF(COUNT('总览与权重'!$H$11:$K$11)=4,ROUND(100*SUMPRODUCT(E113:H113,'总览与权重'!$H$11:$K$11),12),"NA")</x:f>
        <x:v>55.163276948731</x:v>
      </x:c>
      <x:c r="J113" s="30" t="n">
        <x:f>IF(ISNUMBER(I113),COUNTIFS($I$6:$I$151,"&gt;"&amp;I113)+(COUNTIFS($I$6:$I$151,I113)+1)/2,"NA")</x:f>
        <x:v>108</x:v>
      </x:c>
      <x:c r="K113" s="30" t="n">
        <x:f>IF(COUNT('总览与权重'!$H$12:$K$12)=4,ROUND(100*SUMPRODUCT(E113:H113,'总览与权重'!$H$12:$K$12),12),"NA")</x:f>
        <x:v>57.491813611884</x:v>
      </x:c>
      <x:c r="L113" s="30" t="n">
        <x:f>IF(ISNUMBER(K113),COUNTIFS($K$6:$K$151,"&gt;"&amp;K113)+(COUNTIFS($K$6:$K$151,K113)+1)/2,"NA")</x:f>
        <x:v>73</x:v>
      </x:c>
      <x:c r="M113" s="30" t="n">
        <x:f>IF(COUNT('总览与权重'!$H$13:$K$13)=4,ROUND(100*SUMPRODUCT(E113:H113,'总览与权重'!$H$13:$K$13),12),"NA")</x:f>
        <x:v>55.112656586489</x:v>
      </x:c>
      <x:c r="N113" s="30" t="n">
        <x:f>IF(ISNUMBER(M113),COUNTIFS($M$6:$M$151,"&gt;"&amp;M113)+(COUNTIFS($M$6:$M$151,M113)+1)/2,"NA")</x:f>
        <x:v>109</x:v>
      </x:c>
      <x:c r="O113" s="30" t="n">
        <x:f>IF(COUNT('总览与权重'!$H$14:$K$14)=4,ROUND(100*SUMPRODUCT(E113:H113,'总览与权重'!$H$14:$K$14),12),"NA")</x:f>
        <x:v>58.473164881911</x:v>
      </x:c>
      <x:c r="P113" s="30" t="n">
        <x:f>IF(ISNUMBER(O113),COUNTIFS($O$6:$O$151,"&gt;"&amp;O113)+(COUNTIFS($O$6:$O$151,O113)+1)/2,"NA")</x:f>
        <x:v>108</x:v>
      </x:c>
      <x:c r="Q113" s="30" t="n">
        <x:f>IF(COUNT('总览与权重'!$H$15:$K$15)=4,ROUND(100*SUMPRODUCT(E113:H113,'总览与权重'!$H$15:$K$15),12),"NA")</x:f>
        <x:v>54.526542731868</x:v>
      </x:c>
      <x:c r="R113" s="30" t="n">
        <x:f>IF(ISNUMBER(Q113),COUNTIFS($Q$6:$Q$151,"&gt;"&amp;Q113)+(COUNTIFS($Q$6:$Q$151,Q113)+1)/2,"NA")</x:f>
        <x:v>110</x:v>
      </x:c>
      <x:c r="S113" s="31" t="n">
        <x:f>IF(OR(B113="s3",B113="s6"),COUNTIFS($B$6:$B$151,B113,$I$6:$I$151,"&gt;"&amp;I113)+(COUNTIFS($B$6:$B$151,B113,$I$6:$I$151,I113)+1)/2,"NA")</x:f>
        <x:v>104</x:v>
      </x:c>
      <x:c r="T113" s="26" t="str">
        <x:f>IF(COUNTIFS($I$6:$I$151,"&gt;"&amp;I113)&gt;=30,"非前20%",IF(COUNTIFS($I$6:$I$151,"&gt;="&amp;I113)&gt;=30,"边界同分","严格前20%"))</x:f>
        <x:v>非前20%</x:v>
      </x:c>
      <x:c r="U113" s="26" t="str">
        <x:f>IF(COUNTIFS($I$6:$I$151,"&lt;"&amp;I113)&gt;=30,"非后20%",IF(COUNTIFS($I$6:$I$151,"&lt;="&amp;I113)&gt;=30,"边界同分","严格后20%"))</x:f>
        <x:v>非后20%</x:v>
      </x:c>
      <x:c r="V113" s="22" t="n">
        <x:f>'指标计算'!P97</x:f>
        <x:v>0.24297773876381143</x:v>
      </x:c>
      <x:c r="W113" s="22" t="n">
        <x:f>'指标计算'!Q97</x:f>
        <x:v>0.24297773876381143</x:v>
      </x:c>
      <x:c r="X113" s="22" t="str">
        <x:v>["S0382"]</x:v>
      </x:c>
      <x:c r="Y113" s="22" t="str">
        <x:v>evidence/student_evidence.jsonl；student_key=2025秋:259403</x:v>
      </x:c>
      <x:c r="Z113" s="26" t="n">
        <x:f>IF(OR(B113="s3",B113="s6"),COUNTIFS($B$6:$B$151,B113,$K$6:$K$151,"&gt;"&amp;K113)+(COUNTIFS($B$6:$B$151,B113,$K$6:$K$151,K113)+1)/2,"NA")</x:f>
        <x:v>70</x:v>
      </x:c>
      <x:c r="AA113" s="26" t="n">
        <x:f>IF(OR(B113="s3",B113="s6"),COUNTIFS($B$6:$B$151,B113,$M$6:$M$151,"&gt;"&amp;M113)+(COUNTIFS($B$6:$B$151,B113,$M$6:$M$151,M113)+1)/2,"NA")</x:f>
        <x:v>105</x:v>
      </x:c>
      <x:c r="AB113" s="26" t="n">
        <x:f>IF(OR(B113="s3",B113="s6"),COUNTIFS($B$6:$B$151,B113,$O$6:$O$151,"&gt;"&amp;O113)+(COUNTIFS($B$6:$B$151,B113,$O$6:$O$151,O113)+1)/2,"NA")</x:f>
        <x:v>104</x:v>
      </x:c>
      <x:c r="AC113" s="26" t="n">
        <x:f>IF(OR(B113="s3",B113="s6"),COUNTIFS($B$6:$B$151,B113,$Q$6:$Q$151,"&gt;"&amp;Q113)+(COUNTIFS($B$6:$B$151,B113,$Q$6:$Q$151,Q113)+1)/2,"NA")</x:f>
        <x:v>105</x:v>
      </x:c>
      <x:c r="AD113" s="25" t="n">
        <x:v>52.00274861165225</x:v>
      </x:c>
      <x:c r="AE113" s="25" t="n">
        <x:v>110</x:v>
      </x:c>
      <x:c r="AF113" s="25" t="n">
        <x:v>106</x:v>
      </x:c>
      <x:c r="AG113" s="25" t="n">
        <x:v>2</x:v>
      </x:c>
    </x:row>
    <x:row r="114" ht="23" customHeight="1">
      <x:c r="A114" s="21" t="str">
        <x:v>2025秋:258504</x:v>
      </x:c>
      <x:c r="B114" s="22" t="str">
        <x:v>s6</x:v>
      </x:c>
      <x:c r="C114" s="24" t="n">
        <x:v>1</x:v>
      </x:c>
      <x:c r="D114" s="24" t="n">
        <x:v>1</x:v>
      </x:c>
      <x:c r="E114" s="29" t="n">
        <x:f>'指标计算'!S18</x:f>
        <x:v>0.510095238095238</x:v>
      </x:c>
      <x:c r="F114" s="29" t="n">
        <x:f>'指标计算'!T18</x:f>
        <x:v>0.6211428571428571</x:v>
      </x:c>
      <x:c r="G114" s="29" t="n">
        <x:f>'指标计算'!U18</x:f>
        <x:v>0.6211428571428571</x:v>
      </x:c>
      <x:c r="H114" s="29" t="n">
        <x:f>'指标计算'!V18</x:f>
        <x:v>0.5</x:v>
      </x:c>
      <x:c r="I114" s="30" t="n">
        <x:f>IF(COUNT('总览与权重'!$H$11:$K$11)=4,ROUND(100*SUMPRODUCT(E114:H114,'总览与权重'!$H$11:$K$11),12),"NA")</x:f>
        <x:v>55.148571428571</x:v>
      </x:c>
      <x:c r="J114" s="30" t="n">
        <x:f>IF(ISNUMBER(I114),COUNTIFS($I$6:$I$151,"&gt;"&amp;I114)+(COUNTIFS($I$6:$I$151,I114)+1)/2,"NA")</x:f>
        <x:v>109</x:v>
      </x:c>
      <x:c r="K114" s="30" t="n">
        <x:f>IF(COUNT('总览与权重'!$H$12:$K$12)=4,ROUND(100*SUMPRODUCT(E114:H114,'总览与权重'!$H$12:$K$12),12),"NA")</x:f>
        <x:v>57.470476190476</x:v>
      </x:c>
      <x:c r="L114" s="30" t="n">
        <x:f>IF(ISNUMBER(K114),COUNTIFS($K$6:$K$151,"&gt;"&amp;K114)+(COUNTIFS($K$6:$K$151,K114)+1)/2,"NA")</x:f>
        <x:v>74</x:v>
      </x:c>
      <x:c r="M114" s="30" t="n">
        <x:f>IF(COUNT('总览与权重'!$H$13:$K$13)=4,ROUND(100*SUMPRODUCT(E114:H114,'总览与权重'!$H$13:$K$13),12),"NA")</x:f>
        <x:v>55.098095238095</x:v>
      </x:c>
      <x:c r="N114" s="30" t="n">
        <x:f>IF(ISNUMBER(M114),COUNTIFS($M$6:$M$151,"&gt;"&amp;M114)+(COUNTIFS($M$6:$M$151,M114)+1)/2,"NA")</x:f>
        <x:v>110</x:v>
      </x:c>
      <x:c r="O114" s="30" t="n">
        <x:f>IF(COUNT('总览与权重'!$H$14:$K$14)=4,ROUND(100*SUMPRODUCT(E114:H114,'总览与权重'!$H$14:$K$14),12),"NA")</x:f>
        <x:v>58.449032475646</x:v>
      </x:c>
      <x:c r="P114" s="30" t="n">
        <x:f>IF(ISNUMBER(O114),COUNTIFS($O$6:$O$151,"&gt;"&amp;O114)+(COUNTIFS($O$6:$O$151,O114)+1)/2,"NA")</x:f>
        <x:v>109</x:v>
      </x:c>
      <x:c r="Q114" s="30" t="n">
        <x:f>IF(COUNT('总览与权重'!$H$15:$K$15)=4,ROUND(100*SUMPRODUCT(E114:H114,'总览与权重'!$H$15:$K$15),12),"NA")</x:f>
        <x:v>54.513650693332</x:v>
      </x:c>
      <x:c r="R114" s="30" t="n">
        <x:f>IF(ISNUMBER(Q114),COUNTIFS($Q$6:$Q$151,"&gt;"&amp;Q114)+(COUNTIFS($Q$6:$Q$151,Q114)+1)/2,"NA")</x:f>
        <x:v>111</x:v>
      </x:c>
      <x:c r="S114" s="31" t="n">
        <x:f>IF(OR(B114="s3",B114="s6"),COUNTIFS($B$6:$B$151,B114,$I$6:$I$151,"&gt;"&amp;I114)+(COUNTIFS($B$6:$B$151,B114,$I$6:$I$151,I114)+1)/2,"NA")</x:f>
        <x:v>5</x:v>
      </x:c>
      <x:c r="T114" s="26" t="str">
        <x:f>IF(COUNTIFS($I$6:$I$151,"&gt;"&amp;I114)&gt;=30,"非前20%",IF(COUNTIFS($I$6:$I$151,"&gt;="&amp;I114)&gt;=30,"边界同分","严格前20%"))</x:f>
        <x:v>非前20%</x:v>
      </x:c>
      <x:c r="U114" s="26" t="str">
        <x:f>IF(COUNTIFS($I$6:$I$151,"&lt;"&amp;I114)&gt;=30,"非后20%",IF(COUNTIFS($I$6:$I$151,"&lt;="&amp;I114)&gt;=30,"边界同分","严格后20%"))</x:f>
        <x:v>非后20%</x:v>
      </x:c>
      <x:c r="V114" s="22" t="n">
        <x:f>'指标计算'!P18</x:f>
        <x:v>0.2422857142857143</x:v>
      </x:c>
      <x:c r="W114" s="22" t="n">
        <x:f>'指标计算'!Q18</x:f>
        <x:v>0.2422857142857143</x:v>
      </x:c>
      <x:c r="X114" s="22" t="str">
        <x:v>["S0508"]</x:v>
      </x:c>
      <x:c r="Y114" s="22" t="str">
        <x:v>evidence/student_evidence.jsonl；student_key=2025秋:258504</x:v>
      </x:c>
      <x:c r="Z114" s="26" t="n">
        <x:f>IF(OR(B114="s3",B114="s6"),COUNTIFS($B$6:$B$151,B114,$K$6:$K$151,"&gt;"&amp;K114)+(COUNTIFS($B$6:$B$151,B114,$K$6:$K$151,K114)+1)/2,"NA")</x:f>
        <x:v>4</x:v>
      </x:c>
      <x:c r="AA114" s="26" t="n">
        <x:f>IF(OR(B114="s3",B114="s6"),COUNTIFS($B$6:$B$151,B114,$M$6:$M$151,"&gt;"&amp;M114)+(COUNTIFS($B$6:$B$151,B114,$M$6:$M$151,M114)+1)/2,"NA")</x:f>
        <x:v>5</x:v>
      </x:c>
      <x:c r="AB114" s="26" t="n">
        <x:f>IF(OR(B114="s3",B114="s6"),COUNTIFS($B$6:$B$151,B114,$O$6:$O$151,"&gt;"&amp;O114)+(COUNTIFS($B$6:$B$151,B114,$O$6:$O$151,O114)+1)/2,"NA")</x:f>
        <x:v>5</x:v>
      </x:c>
      <x:c r="AC114" s="26" t="n">
        <x:f>IF(OR(B114="s3",B114="s6"),COUNTIFS($B$6:$B$151,B114,$Q$6:$Q$151,"&gt;"&amp;Q114)+(COUNTIFS($B$6:$B$151,B114,$Q$6:$Q$151,Q114)+1)/2,"NA")</x:f>
        <x:v>6</x:v>
      </x:c>
      <x:c r="AD114" s="25" t="n">
        <x:v>51.50571428571429</x:v>
      </x:c>
      <x:c r="AE114" s="25" t="n">
        <x:v>113</x:v>
      </x:c>
      <x:c r="AF114" s="25" t="n">
        <x:v>5</x:v>
      </x:c>
      <x:c r="AG114" s="25" t="n">
        <x:v>4</x:v>
      </x:c>
    </x:row>
    <x:row r="115" ht="23" customHeight="1">
      <x:c r="A115" s="21" t="str">
        <x:v>2025秋:258976</x:v>
      </x:c>
      <x:c r="B115" s="22" t="str">
        <x:v>s3</x:v>
      </x:c>
      <x:c r="C115" s="24" t="n">
        <x:v>1</x:v>
      </x:c>
      <x:c r="D115" s="24" t="n">
        <x:v>1</x:v>
      </x:c>
      <x:c r="E115" s="29" t="n">
        <x:f>'指标计算'!S56</x:f>
        <x:v>0.5096483650602127</x:v>
      </x:c>
      <x:c r="F115" s="29" t="n">
        <x:f>'指标计算'!T56</x:f>
        <x:v>0.6157803807225525</x:v>
      </x:c>
      <x:c r="G115" s="29" t="n">
        <x:f>'指标计算'!U56</x:f>
        <x:v>0.6157803807225525</x:v>
      </x:c>
      <x:c r="H115" s="29" t="n">
        <x:f>'指标计算'!V56</x:f>
        <x:v>0.5</x:v>
      </x:c>
      <x:c r="I115" s="30" t="n">
        <x:f>IF(COUNT('总览与权重'!$H$11:$K$11)=4,ROUND(100*SUMPRODUCT(E115:H115,'总览与权重'!$H$11:$K$11),12),"NA")</x:f>
        <x:v>54.920666180708</x:v>
      </x:c>
      <x:c r="J115" s="30" t="n">
        <x:f>IF(ISNUMBER(I115),COUNTIFS($I$6:$I$151,"&gt;"&amp;I115)+(COUNTIFS($I$6:$I$151,I115)+1)/2,"NA")</x:f>
        <x:v>110</x:v>
      </x:c>
      <x:c r="K115" s="30" t="n">
        <x:f>IF(COUNT('总览与权重'!$H$12:$K$12)=4,ROUND(100*SUMPRODUCT(E115:H115,'总览与权重'!$H$12:$K$12),12),"NA")</x:f>
        <x:v>57.139790144557</x:v>
      </x:c>
      <x:c r="L115" s="30" t="n">
        <x:f>IF(ISNUMBER(K115),COUNTIFS($K$6:$K$151,"&gt;"&amp;K115)+(COUNTIFS($K$6:$K$151,K115)+1)/2,"NA")</x:f>
        <x:v>77</x:v>
      </x:c>
      <x:c r="M115" s="30" t="n">
        <x:f>IF(COUNT('总览与权重'!$H$13:$K$13)=4,ROUND(100*SUMPRODUCT(E115:H115,'总览与权重'!$H$13:$K$13),12),"NA")</x:f>
        <x:v>54.872424355407</x:v>
      </x:c>
      <x:c r="N115" s="30" t="n">
        <x:f>IF(ISNUMBER(M115),COUNTIFS($M$6:$M$151,"&gt;"&amp;M115)+(COUNTIFS($M$6:$M$151,M115)+1)/2,"NA")</x:f>
        <x:v>111</x:v>
      </x:c>
      <x:c r="O115" s="30" t="n">
        <x:f>IF(COUNT('总览与权重'!$H$14:$K$14)=4,ROUND(100*SUMPRODUCT(E115:H115,'总览与权重'!$H$14:$K$14),12),"NA")</x:f>
        <x:v>58.075029926147</x:v>
      </x:c>
      <x:c r="P115" s="30" t="n">
        <x:f>IF(ISNUMBER(O115),COUNTIFS($O$6:$O$151,"&gt;"&amp;O115)+(COUNTIFS($O$6:$O$151,O115)+1)/2,"NA")</x:f>
        <x:v>110</x:v>
      </x:c>
      <x:c r="Q115" s="30" t="n">
        <x:f>IF(COUNT('总览与权重'!$H$15:$K$15)=4,ROUND(100*SUMPRODUCT(E115:H115,'总览与权重'!$H$15:$K$15),12),"NA")</x:f>
        <x:v>54.313850672239</x:v>
      </x:c>
      <x:c r="R115" s="30" t="n">
        <x:f>IF(ISNUMBER(Q115),COUNTIFS($Q$6:$Q$151,"&gt;"&amp;Q115)+(COUNTIFS($Q$6:$Q$151,Q115)+1)/2,"NA")</x:f>
        <x:v>112</x:v>
      </x:c>
      <x:c r="S115" s="31" t="n">
        <x:f>IF(OR(B115="s3",B115="s6"),COUNTIFS($B$6:$B$151,B115,$I$6:$I$151,"&gt;"&amp;I115)+(COUNTIFS($B$6:$B$151,B115,$I$6:$I$151,I115)+1)/2,"NA")</x:f>
        <x:v>105</x:v>
      </x:c>
      <x:c r="T115" s="26" t="str">
        <x:f>IF(COUNTIFS($I$6:$I$151,"&gt;"&amp;I115)&gt;=30,"非前20%",IF(COUNTIFS($I$6:$I$151,"&gt;="&amp;I115)&gt;=30,"边界同分","严格前20%"))</x:f>
        <x:v>非前20%</x:v>
      </x:c>
      <x:c r="U115" s="26" t="str">
        <x:f>IF(COUNTIFS($I$6:$I$151,"&lt;"&amp;I115)&gt;=30,"非后20%",IF(COUNTIFS($I$6:$I$151,"&lt;="&amp;I115)&gt;=30,"边界同分","严格后20%"))</x:f>
        <x:v>非后20%</x:v>
      </x:c>
      <x:c r="V115" s="22" t="n">
        <x:f>'指标计算'!P56</x:f>
        <x:v>0.231560761445105</x:v>
      </x:c>
      <x:c r="W115" s="22" t="n">
        <x:f>'指标计算'!Q56</x:f>
        <x:v>0.231560761445105</x:v>
      </x:c>
      <x:c r="X115" s="22" t="str">
        <x:v>["S0486"]</x:v>
      </x:c>
      <x:c r="Y115" s="22" t="str">
        <x:v>evidence/student_evidence.jsonl；student_key=2025秋:258976</x:v>
      </x:c>
      <x:c r="Z115" s="26" t="n">
        <x:f>IF(OR(B115="s3",B115="s6"),COUNTIFS($B$6:$B$151,B115,$K$6:$K$151,"&gt;"&amp;K115)+(COUNTIFS($B$6:$B$151,B115,$K$6:$K$151,K115)+1)/2,"NA")</x:f>
        <x:v>73</x:v>
      </x:c>
      <x:c r="AA115" s="26" t="n">
        <x:f>IF(OR(B115="s3",B115="s6"),COUNTIFS($B$6:$B$151,B115,$M$6:$M$151,"&gt;"&amp;M115)+(COUNTIFS($B$6:$B$151,B115,$M$6:$M$151,M115)+1)/2,"NA")</x:f>
        <x:v>106</x:v>
      </x:c>
      <x:c r="AB115" s="26" t="n">
        <x:f>IF(OR(B115="s3",B115="s6"),COUNTIFS($B$6:$B$151,B115,$O$6:$O$151,"&gt;"&amp;O115)+(COUNTIFS($B$6:$B$151,B115,$O$6:$O$151,O115)+1)/2,"NA")</x:f>
        <x:v>105</x:v>
      </x:c>
      <x:c r="AC115" s="26" t="n">
        <x:f>IF(OR(B115="s3",B115="s6"),COUNTIFS($B$6:$B$151,B115,$Q$6:$Q$151,"&gt;"&amp;Q115)+(COUNTIFS($B$6:$B$151,B115,$Q$6:$Q$151,Q115)+1)/2,"NA")</x:f>
        <x:v>106</x:v>
      </x:c>
      <x:c r="AD115" s="25" t="n">
        <x:v>52.197779284114844</x:v>
      </x:c>
      <x:c r="AE115" s="25" t="n">
        <x:v>108</x:v>
      </x:c>
      <x:c r="AF115" s="25" t="n">
        <x:v>104</x:v>
      </x:c>
      <x:c r="AG115" s="25" t="n">
        <x:v>-2</x:v>
      </x:c>
    </x:row>
    <x:row r="116" ht="23" customHeight="1">
      <x:c r="A116" s="21" t="str">
        <x:v>2025秋:259449</x:v>
      </x:c>
      <x:c r="B116" s="22" t="str">
        <x:v>s3</x:v>
      </x:c>
      <x:c r="C116" s="24" t="n">
        <x:v>2</x:v>
      </x:c>
      <x:c r="D116" s="24" t="n">
        <x:v>2</x:v>
      </x:c>
      <x:c r="E116" s="29" t="n">
        <x:f>'指标计算'!S108</x:f>
        <x:v>0.49653031630418365</x:v>
      </x:c>
      <x:c r="F116" s="29" t="n">
        <x:f>'指标计算'!T108</x:f>
        <x:v>0.4739773722813776</x:v>
      </x:c>
      <x:c r="G116" s="29" t="n">
        <x:f>'指标计算'!U108</x:f>
        <x:v>0.5446332307939655</x:v>
      </x:c>
      <x:c r="H116" s="29" t="n">
        <x:f>'指标计算'!V108</x:f>
        <x:v>0.6666666666666666</x:v>
      </x:c>
      <x:c r="I116" s="30" t="n">
        <x:f>IF(COUNT('总览与权重'!$H$11:$K$11)=4,ROUND(100*SUMPRODUCT(E116:H116,'总览与权重'!$H$11:$K$11),12),"NA")</x:f>
        <x:v>54.914842258069</x:v>
      </x:c>
      <x:c r="J116" s="30" t="n">
        <x:f>IF(ISNUMBER(I116),COUNTIFS($I$6:$I$151,"&gt;"&amp;I116)+(COUNTIFS($I$6:$I$151,I116)+1)/2,"NA")</x:f>
        <x:v>111</x:v>
      </x:c>
      <x:c r="K116" s="30" t="n">
        <x:f>IF(COUNT('总览与权重'!$H$12:$K$12)=4,ROUND(100*SUMPRODUCT(E116:H116,'总览与权重'!$H$12:$K$12),12),"NA")</x:f>
        <x:v>54.528816336803</x:v>
      </x:c>
      <x:c r="L116" s="30" t="n">
        <x:f>IF(ISNUMBER(K116),COUNTIFS($K$6:$K$151,"&gt;"&amp;K116)+(COUNTIFS($K$6:$K$151,K116)+1)/2,"NA")</x:f>
        <x:v>115</x:v>
      </x:c>
      <x:c r="M116" s="30" t="n">
        <x:f>IF(COUNT('总览与权重'!$H$13:$K$13)=4,ROUND(100*SUMPRODUCT(E116:H116,'总览与权重'!$H$13:$K$13),12),"NA")</x:f>
        <x:v>55.412244717319</x:v>
      </x:c>
      <x:c r="N116" s="30" t="n">
        <x:f>IF(ISNUMBER(M116),COUNTIFS($M$6:$M$151,"&gt;"&amp;M116)+(COUNTIFS($M$6:$M$151,M116)+1)/2,"NA")</x:f>
        <x:v>107</x:v>
      </x:c>
      <x:c r="O116" s="30" t="n">
        <x:f>IF(COUNT('总览与权重'!$H$14:$K$14)=4,ROUND(100*SUMPRODUCT(E116:H116,'总览与权重'!$H$14:$K$14),12),"NA")</x:f>
        <x:v>55.658715308341</x:v>
      </x:c>
      <x:c r="P116" s="30" t="n">
        <x:f>IF(ISNUMBER(O116),COUNTIFS($O$6:$O$151,"&gt;"&amp;O116)+(COUNTIFS($O$6:$O$151,O116)+1)/2,"NA")</x:f>
        <x:v>113</x:v>
      </x:c>
      <x:c r="Q116" s="30" t="n">
        <x:f>IF(COUNT('总览与权重'!$H$15:$K$15)=4,ROUND(100*SUMPRODUCT(E116:H116,'总览与权重'!$H$15:$K$15),12),"NA")</x:f>
        <x:v>60.785987734033</x:v>
      </x:c>
      <x:c r="R116" s="30" t="n">
        <x:f>IF(ISNUMBER(Q116),COUNTIFS($Q$6:$Q$151,"&gt;"&amp;Q116)+(COUNTIFS($Q$6:$Q$151,Q116)+1)/2,"NA")</x:f>
        <x:v>104</x:v>
      </x:c>
      <x:c r="S116" s="31" t="n">
        <x:f>IF(OR(B116="s3",B116="s6"),COUNTIFS($B$6:$B$151,B116,$I$6:$I$151,"&gt;"&amp;I116)+(COUNTIFS($B$6:$B$151,B116,$I$6:$I$151,I116)+1)/2,"NA")</x:f>
        <x:v>106</x:v>
      </x:c>
      <x:c r="T116" s="26" t="str">
        <x:f>IF(COUNTIFS($I$6:$I$151,"&gt;"&amp;I116)&gt;=30,"非前20%",IF(COUNTIFS($I$6:$I$151,"&gt;="&amp;I116)&gt;=30,"边界同分","严格前20%"))</x:f>
        <x:v>非前20%</x:v>
      </x:c>
      <x:c r="U116" s="26" t="str">
        <x:f>IF(COUNTIFS($I$6:$I$151,"&lt;"&amp;I116)&gt;=30,"非后20%",IF(COUNTIFS($I$6:$I$151,"&lt;="&amp;I116)&gt;=30,"边界同分","严格后20%"))</x:f>
        <x:v>非后20%</x:v>
      </x:c>
      <x:c r="V116" s="22" t="n">
        <x:f>'指标计算'!P108</x:f>
        <x:v>-0.08327240869959167</x:v>
      </x:c>
      <x:c r="W116" s="22" t="n">
        <x:f>'指标计算'!Q108</x:f>
        <x:v>-0.05204525543724479</x:v>
      </x:c>
      <x:c r="X116" s="22" t="str">
        <x:v>["S0368","S0418"]</x:v>
      </x:c>
      <x:c r="Y116" s="22" t="str">
        <x:v>evidence/student_evidence.jsonl；student_key=2025秋:259449</x:v>
      </x:c>
      <x:c r="Z116" s="26" t="n">
        <x:f>IF(OR(B116="s3",B116="s6"),COUNTIFS($B$6:$B$151,B116,$K$6:$K$151,"&gt;"&amp;K116)+(COUNTIFS($B$6:$B$151,B116,$K$6:$K$151,K116)+1)/2,"NA")</x:f>
        <x:v>110</x:v>
      </x:c>
      <x:c r="AA116" s="26" t="n">
        <x:f>IF(OR(B116="s3",B116="s6"),COUNTIFS($B$6:$B$151,B116,$M$6:$M$151,"&gt;"&amp;M116)+(COUNTIFS($B$6:$B$151,B116,$M$6:$M$151,M116)+1)/2,"NA")</x:f>
        <x:v>103</x:v>
      </x:c>
      <x:c r="AB116" s="26" t="n">
        <x:f>IF(OR(B116="s3",B116="s6"),COUNTIFS($B$6:$B$151,B116,$O$6:$O$151,"&gt;"&amp;O116)+(COUNTIFS($B$6:$B$151,B116,$O$6:$O$151,O116)+1)/2,"NA")</x:f>
        <x:v>108</x:v>
      </x:c>
      <x:c r="AC116" s="26" t="n">
        <x:f>IF(OR(B116="s3",B116="s6"),COUNTIFS($B$6:$B$151,B116,$Q$6:$Q$151,"&gt;"&amp;Q116)+(COUNTIFS($B$6:$B$151,B116,$Q$6:$Q$151,Q116)+1)/2,"NA")</x:f>
        <x:v>100</x:v>
      </x:c>
      <x:c r="AD116" s="25" t="n">
        <x:v>52.92744566201796</x:v>
      </x:c>
      <x:c r="AE116" s="25" t="n">
        <x:v>107</x:v>
      </x:c>
      <x:c r="AF116" s="25" t="n">
        <x:v>103</x:v>
      </x:c>
      <x:c r="AG116" s="25" t="n">
        <x:v>-4</x:v>
      </x:c>
    </x:row>
    <x:row r="117" ht="23" customHeight="1">
      <x:c r="A117" s="21" t="str">
        <x:v>2026春:268112</x:v>
      </x:c>
      <x:c r="B117" s="22" t="str">
        <x:v>s3</x:v>
      </x:c>
      <x:c r="C117" s="24" t="n">
        <x:v>1</x:v>
      </x:c>
      <x:c r="D117" s="24" t="n">
        <x:v>1</x:v>
      </x:c>
      <x:c r="E117" s="29" t="n">
        <x:f>'指标计算'!S149</x:f>
        <x:v>0.5092245472116846</x:v>
      </x:c>
      <x:c r="F117" s="29" t="n">
        <x:f>'指标计算'!T149</x:f>
        <x:v>0.610694566540216</x:v>
      </x:c>
      <x:c r="G117" s="29" t="n">
        <x:f>'指标计算'!U149</x:f>
        <x:v>0.610694566540216</x:v>
      </x:c>
      <x:c r="H117" s="29" t="n">
        <x:f>'指标计算'!V149</x:f>
        <x:v>0.5</x:v>
      </x:c>
      <x:c r="I117" s="30" t="n">
        <x:f>IF(COUNT('总览与权重'!$H$11:$K$11)=4,ROUND(100*SUMPRODUCT(E117:H117,'总览与权重'!$H$11:$K$11),12),"NA")</x:f>
        <x:v>54.704519077959</x:v>
      </x:c>
      <x:c r="J117" s="30" t="n">
        <x:f>IF(ISNUMBER(I117),COUNTIFS($I$6:$I$151,"&gt;"&amp;I117)+(COUNTIFS($I$6:$I$151,I117)+1)/2,"NA")</x:f>
        <x:v>112</x:v>
      </x:c>
      <x:c r="K117" s="30" t="n">
        <x:f>IF(COUNT('总览与权重'!$H$12:$K$12)=4,ROUND(100*SUMPRODUCT(E117:H117,'总览与权重'!$H$12:$K$12),12),"NA")</x:f>
        <x:v>56.826164936647</x:v>
      </x:c>
      <x:c r="L117" s="30" t="n">
        <x:f>IF(ISNUMBER(K117),COUNTIFS($K$6:$K$151,"&gt;"&amp;K117)+(COUNTIFS($K$6:$K$151,K117)+1)/2,"NA")</x:f>
        <x:v>86</x:v>
      </x:c>
      <x:c r="M117" s="30" t="n">
        <x:f>IF(COUNT('总览与权重'!$H$13:$K$13)=4,ROUND(100*SUMPRODUCT(E117:H117,'总览与权重'!$H$13:$K$13),12),"NA")</x:f>
        <x:v>54.658396341901</x:v>
      </x:c>
      <x:c r="N117" s="30" t="n">
        <x:f>IF(ISNUMBER(M117),COUNTIFS($M$6:$M$151,"&gt;"&amp;M117)+(COUNTIFS($M$6:$M$151,M117)+1)/2,"NA")</x:f>
        <x:v>112</x:v>
      </x:c>
      <x:c r="O117" s="30" t="n">
        <x:f>IF(COUNT('总览与权重'!$H$14:$K$14)=4,ROUND(100*SUMPRODUCT(E117:H117,'总览与权重'!$H$14:$K$14),12),"NA")</x:f>
        <x:v>57.72032301065</x:v>
      </x:c>
      <x:c r="P117" s="30" t="n">
        <x:f>IF(ISNUMBER(O117),COUNTIFS($O$6:$O$151,"&gt;"&amp;O117)+(COUNTIFS($O$6:$O$151,O117)+1)/2,"NA")</x:f>
        <x:v>111</x:v>
      </x:c>
      <x:c r="Q117" s="30" t="n">
        <x:f>IF(COUNT('总览与权重'!$H$15:$K$15)=4,ROUND(100*SUMPRODUCT(E117:H117,'总览与权重'!$H$15:$K$15),12),"NA")</x:f>
        <x:v>54.1243587843</x:v>
      </x:c>
      <x:c r="R117" s="30" t="n">
        <x:f>IF(ISNUMBER(Q117),COUNTIFS($Q$6:$Q$151,"&gt;"&amp;Q117)+(COUNTIFS($Q$6:$Q$151,Q117)+1)/2,"NA")</x:f>
        <x:v>113</x:v>
      </x:c>
      <x:c r="S117" s="31" t="n">
        <x:f>IF(OR(B117="s3",B117="s6"),COUNTIFS($B$6:$B$151,B117,$I$6:$I$151,"&gt;"&amp;I117)+(COUNTIFS($B$6:$B$151,B117,$I$6:$I$151,I117)+1)/2,"NA")</x:f>
        <x:v>107</x:v>
      </x:c>
      <x:c r="T117" s="26" t="str">
        <x:f>IF(COUNTIFS($I$6:$I$151,"&gt;"&amp;I117)&gt;=30,"非前20%",IF(COUNTIFS($I$6:$I$151,"&gt;="&amp;I117)&gt;=30,"边界同分","严格前20%"))</x:f>
        <x:v>非前20%</x:v>
      </x:c>
      <x:c r="U117" s="26" t="str">
        <x:f>IF(COUNTIFS($I$6:$I$151,"&lt;"&amp;I117)&gt;=30,"非后20%",IF(COUNTIFS($I$6:$I$151,"&lt;="&amp;I117)&gt;=30,"边界同分","严格后20%"))</x:f>
        <x:v>非后20%</x:v>
      </x:c>
      <x:c r="V117" s="22" t="n">
        <x:f>'指标计算'!P149</x:f>
        <x:v>0.22138913308043204</x:v>
      </x:c>
      <x:c r="W117" s="22" t="n">
        <x:f>'指标计算'!Q149</x:f>
        <x:v>0.22138913308043204</x:v>
      </x:c>
      <x:c r="X117" s="22" t="str">
        <x:v>["S0889"]</x:v>
      </x:c>
      <x:c r="Y117" s="22" t="str">
        <x:v>evidence/student_evidence.jsonl；student_key=2026春:268112</x:v>
      </x:c>
      <x:c r="Z117" s="26" t="n">
        <x:f>IF(OR(B117="s3",B117="s6"),COUNTIFS($B$6:$B$151,B117,$K$6:$K$151,"&gt;"&amp;K117)+(COUNTIFS($B$6:$B$151,B117,$K$6:$K$151,K117)+1)/2,"NA")</x:f>
        <x:v>82</x:v>
      </x:c>
      <x:c r="AA117" s="26" t="n">
        <x:f>IF(OR(B117="s3",B117="s6"),COUNTIFS($B$6:$B$151,B117,$M$6:$M$151,"&gt;"&amp;M117)+(COUNTIFS($B$6:$B$151,B117,$M$6:$M$151,M117)+1)/2,"NA")</x:f>
        <x:v>107</x:v>
      </x:c>
      <x:c r="AB117" s="26" t="n">
        <x:f>IF(OR(B117="s3",B117="s6"),COUNTIFS($B$6:$B$151,B117,$O$6:$O$151,"&gt;"&amp;O117)+(COUNTIFS($B$6:$B$151,B117,$O$6:$O$151,O117)+1)/2,"NA")</x:f>
        <x:v>106</x:v>
      </x:c>
      <x:c r="AC117" s="26" t="n">
        <x:f>IF(OR(B117="s3",B117="s6"),COUNTIFS($B$6:$B$151,B117,$Q$6:$Q$151,"&gt;"&amp;Q117)+(COUNTIFS($B$6:$B$151,B117,$Q$6:$Q$151,Q117)+1)/2,"NA")</x:f>
        <x:v>107</x:v>
      </x:c>
      <x:c r="AD117" s="25" t="n">
        <x:v>51.54399074088044</x:v>
      </x:c>
      <x:c r="AE117" s="25" t="n">
        <x:v>112</x:v>
      </x:c>
      <x:c r="AF117" s="25" t="n">
        <x:v>108</x:v>
      </x:c>
      <x:c r="AG117" s="25" t="n">
        <x:v>0</x:v>
      </x:c>
    </x:row>
    <x:row r="118" ht="23" customHeight="1">
      <x:c r="A118" s="21" t="str">
        <x:v>2025秋:25A146</x:v>
      </x:c>
      <x:c r="B118" s="22" t="str">
        <x:v>s3</x:v>
      </x:c>
      <x:c r="C118" s="24" t="n">
        <x:v>1</x:v>
      </x:c>
      <x:c r="D118" s="24" t="n">
        <x:v>1</x:v>
      </x:c>
      <x:c r="E118" s="29" t="n">
        <x:f>'指标计算'!S137</x:f>
        <x:v>0.5065860614956724</x:v>
      </x:c>
      <x:c r="F118" s="29" t="n">
        <x:f>'指标计算'!T137</x:f>
        <x:v>0.5987909224350857</x:v>
      </x:c>
      <x:c r="G118" s="29" t="n">
        <x:f>'指标计算'!U137</x:f>
        <x:v>0.5987909224350857</x:v>
      </x:c>
      <x:c r="H118" s="29" t="n">
        <x:f>'指标计算'!V137</x:f>
        <x:v>0.5</x:v>
      </x:c>
      <x:c r="I118" s="30" t="n">
        <x:f>IF(COUNT('总览与权重'!$H$11:$K$11)=4,ROUND(100*SUMPRODUCT(E118:H118,'总览与权重'!$H$11:$K$11),12),"NA")</x:f>
        <x:v>54.149218742274</x:v>
      </x:c>
      <x:c r="J118" s="30" t="n">
        <x:f>IF(ISNUMBER(I118),COUNTIFS($I$6:$I$151,"&gt;"&amp;I118)+(COUNTIFS($I$6:$I$151,I118)+1)/2,"NA")</x:f>
        <x:v>113</x:v>
      </x:c>
      <x:c r="K118" s="30" t="n">
        <x:f>IF(COUNT('总览与权重'!$H$12:$K$12)=4,ROUND(100*SUMPRODUCT(E118:H118,'总览与权重'!$H$12:$K$12),12),"NA")</x:f>
        <x:v>56.059176576019</x:v>
      </x:c>
      <x:c r="L118" s="30" t="n">
        <x:f>IF(ISNUMBER(K118),COUNTIFS($K$6:$K$151,"&gt;"&amp;K118)+(COUNTIFS($K$6:$K$151,K118)+1)/2,"NA")</x:f>
        <x:v>94</x:v>
      </x:c>
      <x:c r="M118" s="30" t="n">
        <x:f>IF(COUNT('总览与权重'!$H$13:$K$13)=4,ROUND(100*SUMPRODUCT(E118:H118,'总览与权重'!$H$13:$K$13),12),"NA")</x:f>
        <x:v>54.116288434795</x:v>
      </x:c>
      <x:c r="N118" s="30" t="n">
        <x:f>IF(ISNUMBER(M118),COUNTIFS($M$6:$M$151,"&gt;"&amp;M118)+(COUNTIFS($M$6:$M$151,M118)+1)/2,"NA")</x:f>
        <x:v>113</x:v>
      </x:c>
      <x:c r="O118" s="30" t="n">
        <x:f>IF(COUNT('总览与权重'!$H$14:$K$14)=4,ROUND(100*SUMPRODUCT(E118:H118,'总览与权重'!$H$14:$K$14),12),"NA")</x:f>
        <x:v>56.88965167088</x:v>
      </x:c>
      <x:c r="P118" s="30" t="n">
        <x:f>IF(ISNUMBER(O118),COUNTIFS($O$6:$O$151,"&gt;"&amp;O118)+(COUNTIFS($O$6:$O$151,O118)+1)/2,"NA")</x:f>
        <x:v>112</x:v>
      </x:c>
      <x:c r="Q118" s="30" t="n">
        <x:f>IF(COUNT('总览与权重'!$H$15:$K$15)=4,ROUND(100*SUMPRODUCT(E118:H118,'总览与权重'!$H$15:$K$15),12),"NA")</x:f>
        <x:v>53.680596699175</x:v>
      </x:c>
      <x:c r="R118" s="30" t="n">
        <x:f>IF(ISNUMBER(Q118),COUNTIFS($Q$6:$Q$151,"&gt;"&amp;Q118)+(COUNTIFS($Q$6:$Q$151,Q118)+1)/2,"NA")</x:f>
        <x:v>114</x:v>
      </x:c>
      <x:c r="S118" s="31" t="n">
        <x:f>IF(OR(B118="s3",B118="s6"),COUNTIFS($B$6:$B$151,B118,$I$6:$I$151,"&gt;"&amp;I118)+(COUNTIFS($B$6:$B$151,B118,$I$6:$I$151,I118)+1)/2,"NA")</x:f>
        <x:v>108</x:v>
      </x:c>
      <x:c r="T118" s="26" t="str">
        <x:f>IF(COUNTIFS($I$6:$I$151,"&gt;"&amp;I118)&gt;=30,"非前20%",IF(COUNTIFS($I$6:$I$151,"&gt;="&amp;I118)&gt;=30,"边界同分","严格前20%"))</x:f>
        <x:v>非前20%</x:v>
      </x:c>
      <x:c r="U118" s="26" t="str">
        <x:f>IF(COUNTIFS($I$6:$I$151,"&lt;"&amp;I118)&gt;=30,"非后20%",IF(COUNTIFS($I$6:$I$151,"&lt;="&amp;I118)&gt;=30,"边界同分","严格后20%"))</x:f>
        <x:v>非后20%</x:v>
      </x:c>
      <x:c r="V118" s="22" t="n">
        <x:f>'指标计算'!P137</x:f>
        <x:v>0.1580654758961371</x:v>
      </x:c>
      <x:c r="W118" s="22" t="n">
        <x:f>'指标计算'!Q137</x:f>
        <x:v>0.19758184487017136</x:v>
      </x:c>
      <x:c r="X118" s="22" t="str">
        <x:v>["S0256"]</x:v>
      </x:c>
      <x:c r="Y118" s="22" t="str">
        <x:v>evidence/student_evidence.jsonl；student_key=2025秋:25A146</x:v>
      </x:c>
      <x:c r="Z118" s="26" t="n">
        <x:f>IF(OR(B118="s3",B118="s6"),COUNTIFS($B$6:$B$151,B118,$K$6:$K$151,"&gt;"&amp;K118)+(COUNTIFS($B$6:$B$151,B118,$K$6:$K$151,K118)+1)/2,"NA")</x:f>
        <x:v>90</x:v>
      </x:c>
      <x:c r="AA118" s="26" t="n">
        <x:f>IF(OR(B118="s3",B118="s6"),COUNTIFS($B$6:$B$151,B118,$M$6:$M$151,"&gt;"&amp;M118)+(COUNTIFS($B$6:$B$151,B118,$M$6:$M$151,M118)+1)/2,"NA")</x:f>
        <x:v>108</x:v>
      </x:c>
      <x:c r="AB118" s="26" t="n">
        <x:f>IF(OR(B118="s3",B118="s6"),COUNTIFS($B$6:$B$151,B118,$O$6:$O$151,"&gt;"&amp;O118)+(COUNTIFS($B$6:$B$151,B118,$O$6:$O$151,O118)+1)/2,"NA")</x:f>
        <x:v>107</x:v>
      </x:c>
      <x:c r="AC118" s="26" t="n">
        <x:f>IF(OR(B118="s3",B118="s6"),COUNTIFS($B$6:$B$151,B118,$Q$6:$Q$151,"&gt;"&amp;Q118)+(COUNTIFS($B$6:$B$151,B118,$Q$6:$Q$151,Q118)+1)/2,"NA")</x:f>
        <x:v>108</x:v>
      </x:c>
      <x:c r="AD118" s="25" t="n">
        <x:v>51.97878593558871</x:v>
      </x:c>
      <x:c r="AE118" s="25" t="n">
        <x:v>111</x:v>
      </x:c>
      <x:c r="AF118" s="25" t="n">
        <x:v>107</x:v>
      </x:c>
      <x:c r="AG118" s="25" t="n">
        <x:v>-2</x:v>
      </x:c>
    </x:row>
    <x:row r="119" ht="23" customHeight="1">
      <x:c r="A119" s="21" t="str">
        <x:v>2026春:268115</x:v>
      </x:c>
      <x:c r="B119" s="22" t="str">
        <x:v>s3</x:v>
      </x:c>
      <x:c r="C119" s="24" t="n">
        <x:v>1</x:v>
      </x:c>
      <x:c r="D119" s="24" t="n">
        <x:v>1</x:v>
      </x:c>
      <x:c r="E119" s="29" t="n">
        <x:f>'指标计算'!S150</x:f>
        <x:v>0.5101736720399471</x:v>
      </x:c>
      <x:c r="F119" s="29" t="n">
        <x:f>'指标计算'!T150</x:f>
        <x:v>0.6220840644793653</x:v>
      </x:c>
      <x:c r="G119" s="29" t="n">
        <x:f>'指标计算'!U150</x:f>
        <x:v>0.6220840644793653</x:v>
      </x:c>
      <x:c r="H119" s="29" t="n">
        <x:f>'指标计算'!V150</x:f>
        <x:v>0.4</x:v>
      </x:c>
      <x:c r="I119" s="30" t="n">
        <x:f>IF(COUNT('总览与权重'!$H$11:$K$11)=4,ROUND(100*SUMPRODUCT(E119:H119,'总览与权重'!$H$11:$K$11),12),"NA")</x:f>
        <x:v>52.188572740373</x:v>
      </x:c>
      <x:c r="J119" s="30" t="n">
        <x:f>IF(ISNUMBER(I119),COUNTIFS($I$6:$I$151,"&gt;"&amp;I119)+(COUNTIFS($I$6:$I$151,I119)+1)/2,"NA")</x:f>
        <x:v>114</x:v>
      </x:c>
      <x:c r="K119" s="30" t="n">
        <x:f>IF(COUNT('总览与权重'!$H$12:$K$12)=4,ROUND(100*SUMPRODUCT(E119:H119,'总览与权重'!$H$12:$K$12),12),"NA")</x:f>
        <x:v>55.528517309561</x:v>
      </x:c>
      <x:c r="L119" s="30" t="n">
        <x:f>IF(ISNUMBER(K119),COUNTIFS($K$6:$K$151,"&gt;"&amp;K119)+(COUNTIFS($K$6:$K$151,K119)+1)/2,"NA")</x:f>
        <x:v>112</x:v>
      </x:c>
      <x:c r="M119" s="30" t="n">
        <x:f>IF(COUNT('总览与权重'!$H$13:$K$13)=4,ROUND(100*SUMPRODUCT(E119:H119,'总览与权重'!$H$13:$K$13),12),"NA")</x:f>
        <x:v>51.637704380173</x:v>
      </x:c>
      <x:c r="N119" s="30" t="n">
        <x:f>IF(ISNUMBER(M119),COUNTIFS($M$6:$M$151,"&gt;"&amp;M119)+(COUNTIFS($M$6:$M$151,M119)+1)/2,"NA")</x:f>
        <x:v>117</x:v>
      </x:c>
      <x:c r="O119" s="30" t="n">
        <x:f>IF(COUNT('总览与权重'!$H$14:$K$14)=4,ROUND(100*SUMPRODUCT(E119:H119,'总览与权重'!$H$14:$K$14),12),"NA")</x:f>
        <x:v>55.514676390112</x:v>
      </x:c>
      <x:c r="P119" s="30" t="n">
        <x:f>IF(ISNUMBER(O119),COUNTIFS($O$6:$O$151,"&gt;"&amp;O119)+(COUNTIFS($O$6:$O$151,O119)+1)/2,"NA")</x:f>
        <x:v>114</x:v>
      </x:c>
      <x:c r="Q119" s="30" t="n">
        <x:f>IF(COUNT('总览与权重'!$H$15:$K$15)=4,ROUND(100*SUMPRODUCT(E119:H119,'总览与权重'!$H$15:$K$15),12),"NA")</x:f>
        <x:v>48.288266147267</x:v>
      </x:c>
      <x:c r="R119" s="30" t="n">
        <x:f>IF(ISNUMBER(Q119),COUNTIFS($Q$6:$Q$151,"&gt;"&amp;Q119)+(COUNTIFS($Q$6:$Q$151,Q119)+1)/2,"NA")</x:f>
        <x:v>119</x:v>
      </x:c>
      <x:c r="S119" s="31" t="n">
        <x:f>IF(OR(B119="s3",B119="s6"),COUNTIFS($B$6:$B$151,B119,$I$6:$I$151,"&gt;"&amp;I119)+(COUNTIFS($B$6:$B$151,B119,$I$6:$I$151,I119)+1)/2,"NA")</x:f>
        <x:v>109</x:v>
      </x:c>
      <x:c r="T119" s="26" t="str">
        <x:f>IF(COUNTIFS($I$6:$I$151,"&gt;"&amp;I119)&gt;=30,"非前20%",IF(COUNTIFS($I$6:$I$151,"&gt;="&amp;I119)&gt;=30,"边界同分","严格前20%"))</x:f>
        <x:v>非前20%</x:v>
      </x:c>
      <x:c r="U119" s="26" t="str">
        <x:f>IF(COUNTIFS($I$6:$I$151,"&lt;"&amp;I119)&gt;=30,"非后20%",IF(COUNTIFS($I$6:$I$151,"&lt;="&amp;I119)&gt;=30,"边界同分","严格后20%"))</x:f>
        <x:v>非后20%</x:v>
      </x:c>
      <x:c r="V119" s="22" t="n">
        <x:f>'指标计算'!P150</x:f>
        <x:v>0.24416812895873055</x:v>
      </x:c>
      <x:c r="W119" s="22" t="n">
        <x:f>'指标计算'!Q150</x:f>
        <x:v>0.24416812895873055</x:v>
      </x:c>
      <x:c r="X119" s="22" t="str">
        <x:v>["S0897"]</x:v>
      </x:c>
      <x:c r="Y119" s="22" t="str">
        <x:v>evidence/student_evidence.jsonl；student_key=2026春:268115</x:v>
      </x:c>
      <x:c r="Z119" s="26" t="n">
        <x:f>IF(OR(B119="s3",B119="s6"),COUNTIFS($B$6:$B$151,B119,$K$6:$K$151,"&gt;"&amp;K119)+(COUNTIFS($B$6:$B$151,B119,$K$6:$K$151,K119)+1)/2,"NA")</x:f>
        <x:v>108</x:v>
      </x:c>
      <x:c r="AA119" s="26" t="n">
        <x:f>IF(OR(B119="s3",B119="s6"),COUNTIFS($B$6:$B$151,B119,$M$6:$M$151,"&gt;"&amp;M119)+(COUNTIFS($B$6:$B$151,B119,$M$6:$M$151,M119)+1)/2,"NA")</x:f>
        <x:v>111</x:v>
      </x:c>
      <x:c r="AB119" s="26" t="n">
        <x:f>IF(OR(B119="s3",B119="s6"),COUNTIFS($B$6:$B$151,B119,$O$6:$O$151,"&gt;"&amp;O119)+(COUNTIFS($B$6:$B$151,B119,$O$6:$O$151,O119)+1)/2,"NA")</x:f>
        <x:v>109</x:v>
      </x:c>
      <x:c r="AC119" s="26" t="n">
        <x:f>IF(OR(B119="s3",B119="s6"),COUNTIFS($B$6:$B$151,B119,$Q$6:$Q$151,"&gt;"&amp;Q119)+(COUNTIFS($B$6:$B$151,B119,$Q$6:$Q$151,Q119)+1)/2,"NA")</x:f>
        <x:v>112</x:v>
      </x:c>
      <x:c r="AD119" s="25" t="n">
        <x:v>49.02804440329428</x:v>
      </x:c>
      <x:c r="AE119" s="25" t="n">
        <x:v>116</x:v>
      </x:c>
      <x:c r="AF119" s="25" t="n">
        <x:v>111</x:v>
      </x:c>
      <x:c r="AG119" s="25" t="n">
        <x:v>2</x:v>
      </x:c>
    </x:row>
    <x:row r="120" ht="23" customHeight="1">
      <x:c r="A120" s="21" t="str">
        <x:v>2025秋:259452</x:v>
      </x:c>
      <x:c r="B120" s="22" t="str">
        <x:v>s3</x:v>
      </x:c>
      <x:c r="C120" s="24" t="n">
        <x:v>1</x:v>
      </x:c>
      <x:c r="D120" s="24" t="n">
        <x:v>1</x:v>
      </x:c>
      <x:c r="E120" s="29" t="n">
        <x:f>'指标计算'!S109</x:f>
        <x:v>0.5023589164905254</x:v>
      </x:c>
      <x:c r="F120" s="29" t="n">
        <x:f>'指标计算'!T109</x:f>
        <x:v>0.5471783298105092</x:v>
      </x:c>
      <x:c r="G120" s="29" t="n">
        <x:f>'指标计算'!U109</x:f>
        <x:v>0.5471783298105092</x:v>
      </x:c>
      <x:c r="H120" s="29" t="n">
        <x:f>'指标计算'!V109</x:f>
        <x:v>0.5</x:v>
      </x:c>
      <x:c r="I120" s="30" t="n">
        <x:f>IF(COUNT('总览与权重'!$H$11:$K$11)=4,ROUND(100*SUMPRODUCT(E120:H120,'总览与权重'!$H$11:$K$11),12),"NA")</x:f>
        <x:v>51.957900687136</x:v>
      </x:c>
      <x:c r="J120" s="30" t="n">
        <x:f>IF(ISNUMBER(I120),COUNTIFS($I$6:$I$151,"&gt;"&amp;I120)+(COUNTIFS($I$6:$I$151,I120)+1)/2,"NA")</x:f>
        <x:v>115</x:v>
      </x:c>
      <x:c r="K120" s="30" t="n">
        <x:f>IF(COUNT('总览与权重'!$H$12:$K$12)=4,ROUND(100*SUMPRODUCT(E120:H120,'总览与权重'!$H$12:$K$12),12),"NA")</x:f>
        <x:v>52.877878118441</x:v>
      </x:c>
      <x:c r="L120" s="30" t="n">
        <x:f>IF(ISNUMBER(K120),COUNTIFS($K$6:$K$151,"&gt;"&amp;K120)+(COUNTIFS($K$6:$K$151,K120)+1)/2,"NA")</x:f>
        <x:v>123</x:v>
      </x:c>
      <x:c r="M120" s="30" t="n">
        <x:f>IF(COUNT('总览与权重'!$H$13:$K$13)=4,ROUND(100*SUMPRODUCT(E120:H120,'总览与权重'!$H$13:$K$13),12),"NA")</x:f>
        <x:v>51.946106104684</x:v>
      </x:c>
      <x:c r="N120" s="30" t="n">
        <x:f>IF(ISNUMBER(M120),COUNTIFS($M$6:$M$151,"&gt;"&amp;M120)+(COUNTIFS($M$6:$M$151,M120)+1)/2,"NA")</x:f>
        <x:v>115</x:v>
      </x:c>
      <x:c r="O120" s="30" t="n">
        <x:f>IF(COUNT('总览与权重'!$H$14:$K$14)=4,ROUND(100*SUMPRODUCT(E120:H120,'总览与权重'!$H$14:$K$14),12),"NA")</x:f>
        <x:v>53.289984428183</x:v>
      </x:c>
      <x:c r="P120" s="30" t="n">
        <x:f>IF(ISNUMBER(O120),COUNTIFS($O$6:$O$151,"&gt;"&amp;O120)+(COUNTIFS($O$6:$O$151,O120)+1)/2,"NA")</x:f>
        <x:v>119</x:v>
      </x:c>
      <x:c r="Q120" s="30" t="n">
        <x:f>IF(COUNT('总览与权重'!$H$15:$K$15)=4,ROUND(100*SUMPRODUCT(E120:H120,'总览与权重'!$H$15:$K$15),12),"NA")</x:f>
        <x:v>51.757578816051</x:v>
      </x:c>
      <x:c r="R120" s="30" t="n">
        <x:f>IF(ISNUMBER(Q120),COUNTIFS($Q$6:$Q$151,"&gt;"&amp;Q120)+(COUNTIFS($Q$6:$Q$151,Q120)+1)/2,"NA")</x:f>
        <x:v>115</x:v>
      </x:c>
      <x:c r="S120" s="31" t="n">
        <x:f>IF(OR(B120="s3",B120="s6"),COUNTIFS($B$6:$B$151,B120,$I$6:$I$151,"&gt;"&amp;I120)+(COUNTIFS($B$6:$B$151,B120,$I$6:$I$151,I120)+1)/2,"NA")</x:f>
        <x:v>110</x:v>
      </x:c>
      <x:c r="T120" s="26" t="str">
        <x:f>IF(COUNTIFS($I$6:$I$151,"&gt;"&amp;I120)&gt;=30,"非前20%",IF(COUNTIFS($I$6:$I$151,"&gt;="&amp;I120)&gt;=30,"边界同分","严格前20%"))</x:f>
        <x:v>非前20%</x:v>
      </x:c>
      <x:c r="U120" s="26" t="str">
        <x:f>IF(COUNTIFS($I$6:$I$151,"&lt;"&amp;I120)&gt;=30,"非后20%",IF(COUNTIFS($I$6:$I$151,"&lt;="&amp;I120)&gt;=30,"边界同分","严格后20%"))</x:f>
        <x:v>非后20%</x:v>
      </x:c>
      <x:c r="V120" s="22" t="n">
        <x:f>'指标计算'!P109</x:f>
        <x:v>0.05661399577261107</x:v>
      </x:c>
      <x:c r="W120" s="22" t="n">
        <x:f>'指标计算'!Q109</x:f>
        <x:v>0.09435665962101845</x:v>
      </x:c>
      <x:c r="X120" s="22" t="str">
        <x:v>["S0501"]</x:v>
      </x:c>
      <x:c r="Y120" s="22" t="str">
        <x:v>evidence/student_evidence.jsonl；student_key=2025秋:259452</x:v>
      </x:c>
      <x:c r="Z120" s="26" t="n">
        <x:f>IF(OR(B120="s3",B120="s6"),COUNTIFS($B$6:$B$151,B120,$K$6:$K$151,"&gt;"&amp;K120)+(COUNTIFS($B$6:$B$151,B120,$K$6:$K$151,K120)+1)/2,"NA")</x:f>
        <x:v>118</x:v>
      </x:c>
      <x:c r="AA120" s="26" t="n">
        <x:f>IF(OR(B120="s3",B120="s6"),COUNTIFS($B$6:$B$151,B120,$M$6:$M$151,"&gt;"&amp;M120)+(COUNTIFS($B$6:$B$151,B120,$M$6:$M$151,M120)+1)/2,"NA")</x:f>
        <x:v>109</x:v>
      </x:c>
      <x:c r="AB120" s="26" t="n">
        <x:f>IF(OR(B120="s3",B120="s6"),COUNTIFS($B$6:$B$151,B120,$O$6:$O$151,"&gt;"&amp;O120)+(COUNTIFS($B$6:$B$151,B120,$O$6:$O$151,O120)+1)/2,"NA")</x:f>
        <x:v>114</x:v>
      </x:c>
      <x:c r="AC120" s="26" t="n">
        <x:f>IF(OR(B120="s3",B120="s6"),COUNTIFS($B$6:$B$151,B120,$Q$6:$Q$151,"&gt;"&amp;Q120)+(COUNTIFS($B$6:$B$151,B120,$Q$6:$Q$151,Q120)+1)/2,"NA")</x:f>
        <x:v>109</x:v>
      </x:c>
      <x:c r="AD120" s="25" t="n">
        <x:v>50.932190348754226</x:v>
      </x:c>
      <x:c r="AE120" s="25" t="n">
        <x:v>114</x:v>
      </x:c>
      <x:c r="AF120" s="25" t="n">
        <x:v>109</x:v>
      </x:c>
      <x:c r="AG120" s="25" t="n">
        <x:v>-1</x:v>
      </x:c>
    </x:row>
    <x:row r="121" ht="23" customHeight="1">
      <x:c r="A121" s="21" t="str">
        <x:v>2026春:268154</x:v>
      </x:c>
      <x:c r="B121" s="22" t="str">
        <x:v>s3</x:v>
      </x:c>
      <x:c r="C121" s="24" t="n">
        <x:v>1</x:v>
      </x:c>
      <x:c r="D121" s="24" t="n">
        <x:v>1</x:v>
      </x:c>
      <x:c r="E121" s="29" t="n">
        <x:f>'指标计算'!S161</x:f>
        <x:v>0.5094126400808077</x:v>
      </x:c>
      <x:c r="F121" s="29" t="n">
        <x:f>'指标计算'!T161</x:f>
        <x:v>0.6129516809696918</x:v>
      </x:c>
      <x:c r="G121" s="29" t="n">
        <x:f>'指标计算'!U161</x:f>
        <x:v>0.6129516809696918</x:v>
      </x:c>
      <x:c r="H121" s="29" t="n">
        <x:f>'指标计算'!V161</x:f>
        <x:v>0.4</x:v>
      </x:c>
      <x:c r="I121" s="30" t="n">
        <x:f>IF(COUNT('总览与权重'!$H$11:$K$11)=4,ROUND(100*SUMPRODUCT(E121:H121,'总览与权重'!$H$11:$K$11),12),"NA")</x:f>
        <x:v>51.800446441212</x:v>
      </x:c>
      <x:c r="J121" s="30" t="n">
        <x:f>IF(ISNUMBER(I121),COUNTIFS($I$6:$I$151,"&gt;"&amp;I121)+(COUNTIFS($I$6:$I$151,I121)+1)/2,"NA")</x:f>
        <x:v>116</x:v>
      </x:c>
      <x:c r="K121" s="30" t="n">
        <x:f>IF(COUNT('总览与权重'!$H$12:$K$12)=4,ROUND(100*SUMPRODUCT(E121:H121,'总览与权重'!$H$12:$K$12),12),"NA")</x:f>
        <x:v>54.965353659798</x:v>
      </x:c>
      <x:c r="L121" s="30" t="n">
        <x:f>IF(ISNUMBER(K121),COUNTIFS($K$6:$K$151,"&gt;"&amp;K121)+(COUNTIFS($K$6:$K$151,K121)+1)/2,"NA")</x:f>
        <x:v>114</x:v>
      </x:c>
      <x:c r="M121" s="30" t="n">
        <x:f>IF(COUNT('总览与权重'!$H$13:$K$13)=4,ROUND(100*SUMPRODUCT(E121:H121,'总览与权重'!$H$13:$K$13),12),"NA")</x:f>
        <x:v>51.253383240808</x:v>
      </x:c>
      <x:c r="N121" s="30" t="n">
        <x:f>IF(ISNUMBER(M121),COUNTIFS($M$6:$M$151,"&gt;"&amp;M121)+(COUNTIFS($M$6:$M$151,M121)+1)/2,"NA")</x:f>
        <x:v>119</x:v>
      </x:c>
      <x:c r="O121" s="30" t="n">
        <x:f>IF(COUNT('总览与权重'!$H$14:$K$14)=4,ROUND(100*SUMPRODUCT(E121:H121,'总览与权重'!$H$14:$K$14),12),"NA")</x:f>
        <x:v>54.877744038729</x:v>
      </x:c>
      <x:c r="P121" s="30" t="n">
        <x:f>IF(ISNUMBER(O121),COUNTIFS($O$6:$O$151,"&gt;"&amp;O121)+(COUNTIFS($O$6:$O$151,O121)+1)/2,"NA")</x:f>
        <x:v>115</x:v>
      </x:c>
      <x:c r="Q121" s="30" t="n">
        <x:f>IF(COUNT('总览与权重'!$H$15:$K$15)=4,ROUND(100*SUMPRODUCT(E121:H121,'总览与权重'!$H$15:$K$15),12),"NA")</x:f>
        <x:v>47.948003500897</x:v>
      </x:c>
      <x:c r="R121" s="30" t="n">
        <x:f>IF(ISNUMBER(Q121),COUNTIFS($Q$6:$Q$151,"&gt;"&amp;Q121)+(COUNTIFS($Q$6:$Q$151,Q121)+1)/2,"NA")</x:f>
        <x:v>122</x:v>
      </x:c>
      <x:c r="S121" s="31" t="n">
        <x:f>IF(OR(B121="s3",B121="s6"),COUNTIFS($B$6:$B$151,B121,$I$6:$I$151,"&gt;"&amp;I121)+(COUNTIFS($B$6:$B$151,B121,$I$6:$I$151,I121)+1)/2,"NA")</x:f>
        <x:v>111</x:v>
      </x:c>
      <x:c r="T121" s="26" t="str">
        <x:f>IF(COUNTIFS($I$6:$I$151,"&gt;"&amp;I121)&gt;=30,"非前20%",IF(COUNTIFS($I$6:$I$151,"&gt;="&amp;I121)&gt;=30,"边界同分","严格前20%"))</x:f>
        <x:v>非前20%</x:v>
      </x:c>
      <x:c r="U121" s="26" t="str">
        <x:f>IF(COUNTIFS($I$6:$I$151,"&lt;"&amp;I121)&gt;=30,"非后20%",IF(COUNTIFS($I$6:$I$151,"&lt;="&amp;I121)&gt;=30,"边界同分","严格后20%"))</x:f>
        <x:v>非后20%</x:v>
      </x:c>
      <x:c r="V121" s="22" t="n">
        <x:f>'指标计算'!P161</x:f>
        <x:v>0.22590336193938357</x:v>
      </x:c>
      <x:c r="W121" s="22" t="n">
        <x:f>'指标计算'!Q161</x:f>
        <x:v>0.22590336193938357</x:v>
      </x:c>
      <x:c r="X121" s="22" t="str">
        <x:v>["S1009"]</x:v>
      </x:c>
      <x:c r="Y121" s="22" t="str">
        <x:v>evidence/student_evidence.jsonl；student_key=2026春:268154</x:v>
      </x:c>
      <x:c r="Z121" s="26" t="n">
        <x:f>IF(OR(B121="s3",B121="s6"),COUNTIFS($B$6:$B$151,B121,$K$6:$K$151,"&gt;"&amp;K121)+(COUNTIFS($B$6:$B$151,B121,$K$6:$K$151,K121)+1)/2,"NA")</x:f>
        <x:v>109</x:v>
      </x:c>
      <x:c r="AA121" s="26" t="n">
        <x:f>IF(OR(B121="s3",B121="s6"),COUNTIFS($B$6:$B$151,B121,$M$6:$M$151,"&gt;"&amp;M121)+(COUNTIFS($B$6:$B$151,B121,$M$6:$M$151,M121)+1)/2,"NA")</x:f>
        <x:v>112</x:v>
      </x:c>
      <x:c r="AB121" s="26" t="n">
        <x:f>IF(OR(B121="s3",B121="s6"),COUNTIFS($B$6:$B$151,B121,$O$6:$O$151,"&gt;"&amp;O121)+(COUNTIFS($B$6:$B$151,B121,$O$6:$O$151,O121)+1)/2,"NA")</x:f>
        <x:v>110</x:v>
      </x:c>
      <x:c r="AC121" s="26" t="n">
        <x:f>IF(OR(B121="s3",B121="s6"),COUNTIFS($B$6:$B$151,B121,$Q$6:$Q$151,"&gt;"&amp;Q121)+(COUNTIFS($B$6:$B$151,B121,$Q$6:$Q$151,Q121)+1)/2,"NA")</x:f>
        <x:v>115</x:v>
      </x:c>
      <x:c r="AD121" s="25" t="n">
        <x:v>48.63991810413316</x:v>
      </x:c>
      <x:c r="AE121" s="25" t="n">
        <x:v>117</x:v>
      </x:c>
      <x:c r="AF121" s="25" t="n">
        <x:v>112</x:v>
      </x:c>
      <x:c r="AG121" s="25" t="n">
        <x:v>1</x:v>
      </x:c>
    </x:row>
    <x:row r="122" ht="23" customHeight="1">
      <x:c r="A122" s="21" t="str">
        <x:v>2025秋:259321</x:v>
      </x:c>
      <x:c r="B122" s="22" t="str">
        <x:v>s3</x:v>
      </x:c>
      <x:c r="C122" s="24" t="n">
        <x:v>1</x:v>
      </x:c>
      <x:c r="D122" s="24" t="n">
        <x:v>1</x:v>
      </x:c>
      <x:c r="E122" s="29" t="n">
        <x:f>'指标计算'!S83</x:f>
        <x:v>0.5021492241773888</x:v>
      </x:c>
      <x:c r="F122" s="29" t="n">
        <x:f>'指标计算'!T83</x:f>
        <x:v>0.542984483547776</x:v>
      </x:c>
      <x:c r="G122" s="29" t="n">
        <x:f>'指标计算'!U83</x:f>
        <x:v>0.542984483547776</x:v>
      </x:c>
      <x:c r="H122" s="29" t="n">
        <x:f>'指标计算'!V83</x:f>
        <x:v>0.5</x:v>
      </x:c>
      <x:c r="I122" s="30" t="n">
        <x:f>IF(COUNT('总览与权重'!$H$11:$K$11)=4,ROUND(100*SUMPRODUCT(E122:H122,'总览与权重'!$H$11:$K$11),12),"NA")</x:f>
        <x:v>51.783856067233</x:v>
      </x:c>
      <x:c r="J122" s="30" t="n">
        <x:f>IF(ISNUMBER(I122),COUNTIFS($I$6:$I$151,"&gt;"&amp;I122)+(COUNTIFS($I$6:$I$151,I122)+1)/2,"NA")</x:f>
        <x:v>117</x:v>
      </x:c>
      <x:c r="K122" s="30" t="n">
        <x:f>IF(COUNT('总览与权重'!$H$12:$K$12)=4,ROUND(100*SUMPRODUCT(E122:H122,'总览与权重'!$H$12:$K$12),12),"NA")</x:f>
        <x:v>52.622053496414</x:v>
      </x:c>
      <x:c r="L122" s="30" t="n">
        <x:f>IF(ISNUMBER(K122),COUNTIFS($K$6:$K$151,"&gt;"&amp;K122)+(COUNTIFS($K$6:$K$151,K122)+1)/2,"NA")</x:f>
        <x:v>124</x:v>
      </x:c>
      <x:c r="M122" s="30" t="n">
        <x:f>IF(COUNT('总览与权重'!$H$13:$K$13)=4,ROUND(100*SUMPRODUCT(E122:H122,'总览与权重'!$H$13:$K$13),12),"NA")</x:f>
        <x:v>51.773109946346</x:v>
      </x:c>
      <x:c r="N122" s="30" t="n">
        <x:f>IF(ISNUMBER(M122),COUNTIFS($M$6:$M$151,"&gt;"&amp;M122)+(COUNTIFS($M$6:$M$151,M122)+1)/2,"NA")</x:f>
        <x:v>116</x:v>
      </x:c>
      <x:c r="O122" s="30" t="n">
        <x:f>IF(COUNT('总览与权重'!$H$14:$K$14)=4,ROUND(100*SUMPRODUCT(E122:H122,'总览与权重'!$H$14:$K$14),12),"NA")</x:f>
        <x:v>52.997526239138</x:v>
      </x:c>
      <x:c r="P122" s="30" t="n">
        <x:f>IF(ISNUMBER(O122),COUNTIFS($O$6:$O$151,"&gt;"&amp;O122)+(COUNTIFS($O$6:$O$151,O122)+1)/2,"NA")</x:f>
        <x:v>121</x:v>
      </x:c>
      <x:c r="Q122" s="30" t="n">
        <x:f>IF(COUNT('总览与权重'!$H$15:$K$15)=4,ROUND(100*SUMPRODUCT(E122:H122,'总览与权重'!$H$15:$K$15),12),"NA")</x:f>
        <x:v>51.601341505855</x:v>
      </x:c>
      <x:c r="R122" s="30" t="n">
        <x:f>IF(ISNUMBER(Q122),COUNTIFS($Q$6:$Q$151,"&gt;"&amp;Q122)+(COUNTIFS($Q$6:$Q$151,Q122)+1)/2,"NA")</x:f>
        <x:v>116</x:v>
      </x:c>
      <x:c r="S122" s="31" t="n">
        <x:f>IF(OR(B122="s3",B122="s6"),COUNTIFS($B$6:$B$151,B122,$I$6:$I$151,"&gt;"&amp;I122)+(COUNTIFS($B$6:$B$151,B122,$I$6:$I$151,I122)+1)/2,"NA")</x:f>
        <x:v>112</x:v>
      </x:c>
      <x:c r="T122" s="26" t="str">
        <x:f>IF(COUNTIFS($I$6:$I$151,"&gt;"&amp;I122)&gt;=30,"非前20%",IF(COUNTIFS($I$6:$I$151,"&gt;="&amp;I122)&gt;=30,"边界同分","严格前20%"))</x:f>
        <x:v>非前20%</x:v>
      </x:c>
      <x:c r="U122" s="26" t="str">
        <x:f>IF(COUNTIFS($I$6:$I$151,"&lt;"&amp;I122)&gt;=30,"非后20%",IF(COUNTIFS($I$6:$I$151,"&lt;="&amp;I122)&gt;=30,"边界同分","严格后20%"))</x:f>
        <x:v>边界同分</x:v>
      </x:c>
      <x:c r="V122" s="22" t="n">
        <x:f>'指标计算'!P83</x:f>
        <x:v>0.051581380257331194</x:v>
      </x:c>
      <x:c r="W122" s="22" t="n">
        <x:f>'指标计算'!Q83</x:f>
        <x:v>0.08596896709555199</x:v>
      </x:c>
      <x:c r="X122" s="22" t="str">
        <x:v>["S0288"]</x:v>
      </x:c>
      <x:c r="Y122" s="22" t="str">
        <x:v>evidence/student_evidence.jsonl；student_key=2025秋:259321</x:v>
      </x:c>
      <x:c r="Z122" s="26" t="n">
        <x:f>IF(OR(B122="s3",B122="s6"),COUNTIFS($B$6:$B$151,B122,$K$6:$K$151,"&gt;"&amp;K122)+(COUNTIFS($B$6:$B$151,B122,$K$6:$K$151,K122)+1)/2,"NA")</x:f>
        <x:v>119</x:v>
      </x:c>
      <x:c r="AA122" s="26" t="n">
        <x:f>IF(OR(B122="s3",B122="s6"),COUNTIFS($B$6:$B$151,B122,$M$6:$M$151,"&gt;"&amp;M122)+(COUNTIFS($B$6:$B$151,B122,$M$6:$M$151,M122)+1)/2,"NA")</x:f>
        <x:v>110</x:v>
      </x:c>
      <x:c r="AB122" s="26" t="n">
        <x:f>IF(OR(B122="s3",B122="s6"),COUNTIFS($B$6:$B$151,B122,$O$6:$O$151,"&gt;"&amp;O122)+(COUNTIFS($B$6:$B$151,B122,$O$6:$O$151,O122)+1)/2,"NA")</x:f>
        <x:v>116</x:v>
      </x:c>
      <x:c r="AC122" s="26" t="n">
        <x:f>IF(OR(B122="s3",B122="s6"),COUNTIFS($B$6:$B$151,B122,$Q$6:$Q$151,"&gt;"&amp;Q122)+(COUNTIFS($B$6:$B$151,B122,$Q$6:$Q$151,Q122)+1)/2,"NA")</x:f>
        <x:v>110</x:v>
      </x:c>
      <x:c r="AD122" s="25" t="n">
        <x:v>50.75814572885079</x:v>
      </x:c>
      <x:c r="AE122" s="25" t="n">
        <x:v>115</x:v>
      </x:c>
      <x:c r="AF122" s="25" t="n">
        <x:v>110</x:v>
      </x:c>
      <x:c r="AG122" s="25" t="n">
        <x:v>-2</x:v>
      </x:c>
    </x:row>
    <x:row r="123" ht="23" customHeight="1">
      <x:c r="A123" s="21" t="str">
        <x:v>2026春:268520</x:v>
      </x:c>
      <x:c r="B123" s="22" t="str">
        <x:v>s6</x:v>
      </x:c>
      <x:c r="C123" s="24" t="n">
        <x:v>1</x:v>
      </x:c>
      <x:c r="D123" s="24" t="n">
        <x:v>1</x:v>
      </x:c>
      <x:c r="E123" s="29" t="n">
        <x:f>'指标计算'!S177</x:f>
        <x:v>0.4934285714285714</x:v>
      </x:c>
      <x:c r="F123" s="29" t="n">
        <x:f>'指标计算'!T177</x:f>
        <x:v>0.42114285714285715</x:v>
      </x:c>
      <x:c r="G123" s="29" t="n">
        <x:f>'指标计算'!U177</x:f>
        <x:v>0.42114285714285715</x:v>
      </x:c>
      <x:c r="H123" s="29" t="n">
        <x:f>'指标计算'!V177</x:f>
        <x:v>0.6666666666666666</x:v>
      </x:c>
      <x:c r="I123" s="30" t="n">
        <x:f>IF(COUNT('总览与权重'!$H$11:$K$11)=4,ROUND(100*SUMPRODUCT(E123:H123,'总览与权重'!$H$11:$K$11),12),"NA")</x:f>
        <x:v>51.648571428571</x:v>
      </x:c>
      <x:c r="J123" s="30" t="n">
        <x:f>IF(ISNUMBER(I123),COUNTIFS($I$6:$I$151,"&gt;"&amp;I123)+(COUNTIFS($I$6:$I$151,I123)+1)/2,"NA")</x:f>
        <x:v>118</x:v>
      </x:c>
      <x:c r="K123" s="30" t="n">
        <x:f>IF(COUNT('总览与权重'!$H$12:$K$12)=4,ROUND(100*SUMPRODUCT(E123:H123,'总览与权重'!$H$12:$K$12),12),"NA")</x:f>
        <x:v>48.470476190476</x:v>
      </x:c>
      <x:c r="L123" s="30" t="n">
        <x:f>IF(ISNUMBER(K123),COUNTIFS($K$6:$K$151,"&gt;"&amp;K123)+(COUNTIFS($K$6:$K$151,K123)+1)/2,"NA")</x:f>
        <x:v>128</x:v>
      </x:c>
      <x:c r="M123" s="30" t="n">
        <x:f>IF(COUNT('总览与权重'!$H$13:$K$13)=4,ROUND(100*SUMPRODUCT(E123:H123,'总览与权重'!$H$13:$K$13),12),"NA")</x:f>
        <x:v>52.514761904762</x:v>
      </x:c>
      <x:c r="N123" s="30" t="n">
        <x:f>IF(ISNUMBER(M123),COUNTIFS($M$6:$M$151,"&gt;"&amp;M123)+(COUNTIFS($M$6:$M$151,M123)+1)/2,"NA")</x:f>
        <x:v>114</x:v>
      </x:c>
      <x:c r="O123" s="30" t="n">
        <x:f>IF(COUNT('总览与权重'!$H$14:$K$14)=4,ROUND(100*SUMPRODUCT(E123:H123,'总览与权重'!$H$14:$K$14),12),"NA")</x:f>
        <x:v>49.500158105476</x:v>
      </x:c>
      <x:c r="P123" s="30" t="n">
        <x:f>IF(ISNUMBER(O123),COUNTIFS($O$6:$O$151,"&gt;"&amp;O123)+(COUNTIFS($O$6:$O$151,O123)+1)/2,"NA")</x:f>
        <x:v>127</x:v>
      </x:c>
      <x:c r="Q123" s="30" t="n">
        <x:f>IF(COUNT('总览与权重'!$H$15:$K$15)=4,ROUND(100*SUMPRODUCT(E123:H123,'总览与权重'!$H$15:$K$15),12),"NA")</x:f>
        <x:v>57.49595706262</x:v>
      </x:c>
      <x:c r="R123" s="30" t="n">
        <x:f>IF(ISNUMBER(Q123),COUNTIFS($Q$6:$Q$151,"&gt;"&amp;Q123)+(COUNTIFS($Q$6:$Q$151,Q123)+1)/2,"NA")</x:f>
        <x:v>105</x:v>
      </x:c>
      <x:c r="S123" s="31" t="n">
        <x:f>IF(OR(B123="s3",B123="s6"),COUNTIFS($B$6:$B$151,B123,$I$6:$I$151,"&gt;"&amp;I123)+(COUNTIFS($B$6:$B$151,B123,$I$6:$I$151,I123)+1)/2,"NA")</x:f>
        <x:v>6</x:v>
      </x:c>
      <x:c r="T123" s="26" t="str">
        <x:f>IF(COUNTIFS($I$6:$I$151,"&gt;"&amp;I123)&gt;=30,"非前20%",IF(COUNTIFS($I$6:$I$151,"&gt;="&amp;I123)&gt;=30,"边界同分","严格前20%"))</x:f>
        <x:v>非前20%</x:v>
      </x:c>
      <x:c r="U123" s="26" t="str">
        <x:f>IF(COUNTIFS($I$6:$I$151,"&lt;"&amp;I123)&gt;=30,"非后20%",IF(COUNTIFS($I$6:$I$151,"&lt;="&amp;I123)&gt;=30,"边界同分","严格后20%"))</x:f>
        <x:v>严格后20%</x:v>
      </x:c>
      <x:c r="V123" s="22" t="n">
        <x:f>'指标计算'!P177</x:f>
        <x:v>-0.15771428571428572</x:v>
      </x:c>
      <x:c r="W123" s="22" t="n">
        <x:f>'指标计算'!Q177</x:f>
        <x:v>-0.15771428571428572</x:v>
      </x:c>
      <x:c r="X123" s="22" t="str">
        <x:v>["S1244"]</x:v>
      </x:c>
      <x:c r="Y123" s="22" t="str">
        <x:v>evidence/student_evidence.jsonl；student_key=2026春:268520</x:v>
      </x:c>
      <x:c r="Z123" s="26" t="n">
        <x:f>IF(OR(B123="s3",B123="s6"),COUNTIFS($B$6:$B$151,B123,$K$6:$K$151,"&gt;"&amp;K123)+(COUNTIFS($B$6:$B$151,B123,$K$6:$K$151,K123)+1)/2,"NA")</x:f>
        <x:v>7</x:v>
      </x:c>
      <x:c r="AA123" s="26" t="n">
        <x:f>IF(OR(B123="s3",B123="s6"),COUNTIFS($B$6:$B$151,B123,$M$6:$M$151,"&gt;"&amp;M123)+(COUNTIFS($B$6:$B$151,B123,$M$6:$M$151,M123)+1)/2,"NA")</x:f>
        <x:v>6</x:v>
      </x:c>
      <x:c r="AB123" s="26" t="n">
        <x:f>IF(OR(B123="s3",B123="s6"),COUNTIFS($B$6:$B$151,B123,$O$6:$O$151,"&gt;"&amp;O123)+(COUNTIFS($B$6:$B$151,B123,$O$6:$O$151,O123)+1)/2,"NA")</x:f>
        <x:v>7</x:v>
      </x:c>
      <x:c r="AC123" s="26" t="n">
        <x:f>IF(OR(B123="s3",B123="s6"),COUNTIFS($B$6:$B$151,B123,$Q$6:$Q$151,"&gt;"&amp;Q123)+(COUNTIFS($B$6:$B$151,B123,$Q$6:$Q$151,Q123)+1)/2,"NA")</x:f>
        <x:v>5</x:v>
      </x:c>
      <x:c r="AD123" s="25" t="n">
        <x:v>48.005714285714284</x:v>
      </x:c>
      <x:c r="AE123" s="25" t="n">
        <x:v>120</x:v>
      </x:c>
      <x:c r="AF123" s="25" t="n">
        <x:v>7</x:v>
      </x:c>
      <x:c r="AG123" s="25" t="n">
        <x:v>2</x:v>
      </x:c>
    </x:row>
    <x:row r="124" ht="23" customHeight="1">
      <x:c r="A124" s="21" t="str">
        <x:v>2026春:250695</x:v>
      </x:c>
      <x:c r="B124" s="22" t="str">
        <x:v>s6</x:v>
      </x:c>
      <x:c r="C124" s="24" t="n">
        <x:v>1</x:v>
      </x:c>
      <x:c r="D124" s="24" t="n">
        <x:v>1</x:v>
      </x:c>
      <x:c r="E124" s="29" t="n">
        <x:f>'指标计算'!S143</x:f>
        <x:v>0.5020666666666667</x:v>
      </x:c>
      <x:c r="F124" s="29" t="n">
        <x:f>'指标计算'!T143</x:f>
        <x:v>0.531</x:v>
      </x:c>
      <x:c r="G124" s="29" t="n">
        <x:f>'指标计算'!U143</x:f>
        <x:v>0.531</x:v>
      </x:c>
      <x:c r="H124" s="29" t="n">
        <x:f>'指标计算'!V143</x:f>
        <x:v>0.5</x:v>
      </x:c>
      <x:c r="I124" s="30" t="n">
        <x:f>IF(COUNT('总览与权重'!$H$11:$K$11)=4,ROUND(100*SUMPRODUCT(E124:H124,'总览与权重'!$H$11:$K$11),12),"NA")</x:f>
        <x:v>51.302</x:v>
      </x:c>
      <x:c r="J124" s="30" t="n">
        <x:f>IF(ISNUMBER(I124),COUNTIFS($I$6:$I$151,"&gt;"&amp;I124)+(COUNTIFS($I$6:$I$151,I124)+1)/2,"NA")</x:f>
        <x:v>119</x:v>
      </x:c>
      <x:c r="K124" s="30" t="n">
        <x:f>IF(COUNT('总览与权重'!$H$12:$K$12)=4,ROUND(100*SUMPRODUCT(E124:H124,'总览与权重'!$H$12:$K$12),12),"NA")</x:f>
        <x:v>51.901333333333</x:v>
      </x:c>
      <x:c r="L124" s="30" t="n">
        <x:f>IF(ISNUMBER(K124),COUNTIFS($K$6:$K$151,"&gt;"&amp;K124)+(COUNTIFS($K$6:$K$151,K124)+1)/2,"NA")</x:f>
        <x:v>125</x:v>
      </x:c>
      <x:c r="M124" s="30" t="n">
        <x:f>IF(COUNT('总览与权重'!$H$13:$K$13)=4,ROUND(100*SUMPRODUCT(E124:H124,'总览与权重'!$H$13:$K$13),12),"NA")</x:f>
        <x:v>51.291666666667</x:v>
      </x:c>
      <x:c r="N124" s="30" t="n">
        <x:f>IF(ISNUMBER(M124),COUNTIFS($M$6:$M$151,"&gt;"&amp;M124)+(COUNTIFS($M$6:$M$151,M124)+1)/2,"NA")</x:f>
        <x:v>118</x:v>
      </x:c>
      <x:c r="O124" s="30" t="n">
        <x:f>IF(COUNT('总览与权重'!$H$14:$K$14)=4,ROUND(100*SUMPRODUCT(E124:H124,'总览与权重'!$H$14:$K$14),12),"NA")</x:f>
        <x:v>52.161931446056</x:v>
      </x:c>
      <x:c r="P124" s="30" t="n">
        <x:f>IF(ISNUMBER(O124),COUNTIFS($O$6:$O$151,"&gt;"&amp;O124)+(COUNTIFS($O$6:$O$151,O124)+1)/2,"NA")</x:f>
        <x:v>125</x:v>
      </x:c>
      <x:c r="Q124" s="30" t="n">
        <x:f>IF(COUNT('总览与权重'!$H$15:$K$15)=4,ROUND(100*SUMPRODUCT(E124:H124,'总览与权重'!$H$15:$K$15),12),"NA")</x:f>
        <x:v>51.154949208511</x:v>
      </x:c>
      <x:c r="R124" s="30" t="n">
        <x:f>IF(ISNUMBER(Q124),COUNTIFS($Q$6:$Q$151,"&gt;"&amp;Q124)+(COUNTIFS($Q$6:$Q$151,Q124)+1)/2,"NA")</x:f>
        <x:v>117</x:v>
      </x:c>
      <x:c r="S124" s="31" t="n">
        <x:f>IF(OR(B124="s3",B124="s6"),COUNTIFS($B$6:$B$151,B124,$I$6:$I$151,"&gt;"&amp;I124)+(COUNTIFS($B$6:$B$151,B124,$I$6:$I$151,I124)+1)/2,"NA")</x:f>
        <x:v>7</x:v>
      </x:c>
      <x:c r="T124" s="26" t="str">
        <x:f>IF(COUNTIFS($I$6:$I$151,"&gt;"&amp;I124)&gt;=30,"非前20%",IF(COUNTIFS($I$6:$I$151,"&gt;="&amp;I124)&gt;=30,"边界同分","严格前20%"))</x:f>
        <x:v>非前20%</x:v>
      </x:c>
      <x:c r="U124" s="26" t="str">
        <x:f>IF(COUNTIFS($I$6:$I$151,"&lt;"&amp;I124)&gt;=30,"非后20%",IF(COUNTIFS($I$6:$I$151,"&lt;="&amp;I124)&gt;=30,"边界同分","严格后20%"))</x:f>
        <x:v>严格后20%</x:v>
      </x:c>
      <x:c r="V124" s="22" t="n">
        <x:f>'指标计算'!P143</x:f>
        <x:v>0.04960000000000002</x:v>
      </x:c>
      <x:c r="W124" s="22" t="n">
        <x:f>'指标计算'!Q143</x:f>
        <x:v>0.06200000000000002</x:v>
      </x:c>
      <x:c r="X124" s="22" t="str">
        <x:v>["S0818"]</x:v>
      </x:c>
      <x:c r="Y124" s="22" t="str">
        <x:v>evidence/student_evidence.jsonl；student_key=2026春:250695</x:v>
      </x:c>
      <x:c r="Z124" s="26" t="n">
        <x:f>IF(OR(B124="s3",B124="s6"),COUNTIFS($B$6:$B$151,B124,$K$6:$K$151,"&gt;"&amp;K124)+(COUNTIFS($B$6:$B$151,B124,$K$6:$K$151,K124)+1)/2,"NA")</x:f>
        <x:v>6</x:v>
      </x:c>
      <x:c r="AA124" s="26" t="n">
        <x:f>IF(OR(B124="s3",B124="s6"),COUNTIFS($B$6:$B$151,B124,$M$6:$M$151,"&gt;"&amp;M124)+(COUNTIFS($B$6:$B$151,B124,$M$6:$M$151,M124)+1)/2,"NA")</x:f>
        <x:v>7</x:v>
      </x:c>
      <x:c r="AB124" s="26" t="n">
        <x:f>IF(OR(B124="s3",B124="s6"),COUNTIFS($B$6:$B$151,B124,$O$6:$O$151,"&gt;"&amp;O124)+(COUNTIFS($B$6:$B$151,B124,$O$6:$O$151,O124)+1)/2,"NA")</x:f>
        <x:v>6</x:v>
      </x:c>
      <x:c r="AC124" s="26" t="n">
        <x:f>IF(OR(B124="s3",B124="s6"),COUNTIFS($B$6:$B$151,B124,$Q$6:$Q$151,"&gt;"&amp;Q124)+(COUNTIFS($B$6:$B$151,B124,$Q$6:$Q$151,Q124)+1)/2,"NA")</x:f>
        <x:v>7</x:v>
      </x:c>
      <x:c r="AD124" s="25" t="n">
        <x:v>48.15200000000001</x:v>
      </x:c>
      <x:c r="AE124" s="25" t="n">
        <x:v>118</x:v>
      </x:c>
      <x:c r="AF124" s="25" t="n">
        <x:v>6</x:v>
      </x:c>
      <x:c r="AG124" s="25" t="n">
        <x:v>-1</x:v>
      </x:c>
    </x:row>
    <x:row r="125" ht="23" customHeight="1">
      <x:c r="A125" s="21" t="str">
        <x:v>2025秋:259336</x:v>
      </x:c>
      <x:c r="B125" s="22" t="str">
        <x:v>s3</x:v>
      </x:c>
      <x:c r="C125" s="24" t="n">
        <x:v>1</x:v>
      </x:c>
      <x:c r="D125" s="24" t="n">
        <x:v>1</x:v>
      </x:c>
      <x:c r="E125" s="29" t="n">
        <x:f>'指标计算'!S91</x:f>
        <x:v>0.510210503771432</x:v>
      </x:c>
      <x:c r="F125" s="29" t="n">
        <x:f>'指标计算'!T91</x:f>
        <x:v>0.6225260452571836</x:v>
      </x:c>
      <x:c r="G125" s="29" t="n">
        <x:f>'指标计算'!U91</x:f>
        <x:v>0.6225260452571836</x:v>
      </x:c>
      <x:c r="H125" s="29" t="n">
        <x:f>'指标计算'!V91</x:f>
        <x:v>0.3333333333333333</x:v>
      </x:c>
      <x:c r="I125" s="30" t="n">
        <x:f>IF(COUNT('总览与权重'!$H$11:$K$11)=4,ROUND(100*SUMPRODUCT(E125:H125,'总览与权重'!$H$11:$K$11),12),"NA")</x:f>
        <x:v>50.20735692343</x:v>
      </x:c>
      <x:c r="J125" s="30" t="n">
        <x:f>IF(ISNUMBER(I125),COUNTIFS($I$6:$I$151,"&gt;"&amp;I125)+(COUNTIFS($I$6:$I$151,I125)+1)/2,"NA")</x:f>
        <x:v>120</x:v>
      </x:c>
      <x:c r="K125" s="30" t="n">
        <x:f>IF(COUNT('总览与权重'!$H$12:$K$12)=4,ROUND(100*SUMPRODUCT(E125:H125,'总览与权重'!$H$12:$K$12),12),"NA")</x:f>
        <x:v>54.222439457526</x:v>
      </x:c>
      <x:c r="L125" s="30" t="n">
        <x:f>IF(ISNUMBER(K125),COUNTIFS($K$6:$K$151,"&gt;"&amp;K125)+(COUNTIFS($K$6:$K$151,K125)+1)/2,"NA")</x:f>
        <x:v>116</x:v>
      </x:c>
      <x:c r="M125" s="30" t="n">
        <x:f>IF(COUNT('总览与权重'!$H$13:$K$13)=4,ROUND(100*SUMPRODUCT(E125:H125,'总览与权重'!$H$13:$K$13),12),"NA")</x:f>
        <x:v>49.32297107124</x:v>
      </x:c>
      <x:c r="N125" s="30" t="n">
        <x:f>IF(ISNUMBER(M125),COUNTIFS($M$6:$M$151,"&gt;"&amp;M125)+(COUNTIFS($M$6:$M$151,M125)+1)/2,"NA")</x:f>
        <x:v>120</x:v>
      </x:c>
      <x:c r="O125" s="30" t="n">
        <x:f>IF(COUNT('总览与权重'!$H$14:$K$14)=4,ROUND(100*SUMPRODUCT(E125:H125,'总览与权重'!$H$14:$K$14),12),"NA")</x:f>
        <x:v>53.545502061832</x:v>
      </x:c>
      <x:c r="P125" s="30" t="n">
        <x:f>IF(ISNUMBER(O125),COUNTIFS($O$6:$O$151,"&gt;"&amp;O125)+(COUNTIFS($O$6:$O$151,O125)+1)/2,"NA")</x:f>
        <x:v>116</x:v>
      </x:c>
      <x:c r="Q125" s="30" t="n">
        <x:f>IF(COUNT('总览与权重'!$H$15:$K$15)=4,ROUND(100*SUMPRODUCT(E125:H125,'总览与权重'!$H$15:$K$15),12),"NA")</x:f>
        <x:v>44.131098599131</x:v>
      </x:c>
      <x:c r="R125" s="30" t="n">
        <x:f>IF(ISNUMBER(Q125),COUNTIFS($Q$6:$Q$151,"&gt;"&amp;Q125)+(COUNTIFS($Q$6:$Q$151,Q125)+1)/2,"NA")</x:f>
        <x:v>135</x:v>
      </x:c>
      <x:c r="S125" s="31" t="n">
        <x:f>IF(OR(B125="s3",B125="s6"),COUNTIFS($B$6:$B$151,B125,$I$6:$I$151,"&gt;"&amp;I125)+(COUNTIFS($B$6:$B$151,B125,$I$6:$I$151,I125)+1)/2,"NA")</x:f>
        <x:v>113</x:v>
      </x:c>
      <x:c r="T125" s="26" t="str">
        <x:f>IF(COUNTIFS($I$6:$I$151,"&gt;"&amp;I125)&gt;=30,"非前20%",IF(COUNTIFS($I$6:$I$151,"&gt;="&amp;I125)&gt;=30,"边界同分","严格前20%"))</x:f>
        <x:v>非前20%</x:v>
      </x:c>
      <x:c r="U125" s="26" t="str">
        <x:f>IF(COUNTIFS($I$6:$I$151,"&lt;"&amp;I125)&gt;=30,"非后20%",IF(COUNTIFS($I$6:$I$151,"&lt;="&amp;I125)&gt;=30,"边界同分","严格后20%"))</x:f>
        <x:v>严格后20%</x:v>
      </x:c>
      <x:c r="V125" s="22" t="n">
        <x:f>'指标计算'!P91</x:f>
        <x:v>0.24505209051436724</x:v>
      </x:c>
      <x:c r="W125" s="22" t="n">
        <x:f>'指标计算'!Q91</x:f>
        <x:v>0.24505209051436724</x:v>
      </x:c>
      <x:c r="X125" s="22" t="str">
        <x:v>["S0286"]</x:v>
      </x:c>
      <x:c r="Y125" s="22" t="str">
        <x:v>evidence/student_evidence.jsonl；student_key=2025秋:259336</x:v>
      </x:c>
      <x:c r="Z125" s="26" t="n">
        <x:f>IF(OR(B125="s3",B125="s6"),COUNTIFS($B$6:$B$151,B125,$K$6:$K$151,"&gt;"&amp;K125)+(COUNTIFS($B$6:$B$151,B125,$K$6:$K$151,K125)+1)/2,"NA")</x:f>
        <x:v>111</x:v>
      </x:c>
      <x:c r="AA125" s="26" t="n">
        <x:f>IF(OR(B125="s3",B125="s6"),COUNTIFS($B$6:$B$151,B125,$M$6:$M$151,"&gt;"&amp;M125)+(COUNTIFS($B$6:$B$151,B125,$M$6:$M$151,M125)+1)/2,"NA")</x:f>
        <x:v>113</x:v>
      </x:c>
      <x:c r="AB125" s="26" t="n">
        <x:f>IF(OR(B125="s3",B125="s6"),COUNTIFS($B$6:$B$151,B125,$O$6:$O$151,"&gt;"&amp;O125)+(COUNTIFS($B$6:$B$151,B125,$O$6:$O$151,O125)+1)/2,"NA")</x:f>
        <x:v>111</x:v>
      </x:c>
      <x:c r="AC125" s="26" t="n">
        <x:f>IF(OR(B125="s3",B125="s6"),COUNTIFS($B$6:$B$151,B125,$Q$6:$Q$151,"&gt;"&amp;Q125)+(COUNTIFS($B$6:$B$151,B125,$Q$6:$Q$151,Q125)+1)/2,"NA")</x:f>
        <x:v>127</x:v>
      </x:c>
      <x:c r="AD125" s="25" t="n">
        <x:v>47.04682858635156</x:v>
      </x:c>
      <x:c r="AE125" s="25" t="n">
        <x:v>123</x:v>
      </x:c>
      <x:c r="AF125" s="25" t="n">
        <x:v>116</x:v>
      </x:c>
      <x:c r="AG125" s="25" t="n">
        <x:v>3</x:v>
      </x:c>
    </x:row>
    <x:row r="126" ht="23" customHeight="1">
      <x:c r="A126" s="21" t="str">
        <x:v>2026春:268194</x:v>
      </x:c>
      <x:c r="B126" s="22" t="str">
        <x:v>s3</x:v>
      </x:c>
      <x:c r="C126" s="24" t="n">
        <x:v>1</x:v>
      </x:c>
      <x:c r="D126" s="24" t="n">
        <x:v>1</x:v>
      </x:c>
      <x:c r="E126" s="29" t="n">
        <x:f>'指标计算'!S167</x:f>
        <x:v>0.5101736720399471</x:v>
      </x:c>
      <x:c r="F126" s="29" t="n">
        <x:f>'指标计算'!T167</x:f>
        <x:v>0.6220840644793653</x:v>
      </x:c>
      <x:c r="G126" s="29" t="n">
        <x:f>'指标计算'!U167</x:f>
        <x:v>0.6220840644793653</x:v>
      </x:c>
      <x:c r="H126" s="29" t="n">
        <x:f>'指标计算'!V167</x:f>
        <x:v>0.3333333333333333</x:v>
      </x:c>
      <x:c r="I126" s="30" t="n">
        <x:f>IF(COUNT('总览与权重'!$H$11:$K$11)=4,ROUND(100*SUMPRODUCT(E126:H126,'总览与权重'!$H$11:$K$11),12),"NA")</x:f>
        <x:v>50.188572740373</x:v>
      </x:c>
      <x:c r="J126" s="30" t="n">
        <x:f>IF(ISNUMBER(I126),COUNTIFS($I$6:$I$151,"&gt;"&amp;I126)+(COUNTIFS($I$6:$I$151,I126)+1)/2,"NA")</x:f>
        <x:v>121</x:v>
      </x:c>
      <x:c r="K126" s="30" t="n">
        <x:f>IF(COUNT('总览与权重'!$H$12:$K$12)=4,ROUND(100*SUMPRODUCT(E126:H126,'总览与权重'!$H$12:$K$12),12),"NA")</x:f>
        <x:v>54.195183976228</x:v>
      </x:c>
      <x:c r="L126" s="30" t="n">
        <x:f>IF(ISNUMBER(K126),COUNTIFS($K$6:$K$151,"&gt;"&amp;K126)+(COUNTIFS($K$6:$K$151,K126)+1)/2,"NA")</x:f>
        <x:v>117</x:v>
      </x:c>
      <x:c r="M126" s="30" t="n">
        <x:f>IF(COUNT('总览与权重'!$H$13:$K$13)=4,ROUND(100*SUMPRODUCT(E126:H126,'总览与权重'!$H$13:$K$13),12),"NA")</x:f>
        <x:v>49.30437104684</x:v>
      </x:c>
      <x:c r="N126" s="30" t="n">
        <x:f>IF(ISNUMBER(M126),COUNTIFS($M$6:$M$151,"&gt;"&amp;M126)+(COUNTIFS($M$6:$M$151,M126)+1)/2,"NA")</x:f>
        <x:v>121</x:v>
      </x:c>
      <x:c r="O126" s="30" t="n">
        <x:f>IF(COUNT('总览与权重'!$H$14:$K$14)=4,ROUND(100*SUMPRODUCT(E126:H126,'总览与权重'!$H$14:$K$14),12),"NA")</x:f>
        <x:v>53.514676390112</x:v>
      </x:c>
      <x:c r="P126" s="30" t="n">
        <x:f>IF(ISNUMBER(O126),COUNTIFS($O$6:$O$151,"&gt;"&amp;O126)+(COUNTIFS($O$6:$O$151,O126)+1)/2,"NA")</x:f>
        <x:v>117</x:v>
      </x:c>
      <x:c r="Q126" s="30" t="n">
        <x:f>IF(COUNT('总览与权重'!$H$15:$K$15)=4,ROUND(100*SUMPRODUCT(E126:H126,'总览与权重'!$H$15:$K$15),12),"NA")</x:f>
        <x:v>44.11463087754</x:v>
      </x:c>
      <x:c r="R126" s="30" t="n">
        <x:f>IF(ISNUMBER(Q126),COUNTIFS($Q$6:$Q$151,"&gt;"&amp;Q126)+(COUNTIFS($Q$6:$Q$151,Q126)+1)/2,"NA")</x:f>
        <x:v>136</x:v>
      </x:c>
      <x:c r="S126" s="31" t="n">
        <x:f>IF(OR(B126="s3",B126="s6"),COUNTIFS($B$6:$B$151,B126,$I$6:$I$151,"&gt;"&amp;I126)+(COUNTIFS($B$6:$B$151,B126,$I$6:$I$151,I126)+1)/2,"NA")</x:f>
        <x:v>114</x:v>
      </x:c>
      <x:c r="T126" s="26" t="str">
        <x:f>IF(COUNTIFS($I$6:$I$151,"&gt;"&amp;I126)&gt;=30,"非前20%",IF(COUNTIFS($I$6:$I$151,"&gt;="&amp;I126)&gt;=30,"边界同分","严格前20%"))</x:f>
        <x:v>非前20%</x:v>
      </x:c>
      <x:c r="U126" s="26" t="str">
        <x:f>IF(COUNTIFS($I$6:$I$151,"&lt;"&amp;I126)&gt;=30,"非后20%",IF(COUNTIFS($I$6:$I$151,"&lt;="&amp;I126)&gt;=30,"边界同分","严格后20%"))</x:f>
        <x:v>严格后20%</x:v>
      </x:c>
      <x:c r="V126" s="22" t="n">
        <x:f>'指标计算'!P167</x:f>
        <x:v>0.24416812895873055</x:v>
      </x:c>
      <x:c r="W126" s="22" t="n">
        <x:f>'指标计算'!Q167</x:f>
        <x:v>0.24416812895873055</x:v>
      </x:c>
      <x:c r="X126" s="22" t="str">
        <x:v>["S1067"]</x:v>
      </x:c>
      <x:c r="Y126" s="22" t="str">
        <x:v>evidence/student_evidence.jsonl；student_key=2026春:268194</x:v>
      </x:c>
      <x:c r="Z126" s="26" t="n">
        <x:f>IF(OR(B126="s3",B126="s6"),COUNTIFS($B$6:$B$151,B126,$K$6:$K$151,"&gt;"&amp;K126)+(COUNTIFS($B$6:$B$151,B126,$K$6:$K$151,K126)+1)/2,"NA")</x:f>
        <x:v>112</x:v>
      </x:c>
      <x:c r="AA126" s="26" t="n">
        <x:f>IF(OR(B126="s3",B126="s6"),COUNTIFS($B$6:$B$151,B126,$M$6:$M$151,"&gt;"&amp;M126)+(COUNTIFS($B$6:$B$151,B126,$M$6:$M$151,M126)+1)/2,"NA")</x:f>
        <x:v>114</x:v>
      </x:c>
      <x:c r="AB126" s="26" t="n">
        <x:f>IF(OR(B126="s3",B126="s6"),COUNTIFS($B$6:$B$151,B126,$O$6:$O$151,"&gt;"&amp;O126)+(COUNTIFS($B$6:$B$151,B126,$O$6:$O$151,O126)+1)/2,"NA")</x:f>
        <x:v>112</x:v>
      </x:c>
      <x:c r="AC126" s="26" t="n">
        <x:f>IF(OR(B126="s3",B126="s6"),COUNTIFS($B$6:$B$151,B126,$Q$6:$Q$151,"&gt;"&amp;Q126)+(COUNTIFS($B$6:$B$151,B126,$Q$6:$Q$151,Q126)+1)/2,"NA")</x:f>
        <x:v>128</x:v>
      </x:c>
      <x:c r="AD126" s="25" t="n">
        <x:v>47.02804440329428</x:v>
      </x:c>
      <x:c r="AE126" s="25" t="n">
        <x:v>124</x:v>
      </x:c>
      <x:c r="AF126" s="25" t="n">
        <x:v>117</x:v>
      </x:c>
      <x:c r="AG126" s="25" t="n">
        <x:v>3</x:v>
      </x:c>
    </x:row>
    <x:row r="127" ht="23" customHeight="1">
      <x:c r="A127" s="21" t="str">
        <x:v>2025秋:258939</x:v>
      </x:c>
      <x:c r="B127" s="22" t="str">
        <x:v>s3</x:v>
      </x:c>
      <x:c r="C127" s="24" t="n">
        <x:v>1</x:v>
      </x:c>
      <x:c r="D127" s="24" t="n">
        <x:v>1</x:v>
      </x:c>
      <x:c r="E127" s="29" t="n">
        <x:f>'指标计算'!S49</x:f>
        <x:v>0.5080426782472359</x:v>
      </x:c>
      <x:c r="F127" s="29" t="n">
        <x:f>'指标计算'!T49</x:f>
        <x:v>0.6206401737085399</x:v>
      </x:c>
      <x:c r="G127" s="29" t="n">
        <x:f>'指标计算'!U49</x:f>
        <x:v>0.6206401737085399</x:v>
      </x:c>
      <x:c r="H127" s="29" t="n">
        <x:f>'指标计算'!V49</x:f>
        <x:v>0.3333333333333333</x:v>
      </x:c>
      <x:c r="I127" s="30" t="n">
        <x:f>IF(COUNT('总览与权重'!$H$11:$K$11)=4,ROUND(100*SUMPRODUCT(E127:H127,'总览与权重'!$H$11:$K$11),12),"NA")</x:f>
        <x:v>50.066887295759</x:v>
      </x:c>
      <x:c r="J127" s="30" t="n">
        <x:f>IF(ISNUMBER(I127),COUNTIFS($I$6:$I$151,"&gt;"&amp;I127)+(COUNTIFS($I$6:$I$151,I127)+1)/2,"NA")</x:f>
        <x:v>122</x:v>
      </x:c>
      <x:c r="K127" s="30" t="n">
        <x:f>IF(COUNT('总览与权重'!$H$12:$K$12)=4,ROUND(100*SUMPRODUCT(E127:H127,'总览与权重'!$H$12:$K$12),12),"NA")</x:f>
        <x:v>54.065930654124</x:v>
      </x:c>
      <x:c r="L127" s="30" t="n">
        <x:f>IF(ISNUMBER(K127),COUNTIFS($K$6:$K$151,"&gt;"&amp;K127)+(COUNTIFS($K$6:$K$151,K127)+1)/2,"NA")</x:f>
        <x:v>118</x:v>
      </x:c>
      <x:c r="M127" s="30" t="n">
        <x:f>IF(COUNT('总览与权重'!$H$13:$K$13)=4,ROUND(100*SUMPRODUCT(E127:H127,'总览与权重'!$H$13:$K$13),12),"NA")</x:f>
        <x:v>49.193340571189</x:v>
      </x:c>
      <x:c r="N127" s="30" t="n">
        <x:f>IF(ISNUMBER(M127),COUNTIFS($M$6:$M$151,"&gt;"&amp;M127)+(COUNTIFS($M$6:$M$151,M127)+1)/2,"NA")</x:f>
        <x:v>122</x:v>
      </x:c>
      <x:c r="O127" s="30" t="n">
        <x:f>IF(COUNT('总览与权重'!$H$14:$K$14)=4,ROUND(100*SUMPRODUCT(E127:H127,'总览与权重'!$H$14:$K$14),12),"NA")</x:f>
        <x:v>53.413412425747</x:v>
      </x:c>
      <x:c r="P127" s="30" t="n">
        <x:f>IF(ISNUMBER(O127),COUNTIFS($O$6:$O$151,"&gt;"&amp;O127)+(COUNTIFS($O$6:$O$151,O127)+1)/2,"NA")</x:f>
        <x:v>118</x:v>
      </x:c>
      <x:c r="Q127" s="30" t="n">
        <x:f>IF(COUNT('总览与权重'!$H$15:$K$15)=4,ROUND(100*SUMPRODUCT(E127:H127,'总览与权重'!$H$15:$K$15),12),"NA")</x:f>
        <x:v>44.060533539852</x:v>
      </x:c>
      <x:c r="R127" s="30" t="n">
        <x:f>IF(ISNUMBER(Q127),COUNTIFS($Q$6:$Q$151,"&gt;"&amp;Q127)+(COUNTIFS($Q$6:$Q$151,Q127)+1)/2,"NA")</x:f>
        <x:v>137</x:v>
      </x:c>
      <x:c r="S127" s="31" t="n">
        <x:f>IF(OR(B127="s3",B127="s6"),COUNTIFS($B$6:$B$151,B127,$I$6:$I$151,"&gt;"&amp;I127)+(COUNTIFS($B$6:$B$151,B127,$I$6:$I$151,I127)+1)/2,"NA")</x:f>
        <x:v>115</x:v>
      </x:c>
      <x:c r="T127" s="26" t="str">
        <x:f>IF(COUNTIFS($I$6:$I$151,"&gt;"&amp;I127)&gt;=30,"非前20%",IF(COUNTIFS($I$6:$I$151,"&gt;="&amp;I127)&gt;=30,"边界同分","严格前20%"))</x:f>
        <x:v>非前20%</x:v>
      </x:c>
      <x:c r="U127" s="26" t="str">
        <x:f>IF(COUNTIFS($I$6:$I$151,"&lt;"&amp;I127)&gt;=30,"非后20%",IF(COUNTIFS($I$6:$I$151,"&lt;="&amp;I127)&gt;=30,"边界同分","严格后20%"))</x:f>
        <x:v>严格后20%</x:v>
      </x:c>
      <x:c r="V127" s="22" t="n">
        <x:f>'指标计算'!P49</x:f>
        <x:v>0.19302427793366372</x:v>
      </x:c>
      <x:c r="W127" s="22" t="n">
        <x:f>'指标计算'!Q49</x:f>
        <x:v>0.24128034741707965</x:v>
      </x:c>
      <x:c r="X127" s="22" t="str">
        <x:v>["S0367"]</x:v>
      </x:c>
      <x:c r="Y127" s="22" t="str">
        <x:v>evidence/student_evidence.jsonl；student_key=2025秋:258939</x:v>
      </x:c>
      <x:c r="Z127" s="26" t="n">
        <x:f>IF(OR(B127="s3",B127="s6"),COUNTIFS($B$6:$B$151,B127,$K$6:$K$151,"&gt;"&amp;K127)+(COUNTIFS($B$6:$B$151,B127,$K$6:$K$151,K127)+1)/2,"NA")</x:f>
        <x:v>113</x:v>
      </x:c>
      <x:c r="AA127" s="26" t="n">
        <x:f>IF(OR(B127="s3",B127="s6"),COUNTIFS($B$6:$B$151,B127,$M$6:$M$151,"&gt;"&amp;M127)+(COUNTIFS($B$6:$B$151,B127,$M$6:$M$151,M127)+1)/2,"NA")</x:f>
        <x:v>115</x:v>
      </x:c>
      <x:c r="AB127" s="26" t="n">
        <x:f>IF(OR(B127="s3",B127="s6"),COUNTIFS($B$6:$B$151,B127,$O$6:$O$151,"&gt;"&amp;O127)+(COUNTIFS($B$6:$B$151,B127,$O$6:$O$151,O127)+1)/2,"NA")</x:f>
        <x:v>113</x:v>
      </x:c>
      <x:c r="AC127" s="26" t="n">
        <x:f>IF(OR(B127="s3",B127="s6"),COUNTIFS($B$6:$B$151,B127,$Q$6:$Q$151,"&gt;"&amp;Q127)+(COUNTIFS($B$6:$B$151,B127,$Q$6:$Q$151,Q127)+1)/2,"NA")</x:f>
        <x:v>129</x:v>
      </x:c>
      <x:c r="AD127" s="25" t="n">
        <x:v>47.97756374096665</x:v>
      </x:c>
      <x:c r="AE127" s="25" t="n">
        <x:v>121</x:v>
      </x:c>
      <x:c r="AF127" s="25" t="n">
        <x:v>114</x:v>
      </x:c>
      <x:c r="AG127" s="25" t="n">
        <x:v>-1</x:v>
      </x:c>
    </x:row>
    <x:row r="128" ht="23" customHeight="1">
      <x:c r="A128" s="21" t="str">
        <x:v>2026春:268126</x:v>
      </x:c>
      <x:c r="B128" s="22" t="str">
        <x:v>s3</x:v>
      </x:c>
      <x:c r="C128" s="24" t="n">
        <x:v>1</x:v>
      </x:c>
      <x:c r="D128" s="24" t="n">
        <x:v>1</x:v>
      </x:c>
      <x:c r="E128" s="29" t="n">
        <x:f>'指标计算'!S152</x:f>
        <x:v>0.5096483650602127</x:v>
      </x:c>
      <x:c r="F128" s="29" t="n">
        <x:f>'指标计算'!T152</x:f>
        <x:v>0.6157803807225525</x:v>
      </x:c>
      <x:c r="G128" s="29" t="n">
        <x:f>'指标计算'!U152</x:f>
        <x:v>0.6157803807225525</x:v>
      </x:c>
      <x:c r="H128" s="29" t="n">
        <x:f>'指标计算'!V152</x:f>
        <x:v>0.3333333333333333</x:v>
      </x:c>
      <x:c r="I128" s="30" t="n">
        <x:f>IF(COUNT('总览与权重'!$H$11:$K$11)=4,ROUND(100*SUMPRODUCT(E128:H128,'总览与权重'!$H$11:$K$11),12),"NA")</x:f>
        <x:v>49.920666180708</x:v>
      </x:c>
      <x:c r="J128" s="30" t="n">
        <x:f>IF(ISNUMBER(I128),COUNTIFS($I$6:$I$151,"&gt;"&amp;I128)+(COUNTIFS($I$6:$I$151,I128)+1)/2,"NA")</x:f>
        <x:v>123</x:v>
      </x:c>
      <x:c r="K128" s="30" t="n">
        <x:f>IF(COUNT('总览与权重'!$H$12:$K$12)=4,ROUND(100*SUMPRODUCT(E128:H128,'总览与权重'!$H$12:$K$12),12),"NA")</x:f>
        <x:v>53.806456811224</x:v>
      </x:c>
      <x:c r="L128" s="30" t="n">
        <x:f>IF(ISNUMBER(K128),COUNTIFS($K$6:$K$151,"&gt;"&amp;K128)+(COUNTIFS($K$6:$K$151,K128)+1)/2,"NA")</x:f>
        <x:v>119</x:v>
      </x:c>
      <x:c r="M128" s="30" t="n">
        <x:f>IF(COUNT('总览与权重'!$H$13:$K$13)=4,ROUND(100*SUMPRODUCT(E128:H128,'总览与权重'!$H$13:$K$13),12),"NA")</x:f>
        <x:v>49.039091022074</x:v>
      </x:c>
      <x:c r="N128" s="30" t="n">
        <x:f>IF(ISNUMBER(M128),COUNTIFS($M$6:$M$151,"&gt;"&amp;M128)+(COUNTIFS($M$6:$M$151,M128)+1)/2,"NA")</x:f>
        <x:v>124</x:v>
      </x:c>
      <x:c r="O128" s="30" t="n">
        <x:f>IF(COUNT('总览与权重'!$H$14:$K$14)=4,ROUND(100*SUMPRODUCT(E128:H128,'总览与权重'!$H$14:$K$14),12),"NA")</x:f>
        <x:v>53.075029926147</x:v>
      </x:c>
      <x:c r="P128" s="30" t="n">
        <x:f>IF(ISNUMBER(O128),COUNTIFS($O$6:$O$151,"&gt;"&amp;O128)+(COUNTIFS($O$6:$O$151,O128)+1)/2,"NA")</x:f>
        <x:v>120</x:v>
      </x:c>
      <x:c r="Q128" s="30" t="n">
        <x:f>IF(COUNT('总览与权重'!$H$15:$K$15)=4,ROUND(100*SUMPRODUCT(E128:H128,'总览与权重'!$H$15:$K$15),12),"NA")</x:f>
        <x:v>43.879762497921</x:v>
      </x:c>
      <x:c r="R128" s="30" t="n">
        <x:f>IF(ISNUMBER(Q128),COUNTIFS($Q$6:$Q$151,"&gt;"&amp;Q128)+(COUNTIFS($Q$6:$Q$151,Q128)+1)/2,"NA")</x:f>
        <x:v>138</x:v>
      </x:c>
      <x:c r="S128" s="31" t="n">
        <x:f>IF(OR(B128="s3",B128="s6"),COUNTIFS($B$6:$B$151,B128,$I$6:$I$151,"&gt;"&amp;I128)+(COUNTIFS($B$6:$B$151,B128,$I$6:$I$151,I128)+1)/2,"NA")</x:f>
        <x:v>116</x:v>
      </x:c>
      <x:c r="T128" s="26" t="str">
        <x:f>IF(COUNTIFS($I$6:$I$151,"&gt;"&amp;I128)&gt;=30,"非前20%",IF(COUNTIFS($I$6:$I$151,"&gt;="&amp;I128)&gt;=30,"边界同分","严格前20%"))</x:f>
        <x:v>非前20%</x:v>
      </x:c>
      <x:c r="U128" s="26" t="str">
        <x:f>IF(COUNTIFS($I$6:$I$151,"&lt;"&amp;I128)&gt;=30,"非后20%",IF(COUNTIFS($I$6:$I$151,"&lt;="&amp;I128)&gt;=30,"边界同分","严格后20%"))</x:f>
        <x:v>严格后20%</x:v>
      </x:c>
      <x:c r="V128" s="22" t="n">
        <x:f>'指标计算'!P152</x:f>
        <x:v>0.231560761445105</x:v>
      </x:c>
      <x:c r="W128" s="22" t="n">
        <x:f>'指标计算'!Q152</x:f>
        <x:v>0.231560761445105</x:v>
      </x:c>
      <x:c r="X128" s="22" t="str">
        <x:v>["S0931"]</x:v>
      </x:c>
      <x:c r="Y128" s="22" t="str">
        <x:v>evidence/student_evidence.jsonl；student_key=2026春:268126</x:v>
      </x:c>
      <x:c r="Z128" s="26" t="n">
        <x:f>IF(OR(B128="s3",B128="s6"),COUNTIFS($B$6:$B$151,B128,$K$6:$K$151,"&gt;"&amp;K128)+(COUNTIFS($B$6:$B$151,B128,$K$6:$K$151,K128)+1)/2,"NA")</x:f>
        <x:v>114</x:v>
      </x:c>
      <x:c r="AA128" s="26" t="n">
        <x:f>IF(OR(B128="s3",B128="s6"),COUNTIFS($B$6:$B$151,B128,$M$6:$M$151,"&gt;"&amp;M128)+(COUNTIFS($B$6:$B$151,B128,$M$6:$M$151,M128)+1)/2,"NA")</x:f>
        <x:v>117</x:v>
      </x:c>
      <x:c r="AB128" s="26" t="n">
        <x:f>IF(OR(B128="s3",B128="s6"),COUNTIFS($B$6:$B$151,B128,$O$6:$O$151,"&gt;"&amp;O128)+(COUNTIFS($B$6:$B$151,B128,$O$6:$O$151,O128)+1)/2,"NA")</x:f>
        <x:v>115</x:v>
      </x:c>
      <x:c r="AC128" s="26" t="n">
        <x:f>IF(OR(B128="s3",B128="s6"),COUNTIFS($B$6:$B$151,B128,$Q$6:$Q$151,"&gt;"&amp;Q128)+(COUNTIFS($B$6:$B$151,B128,$Q$6:$Q$151,Q128)+1)/2,"NA")</x:f>
        <x:v>130</x:v>
      </x:c>
      <x:c r="AD128" s="25" t="n">
        <x:v>47.19777928411484</x:v>
      </x:c>
      <x:c r="AE128" s="25" t="n">
        <x:v>122</x:v>
      </x:c>
      <x:c r="AF128" s="25" t="n">
        <x:v>115</x:v>
      </x:c>
      <x:c r="AG128" s="25" t="n">
        <x:v>-1</x:v>
      </x:c>
    </x:row>
    <x:row r="129" ht="23" customHeight="1">
      <x:c r="A129" s="21" t="str">
        <x:v>2026春:268162</x:v>
      </x:c>
      <x:c r="B129" s="22" t="str">
        <x:v>s3</x:v>
      </x:c>
      <x:c r="C129" s="24" t="n">
        <x:v>1</x:v>
      </x:c>
      <x:c r="D129" s="24" t="n">
        <x:v>1</x:v>
      </x:c>
      <x:c r="E129" s="29" t="n">
        <x:f>'指标计算'!S162</x:f>
        <x:v>0.5094126400808077</x:v>
      </x:c>
      <x:c r="F129" s="29" t="n">
        <x:f>'指标计算'!T162</x:f>
        <x:v>0.6129516809696918</x:v>
      </x:c>
      <x:c r="G129" s="29" t="n">
        <x:f>'指标计算'!U162</x:f>
        <x:v>0.6129516809696918</x:v>
      </x:c>
      <x:c r="H129" s="29" t="n">
        <x:f>'指标计算'!V162</x:f>
        <x:v>0.3333333333333333</x:v>
      </x:c>
      <x:c r="I129" s="30" t="n">
        <x:f>IF(COUNT('总览与权重'!$H$11:$K$11)=4,ROUND(100*SUMPRODUCT(E129:H129,'总览与权重'!$H$11:$K$11),12),"NA")</x:f>
        <x:v>49.800446441212</x:v>
      </x:c>
      <x:c r="J129" s="30" t="n">
        <x:f>IF(ISNUMBER(I129),COUNTIFS($I$6:$I$151,"&gt;"&amp;I129)+(COUNTIFS($I$6:$I$151,I129)+1)/2,"NA")</x:f>
        <x:v>124</x:v>
      </x:c>
      <x:c r="K129" s="30" t="n">
        <x:f>IF(COUNT('总览与权重'!$H$12:$K$12)=4,ROUND(100*SUMPRODUCT(E129:H129,'总览与权重'!$H$12:$K$12),12),"NA")</x:f>
        <x:v>53.632020326464</x:v>
      </x:c>
      <x:c r="L129" s="30" t="n">
        <x:f>IF(ISNUMBER(K129),COUNTIFS($K$6:$K$151,"&gt;"&amp;K129)+(COUNTIFS($K$6:$K$151,K129)+1)/2,"NA")</x:f>
        <x:v>120</x:v>
      </x:c>
      <x:c r="M129" s="30" t="n">
        <x:f>IF(COUNT('总览与权重'!$H$13:$K$13)=4,ROUND(100*SUMPRODUCT(E129:H129,'总览与权重'!$H$13:$K$13),12),"NA")</x:f>
        <x:v>48.920049907475</x:v>
      </x:c>
      <x:c r="N129" s="30" t="n">
        <x:f>IF(ISNUMBER(M129),COUNTIFS($M$6:$M$151,"&gt;"&amp;M129)+(COUNTIFS($M$6:$M$151,M129)+1)/2,"NA")</x:f>
        <x:v>125</x:v>
      </x:c>
      <x:c r="O129" s="30" t="n">
        <x:f>IF(COUNT('总览与权重'!$H$14:$K$14)=4,ROUND(100*SUMPRODUCT(E129:H129,'总览与权重'!$H$14:$K$14),12),"NA")</x:f>
        <x:v>52.877744038729</x:v>
      </x:c>
      <x:c r="P129" s="30" t="n">
        <x:f>IF(ISNUMBER(O129),COUNTIFS($O$6:$O$151,"&gt;"&amp;O129)+(COUNTIFS($O$6:$O$151,O129)+1)/2,"NA")</x:f>
        <x:v>122</x:v>
      </x:c>
      <x:c r="Q129" s="30" t="n">
        <x:f>IF(COUNT('总览与权重'!$H$15:$K$15)=4,ROUND(100*SUMPRODUCT(E129:H129,'总览与权重'!$H$15:$K$15),12),"NA")</x:f>
        <x:v>43.77436823117</x:v>
      </x:c>
      <x:c r="R129" s="30" t="n">
        <x:f>IF(ISNUMBER(Q129),COUNTIFS($Q$6:$Q$151,"&gt;"&amp;Q129)+(COUNTIFS($Q$6:$Q$151,Q129)+1)/2,"NA")</x:f>
        <x:v>139</x:v>
      </x:c>
      <x:c r="S129" s="31" t="n">
        <x:f>IF(OR(B129="s3",B129="s6"),COUNTIFS($B$6:$B$151,B129,$I$6:$I$151,"&gt;"&amp;I129)+(COUNTIFS($B$6:$B$151,B129,$I$6:$I$151,I129)+1)/2,"NA")</x:f>
        <x:v>117</x:v>
      </x:c>
      <x:c r="T129" s="26" t="str">
        <x:f>IF(COUNTIFS($I$6:$I$151,"&gt;"&amp;I129)&gt;=30,"非前20%",IF(COUNTIFS($I$6:$I$151,"&gt;="&amp;I129)&gt;=30,"边界同分","严格前20%"))</x:f>
        <x:v>非前20%</x:v>
      </x:c>
      <x:c r="U129" s="26" t="str">
        <x:f>IF(COUNTIFS($I$6:$I$151,"&lt;"&amp;I129)&gt;=30,"非后20%",IF(COUNTIFS($I$6:$I$151,"&lt;="&amp;I129)&gt;=30,"边界同分","严格后20%"))</x:f>
        <x:v>严格后20%</x:v>
      </x:c>
      <x:c r="V129" s="22" t="n">
        <x:f>'指标计算'!P162</x:f>
        <x:v>0.22590336193938357</x:v>
      </x:c>
      <x:c r="W129" s="22" t="n">
        <x:f>'指标计算'!Q162</x:f>
        <x:v>0.22590336193938357</x:v>
      </x:c>
      <x:c r="X129" s="22" t="str">
        <x:v>["S1027"]</x:v>
      </x:c>
      <x:c r="Y129" s="22" t="str">
        <x:v>evidence/student_evidence.jsonl；student_key=2026春:268162</x:v>
      </x:c>
      <x:c r="Z129" s="26" t="n">
        <x:f>IF(OR(B129="s3",B129="s6"),COUNTIFS($B$6:$B$151,B129,$K$6:$K$151,"&gt;"&amp;K129)+(COUNTIFS($B$6:$B$151,B129,$K$6:$K$151,K129)+1)/2,"NA")</x:f>
        <x:v>115</x:v>
      </x:c>
      <x:c r="AA129" s="26" t="n">
        <x:f>IF(OR(B129="s3",B129="s6"),COUNTIFS($B$6:$B$151,B129,$M$6:$M$151,"&gt;"&amp;M129)+(COUNTIFS($B$6:$B$151,B129,$M$6:$M$151,M129)+1)/2,"NA")</x:f>
        <x:v>118</x:v>
      </x:c>
      <x:c r="AB129" s="26" t="n">
        <x:f>IF(OR(B129="s3",B129="s6"),COUNTIFS($B$6:$B$151,B129,$O$6:$O$151,"&gt;"&amp;O129)+(COUNTIFS($B$6:$B$151,B129,$O$6:$O$151,O129)+1)/2,"NA")</x:f>
        <x:v>117</x:v>
      </x:c>
      <x:c r="AC129" s="26" t="n">
        <x:f>IF(OR(B129="s3",B129="s6"),COUNTIFS($B$6:$B$151,B129,$Q$6:$Q$151,"&gt;"&amp;Q129)+(COUNTIFS($B$6:$B$151,B129,$Q$6:$Q$151,Q129)+1)/2,"NA")</x:f>
        <x:v>131</x:v>
      </x:c>
      <x:c r="AD129" s="25" t="n">
        <x:v>46.63991810413316</x:v>
      </x:c>
      <x:c r="AE129" s="25" t="n">
        <x:v>125</x:v>
      </x:c>
      <x:c r="AF129" s="25" t="n">
        <x:v>118</x:v>
      </x:c>
      <x:c r="AG129" s="25" t="n">
        <x:v>1</x:v>
      </x:c>
    </x:row>
    <x:row r="130" ht="23" customHeight="1">
      <x:c r="A130" s="21" t="str">
        <x:v>2026春:268144</x:v>
      </x:c>
      <x:c r="B130" s="22" t="str">
        <x:v>s3</x:v>
      </x:c>
      <x:c r="C130" s="24" t="n">
        <x:v>1</x:v>
      </x:c>
      <x:c r="D130" s="24" t="n">
        <x:v>1</x:v>
      </x:c>
      <x:c r="E130" s="29" t="n">
        <x:f>'指标计算'!S159</x:f>
        <x:v>0.5092245472116846</x:v>
      </x:c>
      <x:c r="F130" s="29" t="n">
        <x:f>'指标计算'!T159</x:f>
        <x:v>0.610694566540216</x:v>
      </x:c>
      <x:c r="G130" s="29" t="n">
        <x:f>'指标计算'!U159</x:f>
        <x:v>0.610694566540216</x:v>
      </x:c>
      <x:c r="H130" s="29" t="n">
        <x:f>'指标计算'!V159</x:f>
        <x:v>0.3333333333333333</x:v>
      </x:c>
      <x:c r="I130" s="30" t="n">
        <x:f>IF(COUNT('总览与权重'!$H$11:$K$11)=4,ROUND(100*SUMPRODUCT(E130:H130,'总览与权重'!$H$11:$K$11),12),"NA")</x:f>
        <x:v>49.704519077959</x:v>
      </x:c>
      <x:c r="J130" s="30" t="n">
        <x:f>IF(ISNUMBER(I130),COUNTIFS($I$6:$I$151,"&gt;"&amp;I130)+(COUNTIFS($I$6:$I$151,I130)+1)/2,"NA")</x:f>
        <x:v>125</x:v>
      </x:c>
      <x:c r="K130" s="30" t="n">
        <x:f>IF(COUNT('总览与权重'!$H$12:$K$12)=4,ROUND(100*SUMPRODUCT(E130:H130,'总览与权重'!$H$12:$K$12),12),"NA")</x:f>
        <x:v>53.492831603313</x:v>
      </x:c>
      <x:c r="L130" s="30" t="n">
        <x:f>IF(ISNUMBER(K130),COUNTIFS($K$6:$K$151,"&gt;"&amp;K130)+(COUNTIFS($K$6:$K$151,K130)+1)/2,"NA")</x:f>
        <x:v>121</x:v>
      </x:c>
      <x:c r="M130" s="30" t="n">
        <x:f>IF(COUNT('总览与权重'!$H$13:$K$13)=4,ROUND(100*SUMPRODUCT(E130:H130,'总览与权重'!$H$13:$K$13),12),"NA")</x:f>
        <x:v>48.825063008567</x:v>
      </x:c>
      <x:c r="N130" s="30" t="n">
        <x:f>IF(ISNUMBER(M130),COUNTIFS($M$6:$M$151,"&gt;"&amp;M130)+(COUNTIFS($M$6:$M$151,M130)+1)/2,"NA")</x:f>
        <x:v>126</x:v>
      </x:c>
      <x:c r="O130" s="30" t="n">
        <x:f>IF(COUNT('总览与权重'!$H$14:$K$14)=4,ROUND(100*SUMPRODUCT(E130:H130,'总览与权重'!$H$14:$K$14),12),"NA")</x:f>
        <x:v>52.72032301065</x:v>
      </x:c>
      <x:c r="P130" s="30" t="n">
        <x:f>IF(ISNUMBER(O130),COUNTIFS($O$6:$O$151,"&gt;"&amp;O130)+(COUNTIFS($O$6:$O$151,O130)+1)/2,"NA")</x:f>
        <x:v>123</x:v>
      </x:c>
      <x:c r="Q130" s="30" t="n">
        <x:f>IF(COUNT('总览与权重'!$H$15:$K$15)=4,ROUND(100*SUMPRODUCT(E130:H130,'总览与权重'!$H$15:$K$15),12),"NA")</x:f>
        <x:v>43.690270609983</x:v>
      </x:c>
      <x:c r="R130" s="30" t="n">
        <x:f>IF(ISNUMBER(Q130),COUNTIFS($Q$6:$Q$151,"&gt;"&amp;Q130)+(COUNTIFS($Q$6:$Q$151,Q130)+1)/2,"NA")</x:f>
        <x:v>140</x:v>
      </x:c>
      <x:c r="S130" s="31" t="n">
        <x:f>IF(OR(B130="s3",B130="s6"),COUNTIFS($B$6:$B$151,B130,$I$6:$I$151,"&gt;"&amp;I130)+(COUNTIFS($B$6:$B$151,B130,$I$6:$I$151,I130)+1)/2,"NA")</x:f>
        <x:v>118</x:v>
      </x:c>
      <x:c r="T130" s="26" t="str">
        <x:f>IF(COUNTIFS($I$6:$I$151,"&gt;"&amp;I130)&gt;=30,"非前20%",IF(COUNTIFS($I$6:$I$151,"&gt;="&amp;I130)&gt;=30,"边界同分","严格前20%"))</x:f>
        <x:v>非前20%</x:v>
      </x:c>
      <x:c r="U130" s="26" t="str">
        <x:f>IF(COUNTIFS($I$6:$I$151,"&lt;"&amp;I130)&gt;=30,"非后20%",IF(COUNTIFS($I$6:$I$151,"&lt;="&amp;I130)&gt;=30,"边界同分","严格后20%"))</x:f>
        <x:v>严格后20%</x:v>
      </x:c>
      <x:c r="V130" s="22" t="n">
        <x:f>'指标计算'!P159</x:f>
        <x:v>0.22138913308043204</x:v>
      </x:c>
      <x:c r="W130" s="22" t="n">
        <x:f>'指标计算'!Q159</x:f>
        <x:v>0.22138913308043204</x:v>
      </x:c>
      <x:c r="X130" s="22" t="str">
        <x:v>["S0983"]</x:v>
      </x:c>
      <x:c r="Y130" s="22" t="str">
        <x:v>evidence/student_evidence.jsonl；student_key=2026春:268144</x:v>
      </x:c>
      <x:c r="Z130" s="26" t="n">
        <x:f>IF(OR(B130="s3",B130="s6"),COUNTIFS($B$6:$B$151,B130,$K$6:$K$151,"&gt;"&amp;K130)+(COUNTIFS($B$6:$B$151,B130,$K$6:$K$151,K130)+1)/2,"NA")</x:f>
        <x:v>116</x:v>
      </x:c>
      <x:c r="AA130" s="26" t="n">
        <x:f>IF(OR(B130="s3",B130="s6"),COUNTIFS($B$6:$B$151,B130,$M$6:$M$151,"&gt;"&amp;M130)+(COUNTIFS($B$6:$B$151,B130,$M$6:$M$151,M130)+1)/2,"NA")</x:f>
        <x:v>119</x:v>
      </x:c>
      <x:c r="AB130" s="26" t="n">
        <x:f>IF(OR(B130="s3",B130="s6"),COUNTIFS($B$6:$B$151,B130,$O$6:$O$151,"&gt;"&amp;O130)+(COUNTIFS($B$6:$B$151,B130,$O$6:$O$151,O130)+1)/2,"NA")</x:f>
        <x:v>118</x:v>
      </x:c>
      <x:c r="AC130" s="26" t="n">
        <x:f>IF(OR(B130="s3",B130="s6"),COUNTIFS($B$6:$B$151,B130,$Q$6:$Q$151,"&gt;"&amp;Q130)+(COUNTIFS($B$6:$B$151,B130,$Q$6:$Q$151,Q130)+1)/2,"NA")</x:f>
        <x:v>132</x:v>
      </x:c>
      <x:c r="AD130" s="25" t="n">
        <x:v>46.54399074088044</x:v>
      </x:c>
      <x:c r="AE130" s="25" t="n">
        <x:v>126</x:v>
      </x:c>
      <x:c r="AF130" s="25" t="n">
        <x:v>119</x:v>
      </x:c>
      <x:c r="AG130" s="25" t="n">
        <x:v>1</x:v>
      </x:c>
    </x:row>
    <x:row r="131" ht="23" customHeight="1">
      <x:c r="A131" s="21" t="str">
        <x:v>2025秋:258990</x:v>
      </x:c>
      <x:c r="B131" s="22" t="str">
        <x:v>s3</x:v>
      </x:c>
      <x:c r="C131" s="24" t="n">
        <x:v>1</x:v>
      </x:c>
      <x:c r="D131" s="24" t="n">
        <x:v>1</x:v>
      </x:c>
      <x:c r="E131" s="29" t="n">
        <x:f>'指标计算'!S58</x:f>
        <x:v>0.5089824311470269</x:v>
      </x:c>
      <x:c r="F131" s="29" t="n">
        <x:f>'指标计算'!T58</x:f>
        <x:v>0.6077891737643235</x:v>
      </x:c>
      <x:c r="G131" s="29" t="n">
        <x:f>'指标计算'!U58</x:f>
        <x:v>0.6077891737643235</x:v>
      </x:c>
      <x:c r="H131" s="29" t="n">
        <x:f>'指标计算'!V58</x:f>
        <x:v>0.3333333333333333</x:v>
      </x:c>
      <x:c r="I131" s="30" t="n">
        <x:f>IF(COUNT('总览与权重'!$H$11:$K$11)=4,ROUND(100*SUMPRODUCT(E131:H131,'总览与权重'!$H$11:$K$11),12),"NA")</x:f>
        <x:v>49.581039884984</x:v>
      </x:c>
      <x:c r="J131" s="30" t="n">
        <x:f>IF(ISNUMBER(I131),COUNTIFS($I$6:$I$151,"&gt;"&amp;I131)+(COUNTIFS($I$6:$I$151,I131)+1)/2,"NA")</x:f>
        <x:v>126</x:v>
      </x:c>
      <x:c r="K131" s="30" t="n">
        <x:f>IF(COUNT('总览与权重'!$H$12:$K$12)=4,ROUND(100*SUMPRODUCT(E131:H131,'总览与权重'!$H$12:$K$12),12),"NA")</x:f>
        <x:v>53.313665715467</x:v>
      </x:c>
      <x:c r="L131" s="30" t="n">
        <x:f>IF(ISNUMBER(K131),COUNTIFS($K$6:$K$151,"&gt;"&amp;K131)+(COUNTIFS($K$6:$K$151,K131)+1)/2,"NA")</x:f>
        <x:v>122</x:v>
      </x:c>
      <x:c r="M131" s="30" t="n">
        <x:f>IF(COUNT('总览与权重'!$H$13:$K$13)=4,ROUND(100*SUMPRODUCT(E131:H131,'总览与权重'!$H$13:$K$13),12),"NA")</x:f>
        <x:v>48.702794395915</x:v>
      </x:c>
      <x:c r="N131" s="30" t="n">
        <x:f>IF(ISNUMBER(M131),COUNTIFS($M$6:$M$151,"&gt;"&amp;M131)+(COUNTIFS($M$6:$M$151,M131)+1)/2,"NA")</x:f>
        <x:v>127</x:v>
      </x:c>
      <x:c r="O131" s="30" t="n">
        <x:f>IF(COUNT('总览与权重'!$H$14:$K$14)=4,ROUND(100*SUMPRODUCT(E131:H131,'总览与权重'!$H$14:$K$14),12),"NA")</x:f>
        <x:v>52.517688216515</x:v>
      </x:c>
      <x:c r="P131" s="30" t="n">
        <x:f>IF(ISNUMBER(O131),COUNTIFS($O$6:$O$151,"&gt;"&amp;O131)+(COUNTIFS($O$6:$O$151,O131)+1)/2,"NA")</x:f>
        <x:v>124</x:v>
      </x:c>
      <x:c r="Q131" s="30" t="n">
        <x:f>IF(COUNT('总览与权重'!$H$15:$K$15)=4,ROUND(100*SUMPRODUCT(E131:H131,'总览与权重'!$H$15:$K$15),12),"NA")</x:f>
        <x:v>43.582018844864</x:v>
      </x:c>
      <x:c r="R131" s="30" t="n">
        <x:f>IF(ISNUMBER(Q131),COUNTIFS($Q$6:$Q$151,"&gt;"&amp;Q131)+(COUNTIFS($Q$6:$Q$151,Q131)+1)/2,"NA")</x:f>
        <x:v>141</x:v>
      </x:c>
      <x:c r="S131" s="31" t="n">
        <x:f>IF(OR(B131="s3",B131="s6"),COUNTIFS($B$6:$B$151,B131,$I$6:$I$151,"&gt;"&amp;I131)+(COUNTIFS($B$6:$B$151,B131,$I$6:$I$151,I131)+1)/2,"NA")</x:f>
        <x:v>119</x:v>
      </x:c>
      <x:c r="T131" s="26" t="str">
        <x:f>IF(COUNTIFS($I$6:$I$151,"&gt;"&amp;I131)&gt;=30,"非前20%",IF(COUNTIFS($I$6:$I$151,"&gt;="&amp;I131)&gt;=30,"边界同分","严格前20%"))</x:f>
        <x:v>非前20%</x:v>
      </x:c>
      <x:c r="U131" s="26" t="str">
        <x:f>IF(COUNTIFS($I$6:$I$151,"&lt;"&amp;I131)&gt;=30,"非后20%",IF(COUNTIFS($I$6:$I$151,"&lt;="&amp;I131)&gt;=30,"边界同分","严格后20%"))</x:f>
        <x:v>严格后20%</x:v>
      </x:c>
      <x:c r="V131" s="22" t="n">
        <x:f>'指标计算'!P58</x:f>
        <x:v>0.21557834752864694</x:v>
      </x:c>
      <x:c r="W131" s="22" t="n">
        <x:f>'指标计算'!Q58</x:f>
        <x:v>0.21557834752864694</x:v>
      </x:c>
      <x:c r="X131" s="22" t="str">
        <x:v>["S0491"]</x:v>
      </x:c>
      <x:c r="Y131" s="22" t="str">
        <x:v>evidence/student_evidence.jsonl；student_key=2025秋:258990</x:v>
      </x:c>
      <x:c r="Z131" s="26" t="n">
        <x:f>IF(OR(B131="s3",B131="s6"),COUNTIFS($B$6:$B$151,B131,$K$6:$K$151,"&gt;"&amp;K131)+(COUNTIFS($B$6:$B$151,B131,$K$6:$K$151,K131)+1)/2,"NA")</x:f>
        <x:v>117</x:v>
      </x:c>
      <x:c r="AA131" s="26" t="n">
        <x:f>IF(OR(B131="s3",B131="s6"),COUNTIFS($B$6:$B$151,B131,$M$6:$M$151,"&gt;"&amp;M131)+(COUNTIFS($B$6:$B$151,B131,$M$6:$M$151,M131)+1)/2,"NA")</x:f>
        <x:v>120</x:v>
      </x:c>
      <x:c r="AB131" s="26" t="n">
        <x:f>IF(OR(B131="s3",B131="s6"),COUNTIFS($B$6:$B$151,B131,$O$6:$O$151,"&gt;"&amp;O131)+(COUNTIFS($B$6:$B$151,B131,$O$6:$O$151,O131)+1)/2,"NA")</x:f>
        <x:v>119</x:v>
      </x:c>
      <x:c r="AC131" s="26" t="n">
        <x:f>IF(OR(B131="s3",B131="s6"),COUNTIFS($B$6:$B$151,B131,$Q$6:$Q$151,"&gt;"&amp;Q131)+(COUNTIFS($B$6:$B$151,B131,$Q$6:$Q$151,Q131)+1)/2,"NA")</x:f>
        <x:v>133</x:v>
      </x:c>
      <x:c r="AD131" s="25" t="n">
        <x:v>46.42116657675885</x:v>
      </x:c>
      <x:c r="AE131" s="25" t="n">
        <x:v>127</x:v>
      </x:c>
      <x:c r="AF131" s="25" t="n">
        <x:v>120</x:v>
      </x:c>
      <x:c r="AG131" s="25" t="n">
        <x:v>1</x:v>
      </x:c>
    </x:row>
    <x:row r="132" ht="23" customHeight="1">
      <x:c r="A132" s="21" t="str">
        <x:v>2025秋:259958</x:v>
      </x:c>
      <x:c r="B132" s="22" t="str">
        <x:v>s3</x:v>
      </x:c>
      <x:c r="C132" s="24" t="n">
        <x:v>1</x:v>
      </x:c>
      <x:c r="D132" s="24" t="n">
        <x:v>1</x:v>
      </x:c>
      <x:c r="E132" s="29" t="n">
        <x:f>'指标计算'!S131</x:f>
        <x:v>0.498863068058661</x:v>
      </x:c>
      <x:c r="F132" s="29" t="n">
        <x:f>'指标计算'!T131</x:f>
        <x:v>0.4772613611732203</x:v>
      </x:c>
      <x:c r="G132" s="29" t="n">
        <x:f>'指标计算'!U131</x:f>
        <x:v>0.4772613611732203</x:v>
      </x:c>
      <x:c r="H132" s="29" t="n">
        <x:f>'指标计算'!V131</x:f>
        <x:v>0.5</x:v>
      </x:c>
      <x:c r="I132" s="30" t="n">
        <x:f>IF(COUNT('总览与权重'!$H$11:$K$11)=4,ROUND(100*SUMPRODUCT(E132:H132,'总览与权重'!$H$11:$K$11),12),"NA")</x:f>
        <x:v>49.056346488689</x:v>
      </x:c>
      <x:c r="J132" s="30" t="n">
        <x:f>IF(ISNUMBER(I132),COUNTIFS($I$6:$I$151,"&gt;"&amp;I132)+(COUNTIFS($I$6:$I$151,I132)+1)/2,"NA")</x:f>
        <x:v>127</x:v>
      </x:c>
      <x:c r="K132" s="30" t="n">
        <x:f>IF(COUNT('总览与权重'!$H$12:$K$12)=4,ROUND(100*SUMPRODUCT(E132:H132,'总览与权重'!$H$12:$K$12),12),"NA")</x:f>
        <x:v>48.612943031566</x:v>
      </x:c>
      <x:c r="L132" s="30" t="n">
        <x:f>IF(ISNUMBER(K132),COUNTIFS($K$6:$K$151,"&gt;"&amp;K132)+(COUNTIFS($K$6:$K$151,K132)+1)/2,"NA")</x:f>
        <x:v>127</x:v>
      </x:c>
      <x:c r="M132" s="30" t="n">
        <x:f>IF(COUNT('总览与权重'!$H$13:$K$13)=4,ROUND(100*SUMPRODUCT(E132:H132,'总览与权重'!$H$13:$K$13),12),"NA")</x:f>
        <x:v>49.062031148395</x:v>
      </x:c>
      <x:c r="N132" s="30" t="n">
        <x:f>IF(ISNUMBER(M132),COUNTIFS($M$6:$M$151,"&gt;"&amp;M132)+(COUNTIFS($M$6:$M$151,M132)+1)/2,"NA")</x:f>
        <x:v>123</x:v>
      </x:c>
      <x:c r="O132" s="30" t="n">
        <x:f>IF(COUNT('总览与权重'!$H$14:$K$14)=4,ROUND(100*SUMPRODUCT(E132:H132,'总览与权重'!$H$14:$K$14),12),"NA")</x:f>
        <x:v>48.41431928687</x:v>
      </x:c>
      <x:c r="P132" s="30" t="n">
        <x:f>IF(ISNUMBER(O132),COUNTIFS($O$6:$O$151,"&gt;"&amp;O132)+(COUNTIFS($O$6:$O$151,O132)+1)/2,"NA")</x:f>
        <x:v>128</x:v>
      </x:c>
      <x:c r="Q132" s="30" t="n">
        <x:f>IF(COUNT('总览与权重'!$H$15:$K$15)=4,ROUND(100*SUMPRODUCT(E132:H132,'总览与权重'!$H$15:$K$15),12),"NA")</x:f>
        <x:v>49.152896042138</x:v>
      </x:c>
      <x:c r="R132" s="30" t="n">
        <x:f>IF(ISNUMBER(Q132),COUNTIFS($Q$6:$Q$151,"&gt;"&amp;Q132)+(COUNTIFS($Q$6:$Q$151,Q132)+1)/2,"NA")</x:f>
        <x:v>118</x:v>
      </x:c>
      <x:c r="S132" s="31" t="n">
        <x:f>IF(OR(B132="s3",B132="s6"),COUNTIFS($B$6:$B$151,B132,$I$6:$I$151,"&gt;"&amp;I132)+(COUNTIFS($B$6:$B$151,B132,$I$6:$I$151,I132)+1)/2,"NA")</x:f>
        <x:v>120</x:v>
      </x:c>
      <x:c r="T132" s="26" t="str">
        <x:f>IF(COUNTIFS($I$6:$I$151,"&gt;"&amp;I132)&gt;=30,"非前20%",IF(COUNTIFS($I$6:$I$151,"&gt;="&amp;I132)&gt;=30,"边界同分","严格前20%"))</x:f>
        <x:v>非前20%</x:v>
      </x:c>
      <x:c r="U132" s="26" t="str">
        <x:f>IF(COUNTIFS($I$6:$I$151,"&lt;"&amp;I132)&gt;=30,"非后20%",IF(COUNTIFS($I$6:$I$151,"&lt;="&amp;I132)&gt;=30,"边界同分","严格后20%"))</x:f>
        <x:v>严格后20%</x:v>
      </x:c>
      <x:c r="V132" s="22" t="n">
        <x:f>'指标计算'!P131</x:f>
        <x:v>-0.027286366592135628</x:v>
      </x:c>
      <x:c r="W132" s="22" t="n">
        <x:f>'指标计算'!Q131</x:f>
        <x:v>-0.045477277653559384</x:v>
      </x:c>
      <x:c r="X132" s="22" t="str">
        <x:v>["S0183"]</x:v>
      </x:c>
      <x:c r="Y132" s="22" t="str">
        <x:v>evidence/student_evidence.jsonl；student_key=2025秋:259958</x:v>
      </x:c>
      <x:c r="Z132" s="26" t="n">
        <x:f>IF(OR(B132="s3",B132="s6"),COUNTIFS($B$6:$B$151,B132,$K$6:$K$151,"&gt;"&amp;K132)+(COUNTIFS($B$6:$B$151,B132,$K$6:$K$151,K132)+1)/2,"NA")</x:f>
        <x:v>121</x:v>
      </x:c>
      <x:c r="AA132" s="26" t="n">
        <x:f>IF(OR(B132="s3",B132="s6"),COUNTIFS($B$6:$B$151,B132,$M$6:$M$151,"&gt;"&amp;M132)+(COUNTIFS($B$6:$B$151,B132,$M$6:$M$151,M132)+1)/2,"NA")</x:f>
        <x:v>116</x:v>
      </x:c>
      <x:c r="AB132" s="26" t="n">
        <x:f>IF(OR(B132="s3",B132="s6"),COUNTIFS($B$6:$B$151,B132,$O$6:$O$151,"&gt;"&amp;O132)+(COUNTIFS($B$6:$B$151,B132,$O$6:$O$151,O132)+1)/2,"NA")</x:f>
        <x:v>121</x:v>
      </x:c>
      <x:c r="AC132" s="26" t="n">
        <x:f>IF(OR(B132="s3",B132="s6"),COUNTIFS($B$6:$B$151,B132,$Q$6:$Q$151,"&gt;"&amp;Q132)+(COUNTIFS($B$6:$B$151,B132,$Q$6:$Q$151,Q132)+1)/2,"NA")</x:f>
        <x:v>111</x:v>
      </x:c>
      <x:c r="AD132" s="25" t="n">
        <x:v>48.03063615030673</x:v>
      </x:c>
      <x:c r="AE132" s="25" t="n">
        <x:v>119</x:v>
      </x:c>
      <x:c r="AF132" s="25" t="n">
        <x:v>113</x:v>
      </x:c>
      <x:c r="AG132" s="25" t="n">
        <x:v>-8</x:v>
      </x:c>
    </x:row>
    <x:row r="133" ht="23" customHeight="1">
      <x:c r="A133" s="21" t="str">
        <x:v>2025秋:25A171</x:v>
      </x:c>
      <x:c r="B133" s="22" t="str">
        <x:v>s3</x:v>
      </x:c>
      <x:c r="C133" s="24" t="n">
        <x:v>1</x:v>
      </x:c>
      <x:c r="D133" s="24" t="n">
        <x:v>1</x:v>
      </x:c>
      <x:c r="E133" s="29" t="n">
        <x:f>'指标计算'!S140</x:f>
        <x:v>0.4968675790661326</x:v>
      </x:c>
      <x:c r="F133" s="29" t="n">
        <x:f>'指标计算'!T140</x:f>
        <x:v>0.4530136859919888</x:v>
      </x:c>
      <x:c r="G133" s="29" t="n">
        <x:f>'指标计算'!U140</x:f>
        <x:v>0.4530136859919888</x:v>
      </x:c>
      <x:c r="H133" s="29" t="n">
        <x:f>'指标计算'!V140</x:f>
        <x:v>0.5</x:v>
      </x:c>
      <x:c r="I133" s="30" t="n">
        <x:f>IF(COUNT('总览与权重'!$H$11:$K$11)=4,ROUND(100*SUMPRODUCT(E133:H133,'总览与权重'!$H$11:$K$11),12),"NA")</x:f>
        <x:v>48.026574811664</x:v>
      </x:c>
      <x:c r="J133" s="30" t="n">
        <x:f>IF(ISNUMBER(I133),COUNTIFS($I$6:$I$151,"&gt;"&amp;I133)+(COUNTIFS($I$6:$I$151,I133)+1)/2,"NA")</x:f>
        <x:v>128</x:v>
      </x:c>
      <x:c r="K133" s="30" t="n">
        <x:f>IF(COUNT('总览与权重'!$H$12:$K$12)=4,ROUND(100*SUMPRODUCT(E133:H133,'总览与权重'!$H$12:$K$12),12),"NA")</x:f>
        <x:v>47.118172740842</x:v>
      </x:c>
      <x:c r="L133" s="30" t="n">
        <x:f>IF(ISNUMBER(K133),COUNTIFS($K$6:$K$151,"&gt;"&amp;K133)+(COUNTIFS($K$6:$K$151,K133)+1)/2,"NA")</x:f>
        <x:v>131</x:v>
      </x:c>
      <x:c r="M133" s="30" t="n">
        <x:f>IF(COUNT('总览与权重'!$H$13:$K$13)=4,ROUND(100*SUMPRODUCT(E133:H133,'总览与权重'!$H$13:$K$13),12),"NA")</x:f>
        <x:v>48.042236916333</x:v>
      </x:c>
      <x:c r="N133" s="30" t="n">
        <x:f>IF(ISNUMBER(M133),COUNTIFS($M$6:$M$151,"&gt;"&amp;M133)+(COUNTIFS($M$6:$M$151,M133)+1)/2,"NA")</x:f>
        <x:v>128</x:v>
      </x:c>
      <x:c r="O133" s="30" t="n">
        <x:f>IF(COUNT('总览与权重'!$H$14:$K$14)=4,ROUND(100*SUMPRODUCT(E133:H133,'总览与权重'!$H$14:$K$14),12),"NA")</x:f>
        <x:v>46.723187426188</x:v>
      </x:c>
      <x:c r="P133" s="30" t="n">
        <x:f>IF(ISNUMBER(O133),COUNTIFS($O$6:$O$151,"&gt;"&amp;O133)+(COUNTIFS($O$6:$O$151,O133)+1)/2,"NA")</x:f>
        <x:v>129</x:v>
      </x:c>
      <x:c r="Q133" s="30" t="n">
        <x:f>IF(COUNT('总览与权重'!$H$15:$K$15)=4,ROUND(100*SUMPRODUCT(E133:H133,'总览与权重'!$H$15:$K$15),12),"NA")</x:f>
        <x:v>48.249457865343</x:v>
      </x:c>
      <x:c r="R133" s="30" t="n">
        <x:f>IF(ISNUMBER(Q133),COUNTIFS($Q$6:$Q$151,"&gt;"&amp;Q133)+(COUNTIFS($Q$6:$Q$151,Q133)+1)/2,"NA")</x:f>
        <x:v>120</x:v>
      </x:c>
      <x:c r="S133" s="31" t="n">
        <x:f>IF(OR(B133="s3",B133="s6"),COUNTIFS($B$6:$B$151,B133,$I$6:$I$151,"&gt;"&amp;I133)+(COUNTIFS($B$6:$B$151,B133,$I$6:$I$151,I133)+1)/2,"NA")</x:f>
        <x:v>121</x:v>
      </x:c>
      <x:c r="T133" s="26" t="str">
        <x:f>IF(COUNTIFS($I$6:$I$151,"&gt;"&amp;I133)&gt;=30,"非前20%",IF(COUNTIFS($I$6:$I$151,"&gt;="&amp;I133)&gt;=30,"边界同分","严格前20%"))</x:f>
        <x:v>非前20%</x:v>
      </x:c>
      <x:c r="U133" s="26" t="str">
        <x:f>IF(COUNTIFS($I$6:$I$151,"&lt;"&amp;I133)&gt;=30,"非后20%",IF(COUNTIFS($I$6:$I$151,"&lt;="&amp;I133)&gt;=30,"边界同分","严格后20%"))</x:f>
        <x:v>严格后20%</x:v>
      </x:c>
      <x:c r="V133" s="22" t="n">
        <x:f>'指标计算'!P140</x:f>
        <x:v>-0.07517810241281792</x:v>
      </x:c>
      <x:c r="W133" s="22" t="n">
        <x:f>'指标计算'!Q140</x:f>
        <x:v>-0.0939726280160224</x:v>
      </x:c>
      <x:c r="X133" s="22" t="str">
        <x:v>["S0258"]</x:v>
      </x:c>
      <x:c r="Y133" s="22" t="str">
        <x:v>evidence/student_evidence.jsonl；student_key=2025秋:25A171</x:v>
      </x:c>
      <x:c r="Z133" s="26" t="n">
        <x:f>IF(OR(B133="s3",B133="s6"),COUNTIFS($B$6:$B$151,B133,$K$6:$K$151,"&gt;"&amp;K133)+(COUNTIFS($B$6:$B$151,B133,$K$6:$K$151,K133)+1)/2,"NA")</x:f>
        <x:v>124</x:v>
      </x:c>
      <x:c r="AA133" s="26" t="n">
        <x:f>IF(OR(B133="s3",B133="s6"),COUNTIFS($B$6:$B$151,B133,$M$6:$M$151,"&gt;"&amp;M133)+(COUNTIFS($B$6:$B$151,B133,$M$6:$M$151,M133)+1)/2,"NA")</x:f>
        <x:v>121</x:v>
      </x:c>
      <x:c r="AB133" s="26" t="n">
        <x:f>IF(OR(B133="s3",B133="s6"),COUNTIFS($B$6:$B$151,B133,$O$6:$O$151,"&gt;"&amp;O133)+(COUNTIFS($B$6:$B$151,B133,$O$6:$O$151,O133)+1)/2,"NA")</x:f>
        <x:v>122</x:v>
      </x:c>
      <x:c r="AC133" s="26" t="n">
        <x:f>IF(OR(B133="s3",B133="s6"),COUNTIFS($B$6:$B$151,B133,$Q$6:$Q$151,"&gt;"&amp;Q133)+(COUNTIFS($B$6:$B$151,B133,$Q$6:$Q$151,Q133)+1)/2,"NA")</x:f>
        <x:v>113</x:v>
      </x:c>
      <x:c r="AD133" s="25" t="n">
        <x:v>45.88154743303693</x:v>
      </x:c>
      <x:c r="AE133" s="25" t="n">
        <x:v>128</x:v>
      </x:c>
      <x:c r="AF133" s="25" t="n">
        <x:v>121</x:v>
      </x:c>
      <x:c r="AG133" s="25" t="n">
        <x:v>0</x:v>
      </x:c>
    </x:row>
    <x:row r="134" ht="23" customHeight="1">
      <x:c r="A134" s="21" t="str">
        <x:v>2025秋:258892</x:v>
      </x:c>
      <x:c r="B134" s="22" t="str">
        <x:v>s3</x:v>
      </x:c>
      <x:c r="C134" s="24" t="n">
        <x:v>2</x:v>
      </x:c>
      <x:c r="D134" s="24" t="n">
        <x:v>1</x:v>
      </x:c>
      <x:c r="E134" s="29" t="n">
        <x:f>'指标计算'!S32</x:f>
        <x:v>0.4968304790759522</x:v>
      </x:c>
      <x:c r="F134" s="29" t="n">
        <x:f>'指标计算'!T32</x:f>
        <x:v>0.45245718613928343</x:v>
      </x:c>
      <x:c r="G134" s="29" t="n">
        <x:f>'指标计算'!U32</x:f>
        <x:v>0.45245718613928343</x:v>
      </x:c>
      <x:c r="H134" s="29" t="n">
        <x:f>'指标计算'!V32</x:f>
        <x:v>0.5</x:v>
      </x:c>
      <x:c r="I134" s="30" t="n">
        <x:f>IF(COUNT('总览与权重'!$H$11:$K$11)=4,ROUND(100*SUMPRODUCT(E134:H134,'总览与权重'!$H$11:$K$11),12),"NA")</x:f>
        <x:v>48.00320181785</x:v>
      </x:c>
      <x:c r="J134" s="30" t="n">
        <x:f>IF(ISNUMBER(I134),COUNTIFS($I$6:$I$151,"&gt;"&amp;I134)+(COUNTIFS($I$6:$I$151,I134)+1)/2,"NA")</x:f>
        <x:v>129</x:v>
      </x:c>
      <x:c r="K134" s="30" t="n">
        <x:f>IF(COUNT('总览与权重'!$H$12:$K$12)=4,ROUND(100*SUMPRODUCT(E134:H134,'总览与权重'!$H$12:$K$12),12),"NA")</x:f>
        <x:v>47.084040749876</x:v>
      </x:c>
      <x:c r="L134" s="30" t="n">
        <x:f>IF(ISNUMBER(K134),COUNTIFS($K$6:$K$151,"&gt;"&amp;K134)+(COUNTIFS($K$6:$K$151,K134)+1)/2,"NA")</x:f>
        <x:v>132</x:v>
      </x:c>
      <x:c r="M134" s="30" t="n">
        <x:f>IF(COUNT('总览与权重'!$H$13:$K$13)=4,ROUND(100*SUMPRODUCT(E134:H134,'总览与权重'!$H$13:$K$13),12),"NA")</x:f>
        <x:v>48.01904942247</x:v>
      </x:c>
      <x:c r="N134" s="30" t="n">
        <x:f>IF(ISNUMBER(M134),COUNTIFS($M$6:$M$151,"&gt;"&amp;M134)+(COUNTIFS($M$6:$M$151,M134)+1)/2,"NA")</x:f>
        <x:v>129</x:v>
      </x:c>
      <x:c r="O134" s="30" t="n">
        <x:f>IF(COUNT('总览与权重'!$H$14:$K$14)=4,ROUND(100*SUMPRODUCT(E134:H134,'总览与权重'!$H$14:$K$14),12),"NA")</x:f>
        <x:v>46.684377280017</x:v>
      </x:c>
      <x:c r="P134" s="30" t="n">
        <x:f>IF(ISNUMBER(O134),COUNTIFS($O$6:$O$151,"&gt;"&amp;O134)+(COUNTIFS($O$6:$O$151,O134)+1)/2,"NA")</x:f>
        <x:v>130</x:v>
      </x:c>
      <x:c r="Q134" s="30" t="n">
        <x:f>IF(COUNT('总览与权重'!$H$15:$K$15)=4,ROUND(100*SUMPRODUCT(E134:H134,'总览与权重'!$H$15:$K$15),12),"NA")</x:f>
        <x:v>48.228724669716</x:v>
      </x:c>
      <x:c r="R134" s="30" t="n">
        <x:f>IF(ISNUMBER(Q134),COUNTIFS($Q$6:$Q$151,"&gt;"&amp;Q134)+(COUNTIFS($Q$6:$Q$151,Q134)+1)/2,"NA")</x:f>
        <x:v>121</x:v>
      </x:c>
      <x:c r="S134" s="31" t="n">
        <x:f>IF(OR(B134="s3",B134="s6"),COUNTIFS($B$6:$B$151,B134,$I$6:$I$151,"&gt;"&amp;I134)+(COUNTIFS($B$6:$B$151,B134,$I$6:$I$151,I134)+1)/2,"NA")</x:f>
        <x:v>122</x:v>
      </x:c>
      <x:c r="T134" s="26" t="str">
        <x:f>IF(COUNTIFS($I$6:$I$151,"&gt;"&amp;I134)&gt;=30,"非前20%",IF(COUNTIFS($I$6:$I$151,"&gt;="&amp;I134)&gt;=30,"边界同分","严格前20%"))</x:f>
        <x:v>非前20%</x:v>
      </x:c>
      <x:c r="U134" s="26" t="str">
        <x:f>IF(COUNTIFS($I$6:$I$151,"&lt;"&amp;I134)&gt;=30,"非后20%",IF(COUNTIFS($I$6:$I$151,"&lt;="&amp;I134)&gt;=30,"边界同分","严格后20%"))</x:f>
        <x:v>严格后20%</x:v>
      </x:c>
      <x:c r="V134" s="22" t="n">
        <x:f>'指标计算'!P32</x:f>
        <x:v>-0.0760685021771465</x:v>
      </x:c>
      <x:c r="W134" s="22" t="n">
        <x:f>'指标计算'!Q32</x:f>
        <x:v>-0.09508562772143313</x:v>
      </x:c>
      <x:c r="X134" s="22" t="str">
        <x:v>["S0095","S0473"]</x:v>
      </x:c>
      <x:c r="Y134" s="22" t="str">
        <x:v>evidence/student_evidence.jsonl；student_key=2025秋:258892</x:v>
      </x:c>
      <x:c r="Z134" s="26" t="n">
        <x:f>IF(OR(B134="s3",B134="s6"),COUNTIFS($B$6:$B$151,B134,$K$6:$K$151,"&gt;"&amp;K134)+(COUNTIFS($B$6:$B$151,B134,$K$6:$K$151,K134)+1)/2,"NA")</x:f>
        <x:v>125</x:v>
      </x:c>
      <x:c r="AA134" s="26" t="n">
        <x:f>IF(OR(B134="s3",B134="s6"),COUNTIFS($B$6:$B$151,B134,$M$6:$M$151,"&gt;"&amp;M134)+(COUNTIFS($B$6:$B$151,B134,$M$6:$M$151,M134)+1)/2,"NA")</x:f>
        <x:v>122</x:v>
      </x:c>
      <x:c r="AB134" s="26" t="n">
        <x:f>IF(OR(B134="s3",B134="s6"),COUNTIFS($B$6:$B$151,B134,$O$6:$O$151,"&gt;"&amp;O134)+(COUNTIFS($B$6:$B$151,B134,$O$6:$O$151,O134)+1)/2,"NA")</x:f>
        <x:v>123</x:v>
      </x:c>
      <x:c r="AC134" s="26" t="n">
        <x:f>IF(OR(B134="s3",B134="s6"),COUNTIFS($B$6:$B$151,B134,$Q$6:$Q$151,"&gt;"&amp;Q134)+(COUNTIFS($B$6:$B$151,B134,$Q$6:$Q$151,Q134)+1)/2,"NA")</x:f>
        <x:v>114</x:v>
      </x:c>
      <x:c r="AD134" s="25" t="n">
        <x:v>45.83276901116502</x:v>
      </x:c>
      <x:c r="AE134" s="25" t="n">
        <x:v>129</x:v>
      </x:c>
      <x:c r="AF134" s="25" t="n">
        <x:v>122</x:v>
      </x:c>
      <x:c r="AG134" s="25" t="n">
        <x:v>0</x:v>
      </x:c>
    </x:row>
    <x:row r="135" ht="23" customHeight="1">
      <x:c r="A135" s="21" t="str">
        <x:v>2025秋:258274</x:v>
      </x:c>
      <x:c r="B135" s="22" t="str">
        <x:v>s3</x:v>
      </x:c>
      <x:c r="C135" s="24" t="n">
        <x:v>1</x:v>
      </x:c>
      <x:c r="D135" s="24" t="n">
        <x:v>1</x:v>
      </x:c>
      <x:c r="E135" s="29" t="n">
        <x:f>'指标计算'!S11</x:f>
        <x:v>0.4950881255983017</x:v>
      </x:c>
      <x:c r="F135" s="29" t="n">
        <x:f>'指标计算'!T11</x:f>
        <x:v>0.44105750717962006</x:v>
      </x:c>
      <x:c r="G135" s="29" t="n">
        <x:f>'指标计算'!U11</x:f>
        <x:v>0.44105750717962006</x:v>
      </x:c>
      <x:c r="H135" s="29" t="n">
        <x:f>'指标计算'!V11</x:f>
        <x:v>0.5</x:v>
      </x:c>
      <x:c r="I135" s="30" t="n">
        <x:f>IF(COUNT('总览与权重'!$H$11:$K$11)=4,ROUND(100*SUMPRODUCT(E135:H135,'总览与权重'!$H$11:$K$11),12),"NA")</x:f>
        <x:v>47.494944055134</x:v>
      </x:c>
      <x:c r="J135" s="30" t="n">
        <x:f>IF(ISNUMBER(I135),COUNTIFS($I$6:$I$151,"&gt;"&amp;I135)+(COUNTIFS($I$6:$I$151,I135)+1)/2,"NA")</x:f>
        <x:v>130.5</x:v>
      </x:c>
      <x:c r="K135" s="30" t="n">
        <x:f>IF(COUNT('总览与权重'!$H$12:$K$12)=4,ROUND(100*SUMPRODUCT(E135:H135,'总览与权重'!$H$12:$K$12),12),"NA")</x:f>
        <x:v>46.365212942743</x:v>
      </x:c>
      <x:c r="L135" s="30" t="n">
        <x:f>IF(ISNUMBER(K135),COUNTIFS($K$6:$K$151,"&gt;"&amp;K135)+(COUNTIFS($K$6:$K$151,K135)+1)/2,"NA")</x:f>
        <x:v>133.5</x:v>
      </x:c>
      <x:c r="M135" s="30" t="n">
        <x:f>IF(COUNT('总览与权重'!$H$13:$K$13)=4,ROUND(100*SUMPRODUCT(E135:H135,'总览与权重'!$H$13:$K$13),12),"NA")</x:f>
        <x:v>47.519503427142</x:v>
      </x:c>
      <x:c r="N135" s="30" t="n">
        <x:f>IF(ISNUMBER(M135),COUNTIFS($M$6:$M$151,"&gt;"&amp;M135)+(COUNTIFS($M$6:$M$151,M135)+1)/2,"NA")</x:f>
        <x:v>130.5</x:v>
      </x:c>
      <x:c r="O135" s="30" t="n">
        <x:f>IF(COUNT('总览与权重'!$H$14:$K$14)=4,ROUND(100*SUMPRODUCT(E135:H135,'总览与权重'!$H$14:$K$14),12),"NA")</x:f>
        <x:v>45.889092862919</x:v>
      </x:c>
      <x:c r="P135" s="30" t="n">
        <x:f>IF(ISNUMBER(O135),COUNTIFS($O$6:$O$151,"&gt;"&amp;O135)+(COUNTIFS($O$6:$O$151,O135)+1)/2,"NA")</x:f>
        <x:v>133.5</x:v>
      </x:c>
      <x:c r="Q135" s="30" t="n">
        <x:f>IF(COUNT('总览与权重'!$H$15:$K$15)=4,ROUND(100*SUMPRODUCT(E135:H135,'总览与权重'!$H$15:$K$15),12),"NA")</x:f>
        <x:v>47.80386702229</x:v>
      </x:c>
      <x:c r="R135" s="30" t="n">
        <x:f>IF(ISNUMBER(Q135),COUNTIFS($Q$6:$Q$151,"&gt;"&amp;Q135)+(COUNTIFS($Q$6:$Q$151,Q135)+1)/2,"NA")</x:f>
        <x:v>123.5</x:v>
      </x:c>
      <x:c r="S135" s="31" t="n">
        <x:f>IF(OR(B135="s3",B135="s6"),COUNTIFS($B$6:$B$151,B135,$I$6:$I$151,"&gt;"&amp;I135)+(COUNTIFS($B$6:$B$151,B135,$I$6:$I$151,I135)+1)/2,"NA")</x:f>
        <x:v>123.5</x:v>
      </x:c>
      <x:c r="T135" s="26" t="str">
        <x:f>IF(COUNTIFS($I$6:$I$151,"&gt;"&amp;I135)&gt;=30,"非前20%",IF(COUNTIFS($I$6:$I$151,"&gt;="&amp;I135)&gt;=30,"边界同分","严格前20%"))</x:f>
        <x:v>非前20%</x:v>
      </x:c>
      <x:c r="U135" s="26" t="str">
        <x:f>IF(COUNTIFS($I$6:$I$151,"&lt;"&amp;I135)&gt;=30,"非后20%",IF(COUNTIFS($I$6:$I$151,"&lt;="&amp;I135)&gt;=30,"边界同分","严格后20%"))</x:f>
        <x:v>严格后20%</x:v>
      </x:c>
      <x:c r="V135" s="22" t="n">
        <x:f>'指标计算'!P11</x:f>
        <x:v>-0.11788498564075993</x:v>
      </x:c>
      <x:c r="W135" s="22" t="n">
        <x:f>'指标计算'!Q11</x:f>
        <x:v>-0.11788498564075993</x:v>
      </x:c>
      <x:c r="X135" s="22" t="str">
        <x:v>["S0275"]</x:v>
      </x:c>
      <x:c r="Y135" s="22" t="str">
        <x:v>evidence/student_evidence.jsonl；student_key=2025秋:258274</x:v>
      </x:c>
      <x:c r="Z135" s="26" t="n">
        <x:f>IF(OR(B135="s3",B135="s6"),COUNTIFS($B$6:$B$151,B135,$K$6:$K$151,"&gt;"&amp;K135)+(COUNTIFS($B$6:$B$151,B135,$K$6:$K$151,K135)+1)/2,"NA")</x:f>
        <x:v>126.5</x:v>
      </x:c>
      <x:c r="AA135" s="26" t="n">
        <x:f>IF(OR(B135="s3",B135="s6"),COUNTIFS($B$6:$B$151,B135,$M$6:$M$151,"&gt;"&amp;M135)+(COUNTIFS($B$6:$B$151,B135,$M$6:$M$151,M135)+1)/2,"NA")</x:f>
        <x:v>123.5</x:v>
      </x:c>
      <x:c r="AB135" s="26" t="n">
        <x:f>IF(OR(B135="s3",B135="s6"),COUNTIFS($B$6:$B$151,B135,$O$6:$O$151,"&gt;"&amp;O135)+(COUNTIFS($B$6:$B$151,B135,$O$6:$O$151,O135)+1)/2,"NA")</x:f>
        <x:v>126.5</x:v>
      </x:c>
      <x:c r="AC135" s="26" t="n">
        <x:f>IF(OR(B135="s3",B135="s6"),COUNTIFS($B$6:$B$151,B135,$Q$6:$Q$151,"&gt;"&amp;Q135)+(COUNTIFS($B$6:$B$151,B135,$Q$6:$Q$151,Q135)+1)/2,"NA")</x:f>
        <x:v>116.5</x:v>
      </x:c>
      <x:c r="AD135" s="25" t="n">
        <x:v>44.772057158540214</x:v>
      </x:c>
      <x:c r="AE135" s="25" t="n">
        <x:v>130.5</x:v>
      </x:c>
      <x:c r="AF135" s="25" t="n">
        <x:v>123.5</x:v>
      </x:c>
      <x:c r="AG135" s="25" t="n">
        <x:v>0</x:v>
      </x:c>
    </x:row>
    <x:row r="136" ht="23" customHeight="1">
      <x:c r="A136" s="21" t="str">
        <x:v>2025秋:259315</x:v>
      </x:c>
      <x:c r="B136" s="22" t="str">
        <x:v>s3</x:v>
      </x:c>
      <x:c r="C136" s="24" t="n">
        <x:v>1</x:v>
      </x:c>
      <x:c r="D136" s="24" t="n">
        <x:v>1</x:v>
      </x:c>
      <x:c r="E136" s="29" t="n">
        <x:f>'指标计算'!S80</x:f>
        <x:v>0.4950881255983017</x:v>
      </x:c>
      <x:c r="F136" s="29" t="n">
        <x:f>'指标计算'!T80</x:f>
        <x:v>0.44105750717962006</x:v>
      </x:c>
      <x:c r="G136" s="29" t="n">
        <x:f>'指标计算'!U80</x:f>
        <x:v>0.44105750717962006</x:v>
      </x:c>
      <x:c r="H136" s="29" t="n">
        <x:f>'指标计算'!V80</x:f>
        <x:v>0.5</x:v>
      </x:c>
      <x:c r="I136" s="30" t="n">
        <x:f>IF(COUNT('总览与权重'!$H$11:$K$11)=4,ROUND(100*SUMPRODUCT(E136:H136,'总览与权重'!$H$11:$K$11),12),"NA")</x:f>
        <x:v>47.494944055134</x:v>
      </x:c>
      <x:c r="J136" s="30" t="n">
        <x:f>IF(ISNUMBER(I136),COUNTIFS($I$6:$I$151,"&gt;"&amp;I136)+(COUNTIFS($I$6:$I$151,I136)+1)/2,"NA")</x:f>
        <x:v>130.5</x:v>
      </x:c>
      <x:c r="K136" s="30" t="n">
        <x:f>IF(COUNT('总览与权重'!$H$12:$K$12)=4,ROUND(100*SUMPRODUCT(E136:H136,'总览与权重'!$H$12:$K$12),12),"NA")</x:f>
        <x:v>46.365212942743</x:v>
      </x:c>
      <x:c r="L136" s="30" t="n">
        <x:f>IF(ISNUMBER(K136),COUNTIFS($K$6:$K$151,"&gt;"&amp;K136)+(COUNTIFS($K$6:$K$151,K136)+1)/2,"NA")</x:f>
        <x:v>133.5</x:v>
      </x:c>
      <x:c r="M136" s="30" t="n">
        <x:f>IF(COUNT('总览与权重'!$H$13:$K$13)=4,ROUND(100*SUMPRODUCT(E136:H136,'总览与权重'!$H$13:$K$13),12),"NA")</x:f>
        <x:v>47.519503427142</x:v>
      </x:c>
      <x:c r="N136" s="30" t="n">
        <x:f>IF(ISNUMBER(M136),COUNTIFS($M$6:$M$151,"&gt;"&amp;M136)+(COUNTIFS($M$6:$M$151,M136)+1)/2,"NA")</x:f>
        <x:v>130.5</x:v>
      </x:c>
      <x:c r="O136" s="30" t="n">
        <x:f>IF(COUNT('总览与权重'!$H$14:$K$14)=4,ROUND(100*SUMPRODUCT(E136:H136,'总览与权重'!$H$14:$K$14),12),"NA")</x:f>
        <x:v>45.889092862919</x:v>
      </x:c>
      <x:c r="P136" s="30" t="n">
        <x:f>IF(ISNUMBER(O136),COUNTIFS($O$6:$O$151,"&gt;"&amp;O136)+(COUNTIFS($O$6:$O$151,O136)+1)/2,"NA")</x:f>
        <x:v>133.5</x:v>
      </x:c>
      <x:c r="Q136" s="30" t="n">
        <x:f>IF(COUNT('总览与权重'!$H$15:$K$15)=4,ROUND(100*SUMPRODUCT(E136:H136,'总览与权重'!$H$15:$K$15),12),"NA")</x:f>
        <x:v>47.80386702229</x:v>
      </x:c>
      <x:c r="R136" s="30" t="n">
        <x:f>IF(ISNUMBER(Q136),COUNTIFS($Q$6:$Q$151,"&gt;"&amp;Q136)+(COUNTIFS($Q$6:$Q$151,Q136)+1)/2,"NA")</x:f>
        <x:v>123.5</x:v>
      </x:c>
      <x:c r="S136" s="31" t="n">
        <x:f>IF(OR(B136="s3",B136="s6"),COUNTIFS($B$6:$B$151,B136,$I$6:$I$151,"&gt;"&amp;I136)+(COUNTIFS($B$6:$B$151,B136,$I$6:$I$151,I136)+1)/2,"NA")</x:f>
        <x:v>123.5</x:v>
      </x:c>
      <x:c r="T136" s="26" t="str">
        <x:f>IF(COUNTIFS($I$6:$I$151,"&gt;"&amp;I136)&gt;=30,"非前20%",IF(COUNTIFS($I$6:$I$151,"&gt;="&amp;I136)&gt;=30,"边界同分","严格前20%"))</x:f>
        <x:v>非前20%</x:v>
      </x:c>
      <x:c r="U136" s="26" t="str">
        <x:f>IF(COUNTIFS($I$6:$I$151,"&lt;"&amp;I136)&gt;=30,"非后20%",IF(COUNTIFS($I$6:$I$151,"&lt;="&amp;I136)&gt;=30,"边界同分","严格后20%"))</x:f>
        <x:v>严格后20%</x:v>
      </x:c>
      <x:c r="V136" s="22" t="n">
        <x:f>'指标计算'!P80</x:f>
        <x:v>-0.11788498564075993</x:v>
      </x:c>
      <x:c r="W136" s="22" t="n">
        <x:f>'指标计算'!Q80</x:f>
        <x:v>-0.11788498564075993</x:v>
      </x:c>
      <x:c r="X136" s="22" t="str">
        <x:v>["S0405"]</x:v>
      </x:c>
      <x:c r="Y136" s="22" t="str">
        <x:v>evidence/student_evidence.jsonl；student_key=2025秋:259315</x:v>
      </x:c>
      <x:c r="Z136" s="26" t="n">
        <x:f>IF(OR(B136="s3",B136="s6"),COUNTIFS($B$6:$B$151,B136,$K$6:$K$151,"&gt;"&amp;K136)+(COUNTIFS($B$6:$B$151,B136,$K$6:$K$151,K136)+1)/2,"NA")</x:f>
        <x:v>126.5</x:v>
      </x:c>
      <x:c r="AA136" s="26" t="n">
        <x:f>IF(OR(B136="s3",B136="s6"),COUNTIFS($B$6:$B$151,B136,$M$6:$M$151,"&gt;"&amp;M136)+(COUNTIFS($B$6:$B$151,B136,$M$6:$M$151,M136)+1)/2,"NA")</x:f>
        <x:v>123.5</x:v>
      </x:c>
      <x:c r="AB136" s="26" t="n">
        <x:f>IF(OR(B136="s3",B136="s6"),COUNTIFS($B$6:$B$151,B136,$O$6:$O$151,"&gt;"&amp;O136)+(COUNTIFS($B$6:$B$151,B136,$O$6:$O$151,O136)+1)/2,"NA")</x:f>
        <x:v>126.5</x:v>
      </x:c>
      <x:c r="AC136" s="26" t="n">
        <x:f>IF(OR(B136="s3",B136="s6"),COUNTIFS($B$6:$B$151,B136,$Q$6:$Q$151,"&gt;"&amp;Q136)+(COUNTIFS($B$6:$B$151,B136,$Q$6:$Q$151,Q136)+1)/2,"NA")</x:f>
        <x:v>116.5</x:v>
      </x:c>
      <x:c r="AD136" s="25" t="n">
        <x:v>44.772057158540214</x:v>
      </x:c>
      <x:c r="AE136" s="25" t="n">
        <x:v>130.5</x:v>
      </x:c>
      <x:c r="AF136" s="25" t="n">
        <x:v>123.5</x:v>
      </x:c>
      <x:c r="AG136" s="25" t="n">
        <x:v>0</x:v>
      </x:c>
    </x:row>
    <x:row r="137" ht="23" customHeight="1">
      <x:c r="A137" s="21" t="str">
        <x:v>2025秋:259422</x:v>
      </x:c>
      <x:c r="B137" s="22" t="str">
        <x:v>s3</x:v>
      </x:c>
      <x:c r="C137" s="24" t="n">
        <x:v>1</x:v>
      </x:c>
      <x:c r="D137" s="24" t="n">
        <x:v>1</x:v>
      </x:c>
      <x:c r="E137" s="29" t="n">
        <x:f>'指标计算'!S102</x:f>
        <x:v>0.49429983638516295</x:v>
      </x:c>
      <x:c r="F137" s="29" t="n">
        <x:f>'指标计算'!T102</x:f>
        <x:v>0.4315980366219551</x:v>
      </x:c>
      <x:c r="G137" s="29" t="n">
        <x:f>'指标计算'!U102</x:f>
        <x:v>0.4315980366219551</x:v>
      </x:c>
      <x:c r="H137" s="29" t="n">
        <x:f>'指标计算'!V102</x:f>
        <x:v>0.5</x:v>
      </x:c>
      <x:c r="I137" s="30" t="n">
        <x:f>IF(COUNT('总览与权重'!$H$11:$K$11)=4,ROUND(100*SUMPRODUCT(E137:H137,'总览与权重'!$H$11:$K$11),12),"NA")</x:f>
        <x:v>47.092916556433</x:v>
      </x:c>
      <x:c r="J137" s="30" t="n">
        <x:f>IF(ISNUMBER(I137),COUNTIFS($I$6:$I$151,"&gt;"&amp;I137)+(COUNTIFS($I$6:$I$151,I137)+1)/2,"NA")</x:f>
        <x:v>132</x:v>
      </x:c>
      <x:c r="K137" s="30" t="n">
        <x:f>IF(COUNT('总览与权重'!$H$12:$K$12)=4,ROUND(100*SUMPRODUCT(E137:H137,'总览与权重'!$H$12:$K$12),12),"NA")</x:f>
        <x:v>45.781878925021</x:v>
      </x:c>
      <x:c r="L137" s="30" t="n">
        <x:f>IF(ISNUMBER(K137),COUNTIFS($K$6:$K$151,"&gt;"&amp;K137)+(COUNTIFS($K$6:$K$151,K137)+1)/2,"NA")</x:f>
        <x:v>135</x:v>
      </x:c>
      <x:c r="M137" s="30" t="n">
        <x:f>IF(COUNT('总览与权重'!$H$13:$K$13)=4,ROUND(100*SUMPRODUCT(E137:H137,'总览与权重'!$H$13:$K$13),12),"NA")</x:f>
        <x:v>47.121417374507</x:v>
      </x:c>
      <x:c r="N137" s="30" t="n">
        <x:f>IF(ISNUMBER(M137),COUNTIFS($M$6:$M$151,"&gt;"&amp;M137)+(COUNTIFS($M$6:$M$151,M137)+1)/2,"NA")</x:f>
        <x:v>132</x:v>
      </x:c>
      <x:c r="O137" s="30" t="n">
        <x:f>IF(COUNT('总览与权重'!$H$14:$K$14)=4,ROUND(100*SUMPRODUCT(E137:H137,'总览与权重'!$H$14:$K$14),12),"NA")</x:f>
        <x:v>45.229348030833</x:v>
      </x:c>
      <x:c r="P137" s="30" t="n">
        <x:f>IF(ISNUMBER(O137),COUNTIFS($O$6:$O$151,"&gt;"&amp;O137)+(COUNTIFS($O$6:$O$151,O137)+1)/2,"NA")</x:f>
        <x:v>135</x:v>
      </x:c>
      <x:c r="Q137" s="30" t="n">
        <x:f>IF(COUNT('总览与权重'!$H$15:$K$15)=4,ROUND(100*SUMPRODUCT(E137:H137,'总览与权重'!$H$15:$K$15),12),"NA")</x:f>
        <x:v>47.451417469356</x:v>
      </x:c>
      <x:c r="R137" s="30" t="n">
        <x:f>IF(ISNUMBER(Q137),COUNTIFS($Q$6:$Q$151,"&gt;"&amp;Q137)+(COUNTIFS($Q$6:$Q$151,Q137)+1)/2,"NA")</x:f>
        <x:v>125</x:v>
      </x:c>
      <x:c r="S137" s="31" t="n">
        <x:f>IF(OR(B137="s3",B137="s6"),COUNTIFS($B$6:$B$151,B137,$I$6:$I$151,"&gt;"&amp;I137)+(COUNTIFS($B$6:$B$151,B137,$I$6:$I$151,I137)+1)/2,"NA")</x:f>
        <x:v>125</x:v>
      </x:c>
      <x:c r="T137" s="26" t="str">
        <x:f>IF(COUNTIFS($I$6:$I$151,"&gt;"&amp;I137)&gt;=30,"非前20%",IF(COUNTIFS($I$6:$I$151,"&gt;="&amp;I137)&gt;=30,"边界同分","严格前20%"))</x:f>
        <x:v>非前20%</x:v>
      </x:c>
      <x:c r="U137" s="26" t="str">
        <x:f>IF(COUNTIFS($I$6:$I$151,"&lt;"&amp;I137)&gt;=30,"非后20%",IF(COUNTIFS($I$6:$I$151,"&lt;="&amp;I137)&gt;=30,"边界同分","严格后20%"))</x:f>
        <x:v>严格后20%</x:v>
      </x:c>
      <x:c r="V137" s="22" t="n">
        <x:f>'指标计算'!P102</x:f>
        <x:v>-0.13680392675608974</x:v>
      </x:c>
      <x:c r="W137" s="22" t="n">
        <x:f>'指标计算'!Q102</x:f>
        <x:v>-0.13680392675608974</x:v>
      </x:c>
      <x:c r="X137" s="22" t="str">
        <x:v>["S0421"]</x:v>
      </x:c>
      <x:c r="Y137" s="22" t="str">
        <x:v>evidence/student_evidence.jsonl；student_key=2025秋:259422</x:v>
      </x:c>
      <x:c r="Z137" s="26" t="n">
        <x:f>IF(OR(B137="s3",B137="s6"),COUNTIFS($B$6:$B$151,B137,$K$6:$K$151,"&gt;"&amp;K137)+(COUNTIFS($B$6:$B$151,B137,$K$6:$K$151,K137)+1)/2,"NA")</x:f>
        <x:v>128</x:v>
      </x:c>
      <x:c r="AA137" s="26" t="n">
        <x:f>IF(OR(B137="s3",B137="s6"),COUNTIFS($B$6:$B$151,B137,$M$6:$M$151,"&gt;"&amp;M137)+(COUNTIFS($B$6:$B$151,B137,$M$6:$M$151,M137)+1)/2,"NA")</x:f>
        <x:v>125</x:v>
      </x:c>
      <x:c r="AB137" s="26" t="n">
        <x:f>IF(OR(B137="s3",B137="s6"),COUNTIFS($B$6:$B$151,B137,$O$6:$O$151,"&gt;"&amp;O137)+(COUNTIFS($B$6:$B$151,B137,$O$6:$O$151,O137)+1)/2,"NA")</x:f>
        <x:v>128</x:v>
      </x:c>
      <x:c r="AC137" s="26" t="n">
        <x:f>IF(OR(B137="s3",B137="s6"),COUNTIFS($B$6:$B$151,B137,$Q$6:$Q$151,"&gt;"&amp;Q137)+(COUNTIFS($B$6:$B$151,B137,$Q$6:$Q$151,Q137)+1)/2,"NA")</x:f>
        <x:v>118</x:v>
      </x:c>
      <x:c r="AD137" s="25" t="n">
        <x:v>43.93304324820819</x:v>
      </x:c>
      <x:c r="AE137" s="25" t="n">
        <x:v>133</x:v>
      </x:c>
      <x:c r="AF137" s="25" t="n">
        <x:v>126</x:v>
      </x:c>
      <x:c r="AG137" s="25" t="n">
        <x:v>1</x:v>
      </x:c>
    </x:row>
    <x:row r="138" ht="23" customHeight="1">
      <x:c r="A138" s="21" t="str">
        <x:v>2025秋:258912</x:v>
      </x:c>
      <x:c r="B138" s="22" t="str">
        <x:v>s3</x:v>
      </x:c>
      <x:c r="C138" s="24" t="n">
        <x:v>1</x:v>
      </x:c>
      <x:c r="D138" s="24" t="n">
        <x:v>1</x:v>
      </x:c>
      <x:c r="E138" s="29" t="n">
        <x:f>'指标计算'!S39</x:f>
        <x:v>0.4942986547644854</x:v>
      </x:c>
      <x:c r="F138" s="29" t="n">
        <x:f>'指标计算'!T39</x:f>
        <x:v>0.43158385717382486</x:v>
      </x:c>
      <x:c r="G138" s="29" t="n">
        <x:f>'指标计算'!U39</x:f>
        <x:v>0.43158385717382486</x:v>
      </x:c>
      <x:c r="H138" s="29" t="n">
        <x:f>'指标计算'!V39</x:f>
        <x:v>0.5</x:v>
      </x:c>
      <x:c r="I138" s="30" t="n">
        <x:f>IF(COUNT('总览与权重'!$H$11:$K$11)=4,ROUND(100*SUMPRODUCT(E138:H138,'总览与权重'!$H$11:$K$11),12),"NA")</x:f>
        <x:v>47.092313929888</x:v>
      </x:c>
      <x:c r="J138" s="30" t="n">
        <x:f>IF(ISNUMBER(I138),COUNTIFS($I$6:$I$151,"&gt;"&amp;I138)+(COUNTIFS($I$6:$I$151,I138)+1)/2,"NA")</x:f>
        <x:v>136.5</x:v>
      </x:c>
      <x:c r="K138" s="30" t="n">
        <x:f>IF(COUNT('总览与权重'!$H$12:$K$12)=4,ROUND(100*SUMPRODUCT(E138:H138,'总览与权重'!$H$12:$K$12),12),"NA")</x:f>
        <x:v>45.781004525719</x:v>
      </x:c>
      <x:c r="L138" s="30" t="n">
        <x:f>IF(ISNUMBER(K138),COUNTIFS($K$6:$K$151,"&gt;"&amp;K138)+(COUNTIFS($K$6:$K$151,K138)+1)/2,"NA")</x:f>
        <x:v>139.5</x:v>
      </x:c>
      <x:c r="M138" s="30" t="n">
        <x:f>IF(COUNT('总览与权重'!$H$13:$K$13)=4,ROUND(100*SUMPRODUCT(E138:H138,'总览与权重'!$H$13:$K$13),12),"NA")</x:f>
        <x:v>47.120820656065</x:v>
      </x:c>
      <x:c r="N138" s="30" t="n">
        <x:f>IF(ISNUMBER(M138),COUNTIFS($M$6:$M$151,"&gt;"&amp;M138)+(COUNTIFS($M$6:$M$151,M138)+1)/2,"NA")</x:f>
        <x:v>136.5</x:v>
      </x:c>
      <x:c r="O138" s="30" t="n">
        <x:f>IF(COUNT('总览与权重'!$H$14:$K$14)=4,ROUND(100*SUMPRODUCT(E138:H138,'总览与权重'!$H$14:$K$14),12),"NA")</x:f>
        <x:v>45.22835909413</x:v>
      </x:c>
      <x:c r="P138" s="30" t="n">
        <x:f>IF(ISNUMBER(O138),COUNTIFS($O$6:$O$151,"&gt;"&amp;O138)+(COUNTIFS($O$6:$O$151,O138)+1)/2,"NA")</x:f>
        <x:v>139.5</x:v>
      </x:c>
      <x:c r="Q138" s="30" t="n">
        <x:f>IF(COUNT('总览与权重'!$H$15:$K$15)=4,ROUND(100*SUMPRODUCT(E138:H138,'总览与权重'!$H$15:$K$15),12),"NA")</x:f>
        <x:v>47.450889158588</x:v>
      </x:c>
      <x:c r="R138" s="30" t="n">
        <x:f>IF(ISNUMBER(Q138),COUNTIFS($Q$6:$Q$151,"&gt;"&amp;Q138)+(COUNTIFS($Q$6:$Q$151,Q138)+1)/2,"NA")</x:f>
        <x:v>129.5</x:v>
      </x:c>
      <x:c r="S138" s="31" t="n">
        <x:f>IF(OR(B138="s3",B138="s6"),COUNTIFS($B$6:$B$151,B138,$I$6:$I$151,"&gt;"&amp;I138)+(COUNTIFS($B$6:$B$151,B138,$I$6:$I$151,I138)+1)/2,"NA")</x:f>
        <x:v>129.5</x:v>
      </x:c>
      <x:c r="T138" s="26" t="str">
        <x:f>IF(COUNTIFS($I$6:$I$151,"&gt;"&amp;I138)&gt;=30,"非前20%",IF(COUNTIFS($I$6:$I$151,"&gt;="&amp;I138)&gt;=30,"边界同分","严格前20%"))</x:f>
        <x:v>非前20%</x:v>
      </x:c>
      <x:c r="U138" s="26" t="str">
        <x:f>IF(COUNTIFS($I$6:$I$151,"&lt;"&amp;I138)&gt;=30,"非后20%",IF(COUNTIFS($I$6:$I$151,"&lt;="&amp;I138)&gt;=30,"边界同分","严格后20%"))</x:f>
        <x:v>严格后20%</x:v>
      </x:c>
      <x:c r="V138" s="22" t="n">
        <x:f>'指标计算'!P39</x:f>
        <x:v>-0.13683228565235026</x:v>
      </x:c>
      <x:c r="W138" s="22" t="n">
        <x:f>'指标计算'!Q39</x:f>
        <x:v>-0.13683228565235026</x:v>
      </x:c>
      <x:c r="X138" s="22" t="str">
        <x:v>["S0092"]</x:v>
      </x:c>
      <x:c r="Y138" s="22" t="str">
        <x:v>evidence/student_evidence.jsonl；student_key=2025秋:258912</x:v>
      </x:c>
      <x:c r="Z138" s="26" t="n">
        <x:f>IF(OR(B138="s3",B138="s6"),COUNTIFS($B$6:$B$151,B138,$K$6:$K$151,"&gt;"&amp;K138)+(COUNTIFS($B$6:$B$151,B138,$K$6:$K$151,K138)+1)/2,"NA")</x:f>
        <x:v>132.5</x:v>
      </x:c>
      <x:c r="AA138" s="26" t="n">
        <x:f>IF(OR(B138="s3",B138="s6"),COUNTIFS($B$6:$B$151,B138,$M$6:$M$151,"&gt;"&amp;M138)+(COUNTIFS($B$6:$B$151,B138,$M$6:$M$151,M138)+1)/2,"NA")</x:f>
        <x:v>129.5</x:v>
      </x:c>
      <x:c r="AB138" s="26" t="n">
        <x:f>IF(OR(B138="s3",B138="s6"),COUNTIFS($B$6:$B$151,B138,$O$6:$O$151,"&gt;"&amp;O138)+(COUNTIFS($B$6:$B$151,B138,$O$6:$O$151,O138)+1)/2,"NA")</x:f>
        <x:v>132.5</x:v>
      </x:c>
      <x:c r="AC138" s="26" t="n">
        <x:f>IF(OR(B138="s3",B138="s6"),COUNTIFS($B$6:$B$151,B138,$Q$6:$Q$151,"&gt;"&amp;Q138)+(COUNTIFS($B$6:$B$151,B138,$Q$6:$Q$151,Q138)+1)/2,"NA")</x:f>
        <x:v>122.5</x:v>
      </x:c>
      <x:c r="AD138" s="25" t="n">
        <x:v>43.931785592808815</x:v>
      </x:c>
      <x:c r="AE138" s="25" t="n">
        <x:v>137.5</x:v>
      </x:c>
      <x:c r="AF138" s="25" t="n">
        <x:v>130.5</x:v>
      </x:c>
      <x:c r="AG138" s="25" t="n">
        <x:v>1</x:v>
      </x:c>
    </x:row>
    <x:row r="139" ht="23" customHeight="1">
      <x:c r="A139" s="21" t="str">
        <x:v>2025秋:258923</x:v>
      </x:c>
      <x:c r="B139" s="22" t="str">
        <x:v>s3</x:v>
      </x:c>
      <x:c r="C139" s="24" t="n">
        <x:v>1</x:v>
      </x:c>
      <x:c r="D139" s="24" t="n">
        <x:v>1</x:v>
      </x:c>
      <x:c r="E139" s="29" t="n">
        <x:f>'指标计算'!S43</x:f>
        <x:v>0.4942986547644854</x:v>
      </x:c>
      <x:c r="F139" s="29" t="n">
        <x:f>'指标计算'!T43</x:f>
        <x:v>0.43158385717382486</x:v>
      </x:c>
      <x:c r="G139" s="29" t="n">
        <x:f>'指标计算'!U43</x:f>
        <x:v>0.43158385717382486</x:v>
      </x:c>
      <x:c r="H139" s="29" t="n">
        <x:f>'指标计算'!V43</x:f>
        <x:v>0.5</x:v>
      </x:c>
      <x:c r="I139" s="30" t="n">
        <x:f>IF(COUNT('总览与权重'!$H$11:$K$11)=4,ROUND(100*SUMPRODUCT(E139:H139,'总览与权重'!$H$11:$K$11),12),"NA")</x:f>
        <x:v>47.092313929888</x:v>
      </x:c>
      <x:c r="J139" s="30" t="n">
        <x:f>IF(ISNUMBER(I139),COUNTIFS($I$6:$I$151,"&gt;"&amp;I139)+(COUNTIFS($I$6:$I$151,I139)+1)/2,"NA")</x:f>
        <x:v>136.5</x:v>
      </x:c>
      <x:c r="K139" s="30" t="n">
        <x:f>IF(COUNT('总览与权重'!$H$12:$K$12)=4,ROUND(100*SUMPRODUCT(E139:H139,'总览与权重'!$H$12:$K$12),12),"NA")</x:f>
        <x:v>45.781004525719</x:v>
      </x:c>
      <x:c r="L139" s="30" t="n">
        <x:f>IF(ISNUMBER(K139),COUNTIFS($K$6:$K$151,"&gt;"&amp;K139)+(COUNTIFS($K$6:$K$151,K139)+1)/2,"NA")</x:f>
        <x:v>139.5</x:v>
      </x:c>
      <x:c r="M139" s="30" t="n">
        <x:f>IF(COUNT('总览与权重'!$H$13:$K$13)=4,ROUND(100*SUMPRODUCT(E139:H139,'总览与权重'!$H$13:$K$13),12),"NA")</x:f>
        <x:v>47.120820656065</x:v>
      </x:c>
      <x:c r="N139" s="30" t="n">
        <x:f>IF(ISNUMBER(M139),COUNTIFS($M$6:$M$151,"&gt;"&amp;M139)+(COUNTIFS($M$6:$M$151,M139)+1)/2,"NA")</x:f>
        <x:v>136.5</x:v>
      </x:c>
      <x:c r="O139" s="30" t="n">
        <x:f>IF(COUNT('总览与权重'!$H$14:$K$14)=4,ROUND(100*SUMPRODUCT(E139:H139,'总览与权重'!$H$14:$K$14),12),"NA")</x:f>
        <x:v>45.22835909413</x:v>
      </x:c>
      <x:c r="P139" s="30" t="n">
        <x:f>IF(ISNUMBER(O139),COUNTIFS($O$6:$O$151,"&gt;"&amp;O139)+(COUNTIFS($O$6:$O$151,O139)+1)/2,"NA")</x:f>
        <x:v>139.5</x:v>
      </x:c>
      <x:c r="Q139" s="30" t="n">
        <x:f>IF(COUNT('总览与权重'!$H$15:$K$15)=4,ROUND(100*SUMPRODUCT(E139:H139,'总览与权重'!$H$15:$K$15),12),"NA")</x:f>
        <x:v>47.450889158588</x:v>
      </x:c>
      <x:c r="R139" s="30" t="n">
        <x:f>IF(ISNUMBER(Q139),COUNTIFS($Q$6:$Q$151,"&gt;"&amp;Q139)+(COUNTIFS($Q$6:$Q$151,Q139)+1)/2,"NA")</x:f>
        <x:v>129.5</x:v>
      </x:c>
      <x:c r="S139" s="31" t="n">
        <x:f>IF(OR(B139="s3",B139="s6"),COUNTIFS($B$6:$B$151,B139,$I$6:$I$151,"&gt;"&amp;I139)+(COUNTIFS($B$6:$B$151,B139,$I$6:$I$151,I139)+1)/2,"NA")</x:f>
        <x:v>129.5</x:v>
      </x:c>
      <x:c r="T139" s="26" t="str">
        <x:f>IF(COUNTIFS($I$6:$I$151,"&gt;"&amp;I139)&gt;=30,"非前20%",IF(COUNTIFS($I$6:$I$151,"&gt;="&amp;I139)&gt;=30,"边界同分","严格前20%"))</x:f>
        <x:v>非前20%</x:v>
      </x:c>
      <x:c r="U139" s="26" t="str">
        <x:f>IF(COUNTIFS($I$6:$I$151,"&lt;"&amp;I139)&gt;=30,"非后20%",IF(COUNTIFS($I$6:$I$151,"&lt;="&amp;I139)&gt;=30,"边界同分","严格后20%"))</x:f>
        <x:v>严格后20%</x:v>
      </x:c>
      <x:c r="V139" s="22" t="n">
        <x:f>'指标计算'!P43</x:f>
        <x:v>-0.13683228565235026</x:v>
      </x:c>
      <x:c r="W139" s="22" t="n">
        <x:f>'指标计算'!Q43</x:f>
        <x:v>-0.13683228565235026</x:v>
      </x:c>
      <x:c r="X139" s="22" t="str">
        <x:v>["S0120"]</x:v>
      </x:c>
      <x:c r="Y139" s="22" t="str">
        <x:v>evidence/student_evidence.jsonl；student_key=2025秋:258923</x:v>
      </x:c>
      <x:c r="Z139" s="26" t="n">
        <x:f>IF(OR(B139="s3",B139="s6"),COUNTIFS($B$6:$B$151,B139,$K$6:$K$151,"&gt;"&amp;K139)+(COUNTIFS($B$6:$B$151,B139,$K$6:$K$151,K139)+1)/2,"NA")</x:f>
        <x:v>132.5</x:v>
      </x:c>
      <x:c r="AA139" s="26" t="n">
        <x:f>IF(OR(B139="s3",B139="s6"),COUNTIFS($B$6:$B$151,B139,$M$6:$M$151,"&gt;"&amp;M139)+(COUNTIFS($B$6:$B$151,B139,$M$6:$M$151,M139)+1)/2,"NA")</x:f>
        <x:v>129.5</x:v>
      </x:c>
      <x:c r="AB139" s="26" t="n">
        <x:f>IF(OR(B139="s3",B139="s6"),COUNTIFS($B$6:$B$151,B139,$O$6:$O$151,"&gt;"&amp;O139)+(COUNTIFS($B$6:$B$151,B139,$O$6:$O$151,O139)+1)/2,"NA")</x:f>
        <x:v>132.5</x:v>
      </x:c>
      <x:c r="AC139" s="26" t="n">
        <x:f>IF(OR(B139="s3",B139="s6"),COUNTIFS($B$6:$B$151,B139,$Q$6:$Q$151,"&gt;"&amp;Q139)+(COUNTIFS($B$6:$B$151,B139,$Q$6:$Q$151,Q139)+1)/2,"NA")</x:f>
        <x:v>122.5</x:v>
      </x:c>
      <x:c r="AD139" s="25" t="n">
        <x:v>43.931785592808815</x:v>
      </x:c>
      <x:c r="AE139" s="25" t="n">
        <x:v>137.5</x:v>
      </x:c>
      <x:c r="AF139" s="25" t="n">
        <x:v>130.5</x:v>
      </x:c>
      <x:c r="AG139" s="25" t="n">
        <x:v>1</x:v>
      </x:c>
    </x:row>
    <x:row r="140" ht="23" customHeight="1">
      <x:c r="A140" s="21" t="str">
        <x:v>2025秋:259059</x:v>
      </x:c>
      <x:c r="B140" s="22" t="str">
        <x:v>s3</x:v>
      </x:c>
      <x:c r="C140" s="24" t="n">
        <x:v>1</x:v>
      </x:c>
      <x:c r="D140" s="24" t="n">
        <x:v>1</x:v>
      </x:c>
      <x:c r="E140" s="29" t="n">
        <x:f>'指标计算'!S72</x:f>
        <x:v>0.4942986547644854</x:v>
      </x:c>
      <x:c r="F140" s="29" t="n">
        <x:f>'指标计算'!T72</x:f>
        <x:v>0.43158385717382486</x:v>
      </x:c>
      <x:c r="G140" s="29" t="n">
        <x:f>'指标计算'!U72</x:f>
        <x:v>0.43158385717382486</x:v>
      </x:c>
      <x:c r="H140" s="29" t="n">
        <x:f>'指标计算'!V72</x:f>
        <x:v>0.5</x:v>
      </x:c>
      <x:c r="I140" s="30" t="n">
        <x:f>IF(COUNT('总览与权重'!$H$11:$K$11)=4,ROUND(100*SUMPRODUCT(E140:H140,'总览与权重'!$H$11:$K$11),12),"NA")</x:f>
        <x:v>47.092313929888</x:v>
      </x:c>
      <x:c r="J140" s="30" t="n">
        <x:f>IF(ISNUMBER(I140),COUNTIFS($I$6:$I$151,"&gt;"&amp;I140)+(COUNTIFS($I$6:$I$151,I140)+1)/2,"NA")</x:f>
        <x:v>136.5</x:v>
      </x:c>
      <x:c r="K140" s="30" t="n">
        <x:f>IF(COUNT('总览与权重'!$H$12:$K$12)=4,ROUND(100*SUMPRODUCT(E140:H140,'总览与权重'!$H$12:$K$12),12),"NA")</x:f>
        <x:v>45.781004525719</x:v>
      </x:c>
      <x:c r="L140" s="30" t="n">
        <x:f>IF(ISNUMBER(K140),COUNTIFS($K$6:$K$151,"&gt;"&amp;K140)+(COUNTIFS($K$6:$K$151,K140)+1)/2,"NA")</x:f>
        <x:v>139.5</x:v>
      </x:c>
      <x:c r="M140" s="30" t="n">
        <x:f>IF(COUNT('总览与权重'!$H$13:$K$13)=4,ROUND(100*SUMPRODUCT(E140:H140,'总览与权重'!$H$13:$K$13),12),"NA")</x:f>
        <x:v>47.120820656065</x:v>
      </x:c>
      <x:c r="N140" s="30" t="n">
        <x:f>IF(ISNUMBER(M140),COUNTIFS($M$6:$M$151,"&gt;"&amp;M140)+(COUNTIFS($M$6:$M$151,M140)+1)/2,"NA")</x:f>
        <x:v>136.5</x:v>
      </x:c>
      <x:c r="O140" s="30" t="n">
        <x:f>IF(COUNT('总览与权重'!$H$14:$K$14)=4,ROUND(100*SUMPRODUCT(E140:H140,'总览与权重'!$H$14:$K$14),12),"NA")</x:f>
        <x:v>45.22835909413</x:v>
      </x:c>
      <x:c r="P140" s="30" t="n">
        <x:f>IF(ISNUMBER(O140),COUNTIFS($O$6:$O$151,"&gt;"&amp;O140)+(COUNTIFS($O$6:$O$151,O140)+1)/2,"NA")</x:f>
        <x:v>139.5</x:v>
      </x:c>
      <x:c r="Q140" s="30" t="n">
        <x:f>IF(COUNT('总览与权重'!$H$15:$K$15)=4,ROUND(100*SUMPRODUCT(E140:H140,'总览与权重'!$H$15:$K$15),12),"NA")</x:f>
        <x:v>47.450889158588</x:v>
      </x:c>
      <x:c r="R140" s="30" t="n">
        <x:f>IF(ISNUMBER(Q140),COUNTIFS($Q$6:$Q$151,"&gt;"&amp;Q140)+(COUNTIFS($Q$6:$Q$151,Q140)+1)/2,"NA")</x:f>
        <x:v>129.5</x:v>
      </x:c>
      <x:c r="S140" s="31" t="n">
        <x:f>IF(OR(B140="s3",B140="s6"),COUNTIFS($B$6:$B$151,B140,$I$6:$I$151,"&gt;"&amp;I140)+(COUNTIFS($B$6:$B$151,B140,$I$6:$I$151,I140)+1)/2,"NA")</x:f>
        <x:v>129.5</x:v>
      </x:c>
      <x:c r="T140" s="26" t="str">
        <x:f>IF(COUNTIFS($I$6:$I$151,"&gt;"&amp;I140)&gt;=30,"非前20%",IF(COUNTIFS($I$6:$I$151,"&gt;="&amp;I140)&gt;=30,"边界同分","严格前20%"))</x:f>
        <x:v>非前20%</x:v>
      </x:c>
      <x:c r="U140" s="26" t="str">
        <x:f>IF(COUNTIFS($I$6:$I$151,"&lt;"&amp;I140)&gt;=30,"非后20%",IF(COUNTIFS($I$6:$I$151,"&lt;="&amp;I140)&gt;=30,"边界同分","严格后20%"))</x:f>
        <x:v>严格后20%</x:v>
      </x:c>
      <x:c r="V140" s="22" t="n">
        <x:f>'指标计算'!P72</x:f>
        <x:v>-0.13683228565235026</x:v>
      </x:c>
      <x:c r="W140" s="22" t="n">
        <x:f>'指标计算'!Q72</x:f>
        <x:v>-0.13683228565235026</x:v>
      </x:c>
      <x:c r="X140" s="22" t="str">
        <x:v>["S0426"]</x:v>
      </x:c>
      <x:c r="Y140" s="22" t="str">
        <x:v>evidence/student_evidence.jsonl；student_key=2025秋:259059</x:v>
      </x:c>
      <x:c r="Z140" s="26" t="n">
        <x:f>IF(OR(B140="s3",B140="s6"),COUNTIFS($B$6:$B$151,B140,$K$6:$K$151,"&gt;"&amp;K140)+(COUNTIFS($B$6:$B$151,B140,$K$6:$K$151,K140)+1)/2,"NA")</x:f>
        <x:v>132.5</x:v>
      </x:c>
      <x:c r="AA140" s="26" t="n">
        <x:f>IF(OR(B140="s3",B140="s6"),COUNTIFS($B$6:$B$151,B140,$M$6:$M$151,"&gt;"&amp;M140)+(COUNTIFS($B$6:$B$151,B140,$M$6:$M$151,M140)+1)/2,"NA")</x:f>
        <x:v>129.5</x:v>
      </x:c>
      <x:c r="AB140" s="26" t="n">
        <x:f>IF(OR(B140="s3",B140="s6"),COUNTIFS($B$6:$B$151,B140,$O$6:$O$151,"&gt;"&amp;O140)+(COUNTIFS($B$6:$B$151,B140,$O$6:$O$151,O140)+1)/2,"NA")</x:f>
        <x:v>132.5</x:v>
      </x:c>
      <x:c r="AC140" s="26" t="n">
        <x:f>IF(OR(B140="s3",B140="s6"),COUNTIFS($B$6:$B$151,B140,$Q$6:$Q$151,"&gt;"&amp;Q140)+(COUNTIFS($B$6:$B$151,B140,$Q$6:$Q$151,Q140)+1)/2,"NA")</x:f>
        <x:v>122.5</x:v>
      </x:c>
      <x:c r="AD140" s="25" t="n">
        <x:v>43.931785592808815</x:v>
      </x:c>
      <x:c r="AE140" s="25" t="n">
        <x:v>137.5</x:v>
      </x:c>
      <x:c r="AF140" s="25" t="n">
        <x:v>130.5</x:v>
      </x:c>
      <x:c r="AG140" s="25" t="n">
        <x:v>1</x:v>
      </x:c>
    </x:row>
    <x:row r="141" ht="23" customHeight="1">
      <x:c r="A141" s="21" t="str">
        <x:v>2025秋:259106</x:v>
      </x:c>
      <x:c r="B141" s="22" t="str">
        <x:v>s3</x:v>
      </x:c>
      <x:c r="C141" s="24" t="n">
        <x:v>1</x:v>
      </x:c>
      <x:c r="D141" s="24" t="n">
        <x:v>1</x:v>
      </x:c>
      <x:c r="E141" s="29" t="n">
        <x:f>'指标计算'!S76</x:f>
        <x:v>0.4942986547644854</x:v>
      </x:c>
      <x:c r="F141" s="29" t="n">
        <x:f>'指标计算'!T76</x:f>
        <x:v>0.43158385717382486</x:v>
      </x:c>
      <x:c r="G141" s="29" t="n">
        <x:f>'指标计算'!U76</x:f>
        <x:v>0.43158385717382486</x:v>
      </x:c>
      <x:c r="H141" s="29" t="n">
        <x:f>'指标计算'!V76</x:f>
        <x:v>0.5</x:v>
      </x:c>
      <x:c r="I141" s="30" t="n">
        <x:f>IF(COUNT('总览与权重'!$H$11:$K$11)=4,ROUND(100*SUMPRODUCT(E141:H141,'总览与权重'!$H$11:$K$11),12),"NA")</x:f>
        <x:v>47.092313929888</x:v>
      </x:c>
      <x:c r="J141" s="30" t="n">
        <x:f>IF(ISNUMBER(I141),COUNTIFS($I$6:$I$151,"&gt;"&amp;I141)+(COUNTIFS($I$6:$I$151,I141)+1)/2,"NA")</x:f>
        <x:v>136.5</x:v>
      </x:c>
      <x:c r="K141" s="30" t="n">
        <x:f>IF(COUNT('总览与权重'!$H$12:$K$12)=4,ROUND(100*SUMPRODUCT(E141:H141,'总览与权重'!$H$12:$K$12),12),"NA")</x:f>
        <x:v>45.781004525719</x:v>
      </x:c>
      <x:c r="L141" s="30" t="n">
        <x:f>IF(ISNUMBER(K141),COUNTIFS($K$6:$K$151,"&gt;"&amp;K141)+(COUNTIFS($K$6:$K$151,K141)+1)/2,"NA")</x:f>
        <x:v>139.5</x:v>
      </x:c>
      <x:c r="M141" s="30" t="n">
        <x:f>IF(COUNT('总览与权重'!$H$13:$K$13)=4,ROUND(100*SUMPRODUCT(E141:H141,'总览与权重'!$H$13:$K$13),12),"NA")</x:f>
        <x:v>47.120820656065</x:v>
      </x:c>
      <x:c r="N141" s="30" t="n">
        <x:f>IF(ISNUMBER(M141),COUNTIFS($M$6:$M$151,"&gt;"&amp;M141)+(COUNTIFS($M$6:$M$151,M141)+1)/2,"NA")</x:f>
        <x:v>136.5</x:v>
      </x:c>
      <x:c r="O141" s="30" t="n">
        <x:f>IF(COUNT('总览与权重'!$H$14:$K$14)=4,ROUND(100*SUMPRODUCT(E141:H141,'总览与权重'!$H$14:$K$14),12),"NA")</x:f>
        <x:v>45.22835909413</x:v>
      </x:c>
      <x:c r="P141" s="30" t="n">
        <x:f>IF(ISNUMBER(O141),COUNTIFS($O$6:$O$151,"&gt;"&amp;O141)+(COUNTIFS($O$6:$O$151,O141)+1)/2,"NA")</x:f>
        <x:v>139.5</x:v>
      </x:c>
      <x:c r="Q141" s="30" t="n">
        <x:f>IF(COUNT('总览与权重'!$H$15:$K$15)=4,ROUND(100*SUMPRODUCT(E141:H141,'总览与权重'!$H$15:$K$15),12),"NA")</x:f>
        <x:v>47.450889158588</x:v>
      </x:c>
      <x:c r="R141" s="30" t="n">
        <x:f>IF(ISNUMBER(Q141),COUNTIFS($Q$6:$Q$151,"&gt;"&amp;Q141)+(COUNTIFS($Q$6:$Q$151,Q141)+1)/2,"NA")</x:f>
        <x:v>129.5</x:v>
      </x:c>
      <x:c r="S141" s="31" t="n">
        <x:f>IF(OR(B141="s3",B141="s6"),COUNTIFS($B$6:$B$151,B141,$I$6:$I$151,"&gt;"&amp;I141)+(COUNTIFS($B$6:$B$151,B141,$I$6:$I$151,I141)+1)/2,"NA")</x:f>
        <x:v>129.5</x:v>
      </x:c>
      <x:c r="T141" s="26" t="str">
        <x:f>IF(COUNTIFS($I$6:$I$151,"&gt;"&amp;I141)&gt;=30,"非前20%",IF(COUNTIFS($I$6:$I$151,"&gt;="&amp;I141)&gt;=30,"边界同分","严格前20%"))</x:f>
        <x:v>非前20%</x:v>
      </x:c>
      <x:c r="U141" s="26" t="str">
        <x:f>IF(COUNTIFS($I$6:$I$151,"&lt;"&amp;I141)&gt;=30,"非后20%",IF(COUNTIFS($I$6:$I$151,"&lt;="&amp;I141)&gt;=30,"边界同分","严格后20%"))</x:f>
        <x:v>严格后20%</x:v>
      </x:c>
      <x:c r="V141" s="22" t="n">
        <x:f>'指标计算'!P76</x:f>
        <x:v>-0.13683228565235026</x:v>
      </x:c>
      <x:c r="W141" s="22" t="n">
        <x:f>'指标计算'!Q76</x:f>
        <x:v>-0.13683228565235026</x:v>
      </x:c>
      <x:c r="X141" s="22" t="str">
        <x:v>["S0005"]</x:v>
      </x:c>
      <x:c r="Y141" s="22" t="str">
        <x:v>evidence/student_evidence.jsonl；student_key=2025秋:259106</x:v>
      </x:c>
      <x:c r="Z141" s="26" t="n">
        <x:f>IF(OR(B141="s3",B141="s6"),COUNTIFS($B$6:$B$151,B141,$K$6:$K$151,"&gt;"&amp;K141)+(COUNTIFS($B$6:$B$151,B141,$K$6:$K$151,K141)+1)/2,"NA")</x:f>
        <x:v>132.5</x:v>
      </x:c>
      <x:c r="AA141" s="26" t="n">
        <x:f>IF(OR(B141="s3",B141="s6"),COUNTIFS($B$6:$B$151,B141,$M$6:$M$151,"&gt;"&amp;M141)+(COUNTIFS($B$6:$B$151,B141,$M$6:$M$151,M141)+1)/2,"NA")</x:f>
        <x:v>129.5</x:v>
      </x:c>
      <x:c r="AB141" s="26" t="n">
        <x:f>IF(OR(B141="s3",B141="s6"),COUNTIFS($B$6:$B$151,B141,$O$6:$O$151,"&gt;"&amp;O141)+(COUNTIFS($B$6:$B$151,B141,$O$6:$O$151,O141)+1)/2,"NA")</x:f>
        <x:v>132.5</x:v>
      </x:c>
      <x:c r="AC141" s="26" t="n">
        <x:f>IF(OR(B141="s3",B141="s6"),COUNTIFS($B$6:$B$151,B141,$Q$6:$Q$151,"&gt;"&amp;Q141)+(COUNTIFS($B$6:$B$151,B141,$Q$6:$Q$151,Q141)+1)/2,"NA")</x:f>
        <x:v>122.5</x:v>
      </x:c>
      <x:c r="AD141" s="25" t="n">
        <x:v>43.931785592808815</x:v>
      </x:c>
      <x:c r="AE141" s="25" t="n">
        <x:v>137.5</x:v>
      </x:c>
      <x:c r="AF141" s="25" t="n">
        <x:v>130.5</x:v>
      </x:c>
      <x:c r="AG141" s="25" t="n">
        <x:v>1</x:v>
      </x:c>
    </x:row>
    <x:row r="142" ht="23" customHeight="1">
      <x:c r="A142" s="21" t="str">
        <x:v>2025秋:259346</x:v>
      </x:c>
      <x:c r="B142" s="22" t="str">
        <x:v>s3</x:v>
      </x:c>
      <x:c r="C142" s="24" t="n">
        <x:v>1</x:v>
      </x:c>
      <x:c r="D142" s="24" t="n">
        <x:v>1</x:v>
      </x:c>
      <x:c r="E142" s="29" t="n">
        <x:f>'指标计算'!S94</x:f>
        <x:v>0.4942986547644854</x:v>
      </x:c>
      <x:c r="F142" s="29" t="n">
        <x:f>'指标计算'!T94</x:f>
        <x:v>0.43158385717382486</x:v>
      </x:c>
      <x:c r="G142" s="29" t="n">
        <x:f>'指标计算'!U94</x:f>
        <x:v>0.43158385717382486</x:v>
      </x:c>
      <x:c r="H142" s="29" t="n">
        <x:f>'指标计算'!V94</x:f>
        <x:v>0.5</x:v>
      </x:c>
      <x:c r="I142" s="30" t="n">
        <x:f>IF(COUNT('总览与权重'!$H$11:$K$11)=4,ROUND(100*SUMPRODUCT(E142:H142,'总览与权重'!$H$11:$K$11),12),"NA")</x:f>
        <x:v>47.092313929888</x:v>
      </x:c>
      <x:c r="J142" s="30" t="n">
        <x:f>IF(ISNUMBER(I142),COUNTIFS($I$6:$I$151,"&gt;"&amp;I142)+(COUNTIFS($I$6:$I$151,I142)+1)/2,"NA")</x:f>
        <x:v>136.5</x:v>
      </x:c>
      <x:c r="K142" s="30" t="n">
        <x:f>IF(COUNT('总览与权重'!$H$12:$K$12)=4,ROUND(100*SUMPRODUCT(E142:H142,'总览与权重'!$H$12:$K$12),12),"NA")</x:f>
        <x:v>45.781004525719</x:v>
      </x:c>
      <x:c r="L142" s="30" t="n">
        <x:f>IF(ISNUMBER(K142),COUNTIFS($K$6:$K$151,"&gt;"&amp;K142)+(COUNTIFS($K$6:$K$151,K142)+1)/2,"NA")</x:f>
        <x:v>139.5</x:v>
      </x:c>
      <x:c r="M142" s="30" t="n">
        <x:f>IF(COUNT('总览与权重'!$H$13:$K$13)=4,ROUND(100*SUMPRODUCT(E142:H142,'总览与权重'!$H$13:$K$13),12),"NA")</x:f>
        <x:v>47.120820656065</x:v>
      </x:c>
      <x:c r="N142" s="30" t="n">
        <x:f>IF(ISNUMBER(M142),COUNTIFS($M$6:$M$151,"&gt;"&amp;M142)+(COUNTIFS($M$6:$M$151,M142)+1)/2,"NA")</x:f>
        <x:v>136.5</x:v>
      </x:c>
      <x:c r="O142" s="30" t="n">
        <x:f>IF(COUNT('总览与权重'!$H$14:$K$14)=4,ROUND(100*SUMPRODUCT(E142:H142,'总览与权重'!$H$14:$K$14),12),"NA")</x:f>
        <x:v>45.22835909413</x:v>
      </x:c>
      <x:c r="P142" s="30" t="n">
        <x:f>IF(ISNUMBER(O142),COUNTIFS($O$6:$O$151,"&gt;"&amp;O142)+(COUNTIFS($O$6:$O$151,O142)+1)/2,"NA")</x:f>
        <x:v>139.5</x:v>
      </x:c>
      <x:c r="Q142" s="30" t="n">
        <x:f>IF(COUNT('总览与权重'!$H$15:$K$15)=4,ROUND(100*SUMPRODUCT(E142:H142,'总览与权重'!$H$15:$K$15),12),"NA")</x:f>
        <x:v>47.450889158588</x:v>
      </x:c>
      <x:c r="R142" s="30" t="n">
        <x:f>IF(ISNUMBER(Q142),COUNTIFS($Q$6:$Q$151,"&gt;"&amp;Q142)+(COUNTIFS($Q$6:$Q$151,Q142)+1)/2,"NA")</x:f>
        <x:v>129.5</x:v>
      </x:c>
      <x:c r="S142" s="31" t="n">
        <x:f>IF(OR(B142="s3",B142="s6"),COUNTIFS($B$6:$B$151,B142,$I$6:$I$151,"&gt;"&amp;I142)+(COUNTIFS($B$6:$B$151,B142,$I$6:$I$151,I142)+1)/2,"NA")</x:f>
        <x:v>129.5</x:v>
      </x:c>
      <x:c r="T142" s="26" t="str">
        <x:f>IF(COUNTIFS($I$6:$I$151,"&gt;"&amp;I142)&gt;=30,"非前20%",IF(COUNTIFS($I$6:$I$151,"&gt;="&amp;I142)&gt;=30,"边界同分","严格前20%"))</x:f>
        <x:v>非前20%</x:v>
      </x:c>
      <x:c r="U142" s="26" t="str">
        <x:f>IF(COUNTIFS($I$6:$I$151,"&lt;"&amp;I142)&gt;=30,"非后20%",IF(COUNTIFS($I$6:$I$151,"&lt;="&amp;I142)&gt;=30,"边界同分","严格后20%"))</x:f>
        <x:v>严格后20%</x:v>
      </x:c>
      <x:c r="V142" s="22" t="n">
        <x:f>'指标计算'!P94</x:f>
        <x:v>-0.13683228565235026</x:v>
      </x:c>
      <x:c r="W142" s="22" t="n">
        <x:f>'指标计算'!Q94</x:f>
        <x:v>-0.13683228565235026</x:v>
      </x:c>
      <x:c r="X142" s="22" t="str">
        <x:v>["S0672"]</x:v>
      </x:c>
      <x:c r="Y142" s="22" t="str">
        <x:v>evidence/student_evidence.jsonl；student_key=2025秋:259346</x:v>
      </x:c>
      <x:c r="Z142" s="26" t="n">
        <x:f>IF(OR(B142="s3",B142="s6"),COUNTIFS($B$6:$B$151,B142,$K$6:$K$151,"&gt;"&amp;K142)+(COUNTIFS($B$6:$B$151,B142,$K$6:$K$151,K142)+1)/2,"NA")</x:f>
        <x:v>132.5</x:v>
      </x:c>
      <x:c r="AA142" s="26" t="n">
        <x:f>IF(OR(B142="s3",B142="s6"),COUNTIFS($B$6:$B$151,B142,$M$6:$M$151,"&gt;"&amp;M142)+(COUNTIFS($B$6:$B$151,B142,$M$6:$M$151,M142)+1)/2,"NA")</x:f>
        <x:v>129.5</x:v>
      </x:c>
      <x:c r="AB142" s="26" t="n">
        <x:f>IF(OR(B142="s3",B142="s6"),COUNTIFS($B$6:$B$151,B142,$O$6:$O$151,"&gt;"&amp;O142)+(COUNTIFS($B$6:$B$151,B142,$O$6:$O$151,O142)+1)/2,"NA")</x:f>
        <x:v>132.5</x:v>
      </x:c>
      <x:c r="AC142" s="26" t="n">
        <x:f>IF(OR(B142="s3",B142="s6"),COUNTIFS($B$6:$B$151,B142,$Q$6:$Q$151,"&gt;"&amp;Q142)+(COUNTIFS($B$6:$B$151,B142,$Q$6:$Q$151,Q142)+1)/2,"NA")</x:f>
        <x:v>122.5</x:v>
      </x:c>
      <x:c r="AD142" s="25" t="n">
        <x:v>43.931785592808815</x:v>
      </x:c>
      <x:c r="AE142" s="25" t="n">
        <x:v>137.5</x:v>
      </x:c>
      <x:c r="AF142" s="25" t="n">
        <x:v>130.5</x:v>
      </x:c>
      <x:c r="AG142" s="25" t="n">
        <x:v>1</x:v>
      </x:c>
    </x:row>
    <x:row r="143" ht="23" customHeight="1">
      <x:c r="A143" s="21" t="str">
        <x:v>2026春:258955</x:v>
      </x:c>
      <x:c r="B143" s="22" t="str">
        <x:v>s3</x:v>
      </x:c>
      <x:c r="C143" s="24" t="n">
        <x:v>1</x:v>
      </x:c>
      <x:c r="D143" s="24" t="n">
        <x:v>1</x:v>
      </x:c>
      <x:c r="E143" s="29" t="n">
        <x:f>'指标计算'!S146</x:f>
        <x:v>0.4942986547644854</x:v>
      </x:c>
      <x:c r="F143" s="29" t="n">
        <x:f>'指标计算'!T146</x:f>
        <x:v>0.43158385717382486</x:v>
      </x:c>
      <x:c r="G143" s="29" t="n">
        <x:f>'指标计算'!U146</x:f>
        <x:v>0.43158385717382486</x:v>
      </x:c>
      <x:c r="H143" s="29" t="n">
        <x:f>'指标计算'!V146</x:f>
        <x:v>0.5</x:v>
      </x:c>
      <x:c r="I143" s="30" t="n">
        <x:f>IF(COUNT('总览与权重'!$H$11:$K$11)=4,ROUND(100*SUMPRODUCT(E143:H143,'总览与权重'!$H$11:$K$11),12),"NA")</x:f>
        <x:v>47.092313929888</x:v>
      </x:c>
      <x:c r="J143" s="30" t="n">
        <x:f>IF(ISNUMBER(I143),COUNTIFS($I$6:$I$151,"&gt;"&amp;I143)+(COUNTIFS($I$6:$I$151,I143)+1)/2,"NA")</x:f>
        <x:v>136.5</x:v>
      </x:c>
      <x:c r="K143" s="30" t="n">
        <x:f>IF(COUNT('总览与权重'!$H$12:$K$12)=4,ROUND(100*SUMPRODUCT(E143:H143,'总览与权重'!$H$12:$K$12),12),"NA")</x:f>
        <x:v>45.781004525719</x:v>
      </x:c>
      <x:c r="L143" s="30" t="n">
        <x:f>IF(ISNUMBER(K143),COUNTIFS($K$6:$K$151,"&gt;"&amp;K143)+(COUNTIFS($K$6:$K$151,K143)+1)/2,"NA")</x:f>
        <x:v>139.5</x:v>
      </x:c>
      <x:c r="M143" s="30" t="n">
        <x:f>IF(COUNT('总览与权重'!$H$13:$K$13)=4,ROUND(100*SUMPRODUCT(E143:H143,'总览与权重'!$H$13:$K$13),12),"NA")</x:f>
        <x:v>47.120820656065</x:v>
      </x:c>
      <x:c r="N143" s="30" t="n">
        <x:f>IF(ISNUMBER(M143),COUNTIFS($M$6:$M$151,"&gt;"&amp;M143)+(COUNTIFS($M$6:$M$151,M143)+1)/2,"NA")</x:f>
        <x:v>136.5</x:v>
      </x:c>
      <x:c r="O143" s="30" t="n">
        <x:f>IF(COUNT('总览与权重'!$H$14:$K$14)=4,ROUND(100*SUMPRODUCT(E143:H143,'总览与权重'!$H$14:$K$14),12),"NA")</x:f>
        <x:v>45.22835909413</x:v>
      </x:c>
      <x:c r="P143" s="30" t="n">
        <x:f>IF(ISNUMBER(O143),COUNTIFS($O$6:$O$151,"&gt;"&amp;O143)+(COUNTIFS($O$6:$O$151,O143)+1)/2,"NA")</x:f>
        <x:v>139.5</x:v>
      </x:c>
      <x:c r="Q143" s="30" t="n">
        <x:f>IF(COUNT('总览与权重'!$H$15:$K$15)=4,ROUND(100*SUMPRODUCT(E143:H143,'总览与权重'!$H$15:$K$15),12),"NA")</x:f>
        <x:v>47.450889158588</x:v>
      </x:c>
      <x:c r="R143" s="30" t="n">
        <x:f>IF(ISNUMBER(Q143),COUNTIFS($Q$6:$Q$151,"&gt;"&amp;Q143)+(COUNTIFS($Q$6:$Q$151,Q143)+1)/2,"NA")</x:f>
        <x:v>129.5</x:v>
      </x:c>
      <x:c r="S143" s="31" t="n">
        <x:f>IF(OR(B143="s3",B143="s6"),COUNTIFS($B$6:$B$151,B143,$I$6:$I$151,"&gt;"&amp;I143)+(COUNTIFS($B$6:$B$151,B143,$I$6:$I$151,I143)+1)/2,"NA")</x:f>
        <x:v>129.5</x:v>
      </x:c>
      <x:c r="T143" s="26" t="str">
        <x:f>IF(COUNTIFS($I$6:$I$151,"&gt;"&amp;I143)&gt;=30,"非前20%",IF(COUNTIFS($I$6:$I$151,"&gt;="&amp;I143)&gt;=30,"边界同分","严格前20%"))</x:f>
        <x:v>非前20%</x:v>
      </x:c>
      <x:c r="U143" s="26" t="str">
        <x:f>IF(COUNTIFS($I$6:$I$151,"&lt;"&amp;I143)&gt;=30,"非后20%",IF(COUNTIFS($I$6:$I$151,"&lt;="&amp;I143)&gt;=30,"边界同分","严格后20%"))</x:f>
        <x:v>严格后20%</x:v>
      </x:c>
      <x:c r="V143" s="22" t="n">
        <x:f>'指标计算'!P146</x:f>
        <x:v>-0.13683228565235026</x:v>
      </x:c>
      <x:c r="W143" s="22" t="n">
        <x:f>'指标计算'!Q146</x:f>
        <x:v>-0.13683228565235026</x:v>
      </x:c>
      <x:c r="X143" s="22" t="str">
        <x:v>["S0838"]</x:v>
      </x:c>
      <x:c r="Y143" s="22" t="str">
        <x:v>evidence/student_evidence.jsonl；student_key=2026春:258955</x:v>
      </x:c>
      <x:c r="Z143" s="26" t="n">
        <x:f>IF(OR(B143="s3",B143="s6"),COUNTIFS($B$6:$B$151,B143,$K$6:$K$151,"&gt;"&amp;K143)+(COUNTIFS($B$6:$B$151,B143,$K$6:$K$151,K143)+1)/2,"NA")</x:f>
        <x:v>132.5</x:v>
      </x:c>
      <x:c r="AA143" s="26" t="n">
        <x:f>IF(OR(B143="s3",B143="s6"),COUNTIFS($B$6:$B$151,B143,$M$6:$M$151,"&gt;"&amp;M143)+(COUNTIFS($B$6:$B$151,B143,$M$6:$M$151,M143)+1)/2,"NA")</x:f>
        <x:v>129.5</x:v>
      </x:c>
      <x:c r="AB143" s="26" t="n">
        <x:f>IF(OR(B143="s3",B143="s6"),COUNTIFS($B$6:$B$151,B143,$O$6:$O$151,"&gt;"&amp;O143)+(COUNTIFS($B$6:$B$151,B143,$O$6:$O$151,O143)+1)/2,"NA")</x:f>
        <x:v>132.5</x:v>
      </x:c>
      <x:c r="AC143" s="26" t="n">
        <x:f>IF(OR(B143="s3",B143="s6"),COUNTIFS($B$6:$B$151,B143,$Q$6:$Q$151,"&gt;"&amp;Q143)+(COUNTIFS($B$6:$B$151,B143,$Q$6:$Q$151,Q143)+1)/2,"NA")</x:f>
        <x:v>122.5</x:v>
      </x:c>
      <x:c r="AD143" s="25" t="n">
        <x:v>43.931785592808815</x:v>
      </x:c>
      <x:c r="AE143" s="25" t="n">
        <x:v>137.5</x:v>
      </x:c>
      <x:c r="AF143" s="25" t="n">
        <x:v>130.5</x:v>
      </x:c>
      <x:c r="AG143" s="25" t="n">
        <x:v>1</x:v>
      </x:c>
    </x:row>
    <x:row r="144" ht="23" customHeight="1">
      <x:c r="A144" s="21" t="str">
        <x:v>2026春:268176</x:v>
      </x:c>
      <x:c r="B144" s="22" t="str">
        <x:v>s3</x:v>
      </x:c>
      <x:c r="C144" s="24" t="n">
        <x:v>1</x:v>
      </x:c>
      <x:c r="D144" s="24" t="n">
        <x:v>1</x:v>
      </x:c>
      <x:c r="E144" s="29" t="n">
        <x:f>'指标计算'!S164</x:f>
        <x:v>0.4942986547644854</x:v>
      </x:c>
      <x:c r="F144" s="29" t="n">
        <x:f>'指标计算'!T164</x:f>
        <x:v>0.43158385717382486</x:v>
      </x:c>
      <x:c r="G144" s="29" t="n">
        <x:f>'指标计算'!U164</x:f>
        <x:v>0.43158385717382486</x:v>
      </x:c>
      <x:c r="H144" s="29" t="n">
        <x:f>'指标计算'!V164</x:f>
        <x:v>0.5</x:v>
      </x:c>
      <x:c r="I144" s="30" t="n">
        <x:f>IF(COUNT('总览与权重'!$H$11:$K$11)=4,ROUND(100*SUMPRODUCT(E144:H144,'总览与权重'!$H$11:$K$11),12),"NA")</x:f>
        <x:v>47.092313929888</x:v>
      </x:c>
      <x:c r="J144" s="30" t="n">
        <x:f>IF(ISNUMBER(I144),COUNTIFS($I$6:$I$151,"&gt;"&amp;I144)+(COUNTIFS($I$6:$I$151,I144)+1)/2,"NA")</x:f>
        <x:v>136.5</x:v>
      </x:c>
      <x:c r="K144" s="30" t="n">
        <x:f>IF(COUNT('总览与权重'!$H$12:$K$12)=4,ROUND(100*SUMPRODUCT(E144:H144,'总览与权重'!$H$12:$K$12),12),"NA")</x:f>
        <x:v>45.781004525719</x:v>
      </x:c>
      <x:c r="L144" s="30" t="n">
        <x:f>IF(ISNUMBER(K144),COUNTIFS($K$6:$K$151,"&gt;"&amp;K144)+(COUNTIFS($K$6:$K$151,K144)+1)/2,"NA")</x:f>
        <x:v>139.5</x:v>
      </x:c>
      <x:c r="M144" s="30" t="n">
        <x:f>IF(COUNT('总览与权重'!$H$13:$K$13)=4,ROUND(100*SUMPRODUCT(E144:H144,'总览与权重'!$H$13:$K$13),12),"NA")</x:f>
        <x:v>47.120820656065</x:v>
      </x:c>
      <x:c r="N144" s="30" t="n">
        <x:f>IF(ISNUMBER(M144),COUNTIFS($M$6:$M$151,"&gt;"&amp;M144)+(COUNTIFS($M$6:$M$151,M144)+1)/2,"NA")</x:f>
        <x:v>136.5</x:v>
      </x:c>
      <x:c r="O144" s="30" t="n">
        <x:f>IF(COUNT('总览与权重'!$H$14:$K$14)=4,ROUND(100*SUMPRODUCT(E144:H144,'总览与权重'!$H$14:$K$14),12),"NA")</x:f>
        <x:v>45.22835909413</x:v>
      </x:c>
      <x:c r="P144" s="30" t="n">
        <x:f>IF(ISNUMBER(O144),COUNTIFS($O$6:$O$151,"&gt;"&amp;O144)+(COUNTIFS($O$6:$O$151,O144)+1)/2,"NA")</x:f>
        <x:v>139.5</x:v>
      </x:c>
      <x:c r="Q144" s="30" t="n">
        <x:f>IF(COUNT('总览与权重'!$H$15:$K$15)=4,ROUND(100*SUMPRODUCT(E144:H144,'总览与权重'!$H$15:$K$15),12),"NA")</x:f>
        <x:v>47.450889158588</x:v>
      </x:c>
      <x:c r="R144" s="30" t="n">
        <x:f>IF(ISNUMBER(Q144),COUNTIFS($Q$6:$Q$151,"&gt;"&amp;Q144)+(COUNTIFS($Q$6:$Q$151,Q144)+1)/2,"NA")</x:f>
        <x:v>129.5</x:v>
      </x:c>
      <x:c r="S144" s="31" t="n">
        <x:f>IF(OR(B144="s3",B144="s6"),COUNTIFS($B$6:$B$151,B144,$I$6:$I$151,"&gt;"&amp;I144)+(COUNTIFS($B$6:$B$151,B144,$I$6:$I$151,I144)+1)/2,"NA")</x:f>
        <x:v>129.5</x:v>
      </x:c>
      <x:c r="T144" s="26" t="str">
        <x:f>IF(COUNTIFS($I$6:$I$151,"&gt;"&amp;I144)&gt;=30,"非前20%",IF(COUNTIFS($I$6:$I$151,"&gt;="&amp;I144)&gt;=30,"边界同分","严格前20%"))</x:f>
        <x:v>非前20%</x:v>
      </x:c>
      <x:c r="U144" s="26" t="str">
        <x:f>IF(COUNTIFS($I$6:$I$151,"&lt;"&amp;I144)&gt;=30,"非后20%",IF(COUNTIFS($I$6:$I$151,"&lt;="&amp;I144)&gt;=30,"边界同分","严格后20%"))</x:f>
        <x:v>严格后20%</x:v>
      </x:c>
      <x:c r="V144" s="22" t="n">
        <x:f>'指标计算'!P164</x:f>
        <x:v>-0.13683228565235026</x:v>
      </x:c>
      <x:c r="W144" s="22" t="n">
        <x:f>'指标计算'!Q164</x:f>
        <x:v>-0.13683228565235026</x:v>
      </x:c>
      <x:c r="X144" s="22" t="str">
        <x:v>["S1047"]</x:v>
      </x:c>
      <x:c r="Y144" s="22" t="str">
        <x:v>evidence/student_evidence.jsonl；student_key=2026春:268176</x:v>
      </x:c>
      <x:c r="Z144" s="26" t="n">
        <x:f>IF(OR(B144="s3",B144="s6"),COUNTIFS($B$6:$B$151,B144,$K$6:$K$151,"&gt;"&amp;K144)+(COUNTIFS($B$6:$B$151,B144,$K$6:$K$151,K144)+1)/2,"NA")</x:f>
        <x:v>132.5</x:v>
      </x:c>
      <x:c r="AA144" s="26" t="n">
        <x:f>IF(OR(B144="s3",B144="s6"),COUNTIFS($B$6:$B$151,B144,$M$6:$M$151,"&gt;"&amp;M144)+(COUNTIFS($B$6:$B$151,B144,$M$6:$M$151,M144)+1)/2,"NA")</x:f>
        <x:v>129.5</x:v>
      </x:c>
      <x:c r="AB144" s="26" t="n">
        <x:f>IF(OR(B144="s3",B144="s6"),COUNTIFS($B$6:$B$151,B144,$O$6:$O$151,"&gt;"&amp;O144)+(COUNTIFS($B$6:$B$151,B144,$O$6:$O$151,O144)+1)/2,"NA")</x:f>
        <x:v>132.5</x:v>
      </x:c>
      <x:c r="AC144" s="26" t="n">
        <x:f>IF(OR(B144="s3",B144="s6"),COUNTIFS($B$6:$B$151,B144,$Q$6:$Q$151,"&gt;"&amp;Q144)+(COUNTIFS($B$6:$B$151,B144,$Q$6:$Q$151,Q144)+1)/2,"NA")</x:f>
        <x:v>122.5</x:v>
      </x:c>
      <x:c r="AD144" s="25" t="n">
        <x:v>43.931785592808815</x:v>
      </x:c>
      <x:c r="AE144" s="25" t="n">
        <x:v>137.5</x:v>
      </x:c>
      <x:c r="AF144" s="25" t="n">
        <x:v>130.5</x:v>
      </x:c>
      <x:c r="AG144" s="25" t="n">
        <x:v>1</x:v>
      </x:c>
    </x:row>
    <x:row r="145" ht="23" customHeight="1">
      <x:c r="A145" s="21" t="str">
        <x:v>2026春:268538</x:v>
      </x:c>
      <x:c r="B145" s="22" t="str">
        <x:v>s3</x:v>
      </x:c>
      <x:c r="C145" s="24" t="n">
        <x:v>1</x:v>
      </x:c>
      <x:c r="D145" s="24" t="n">
        <x:v>1</x:v>
      </x:c>
      <x:c r="E145" s="29" t="n">
        <x:f>'指标计算'!S179</x:f>
        <x:v>0.4942986547644854</x:v>
      </x:c>
      <x:c r="F145" s="29" t="n">
        <x:f>'指标计算'!T179</x:f>
        <x:v>0.43158385717382486</x:v>
      </x:c>
      <x:c r="G145" s="29" t="n">
        <x:f>'指标计算'!U179</x:f>
        <x:v>0.43158385717382486</x:v>
      </x:c>
      <x:c r="H145" s="29" t="n">
        <x:f>'指标计算'!V179</x:f>
        <x:v>0.5</x:v>
      </x:c>
      <x:c r="I145" s="30" t="n">
        <x:f>IF(COUNT('总览与权重'!$H$11:$K$11)=4,ROUND(100*SUMPRODUCT(E145:H145,'总览与权重'!$H$11:$K$11),12),"NA")</x:f>
        <x:v>47.092313929888</x:v>
      </x:c>
      <x:c r="J145" s="30" t="n">
        <x:f>IF(ISNUMBER(I145),COUNTIFS($I$6:$I$151,"&gt;"&amp;I145)+(COUNTIFS($I$6:$I$151,I145)+1)/2,"NA")</x:f>
        <x:v>136.5</x:v>
      </x:c>
      <x:c r="K145" s="30" t="n">
        <x:f>IF(COUNT('总览与权重'!$H$12:$K$12)=4,ROUND(100*SUMPRODUCT(E145:H145,'总览与权重'!$H$12:$K$12),12),"NA")</x:f>
        <x:v>45.781004525719</x:v>
      </x:c>
      <x:c r="L145" s="30" t="n">
        <x:f>IF(ISNUMBER(K145),COUNTIFS($K$6:$K$151,"&gt;"&amp;K145)+(COUNTIFS($K$6:$K$151,K145)+1)/2,"NA")</x:f>
        <x:v>139.5</x:v>
      </x:c>
      <x:c r="M145" s="30" t="n">
        <x:f>IF(COUNT('总览与权重'!$H$13:$K$13)=4,ROUND(100*SUMPRODUCT(E145:H145,'总览与权重'!$H$13:$K$13),12),"NA")</x:f>
        <x:v>47.120820656065</x:v>
      </x:c>
      <x:c r="N145" s="30" t="n">
        <x:f>IF(ISNUMBER(M145),COUNTIFS($M$6:$M$151,"&gt;"&amp;M145)+(COUNTIFS($M$6:$M$151,M145)+1)/2,"NA")</x:f>
        <x:v>136.5</x:v>
      </x:c>
      <x:c r="O145" s="30" t="n">
        <x:f>IF(COUNT('总览与权重'!$H$14:$K$14)=4,ROUND(100*SUMPRODUCT(E145:H145,'总览与权重'!$H$14:$K$14),12),"NA")</x:f>
        <x:v>45.22835909413</x:v>
      </x:c>
      <x:c r="P145" s="30" t="n">
        <x:f>IF(ISNUMBER(O145),COUNTIFS($O$6:$O$151,"&gt;"&amp;O145)+(COUNTIFS($O$6:$O$151,O145)+1)/2,"NA")</x:f>
        <x:v>139.5</x:v>
      </x:c>
      <x:c r="Q145" s="30" t="n">
        <x:f>IF(COUNT('总览与权重'!$H$15:$K$15)=4,ROUND(100*SUMPRODUCT(E145:H145,'总览与权重'!$H$15:$K$15),12),"NA")</x:f>
        <x:v>47.450889158588</x:v>
      </x:c>
      <x:c r="R145" s="30" t="n">
        <x:f>IF(ISNUMBER(Q145),COUNTIFS($Q$6:$Q$151,"&gt;"&amp;Q145)+(COUNTIFS($Q$6:$Q$151,Q145)+1)/2,"NA")</x:f>
        <x:v>129.5</x:v>
      </x:c>
      <x:c r="S145" s="31" t="n">
        <x:f>IF(OR(B145="s3",B145="s6"),COUNTIFS($B$6:$B$151,B145,$I$6:$I$151,"&gt;"&amp;I145)+(COUNTIFS($B$6:$B$151,B145,$I$6:$I$151,I145)+1)/2,"NA")</x:f>
        <x:v>129.5</x:v>
      </x:c>
      <x:c r="T145" s="26" t="str">
        <x:f>IF(COUNTIFS($I$6:$I$151,"&gt;"&amp;I145)&gt;=30,"非前20%",IF(COUNTIFS($I$6:$I$151,"&gt;="&amp;I145)&gt;=30,"边界同分","严格前20%"))</x:f>
        <x:v>非前20%</x:v>
      </x:c>
      <x:c r="U145" s="26" t="str">
        <x:f>IF(COUNTIFS($I$6:$I$151,"&lt;"&amp;I145)&gt;=30,"非后20%",IF(COUNTIFS($I$6:$I$151,"&lt;="&amp;I145)&gt;=30,"边界同分","严格后20%"))</x:f>
        <x:v>严格后20%</x:v>
      </x:c>
      <x:c r="V145" s="22" t="n">
        <x:f>'指标计算'!P179</x:f>
        <x:v>-0.13683228565235026</x:v>
      </x:c>
      <x:c r="W145" s="22" t="n">
        <x:f>'指标计算'!Q179</x:f>
        <x:v>-0.13683228565235026</x:v>
      </x:c>
      <x:c r="X145" s="22" t="str">
        <x:v>["S1276"]</x:v>
      </x:c>
      <x:c r="Y145" s="22" t="str">
        <x:v>evidence/student_evidence.jsonl；student_key=2026春:268538</x:v>
      </x:c>
      <x:c r="Z145" s="26" t="n">
        <x:f>IF(OR(B145="s3",B145="s6"),COUNTIFS($B$6:$B$151,B145,$K$6:$K$151,"&gt;"&amp;K145)+(COUNTIFS($B$6:$B$151,B145,$K$6:$K$151,K145)+1)/2,"NA")</x:f>
        <x:v>132.5</x:v>
      </x:c>
      <x:c r="AA145" s="26" t="n">
        <x:f>IF(OR(B145="s3",B145="s6"),COUNTIFS($B$6:$B$151,B145,$M$6:$M$151,"&gt;"&amp;M145)+(COUNTIFS($B$6:$B$151,B145,$M$6:$M$151,M145)+1)/2,"NA")</x:f>
        <x:v>129.5</x:v>
      </x:c>
      <x:c r="AB145" s="26" t="n">
        <x:f>IF(OR(B145="s3",B145="s6"),COUNTIFS($B$6:$B$151,B145,$O$6:$O$151,"&gt;"&amp;O145)+(COUNTIFS($B$6:$B$151,B145,$O$6:$O$151,O145)+1)/2,"NA")</x:f>
        <x:v>132.5</x:v>
      </x:c>
      <x:c r="AC145" s="26" t="n">
        <x:f>IF(OR(B145="s3",B145="s6"),COUNTIFS($B$6:$B$151,B145,$Q$6:$Q$151,"&gt;"&amp;Q145)+(COUNTIFS($B$6:$B$151,B145,$Q$6:$Q$151,Q145)+1)/2,"NA")</x:f>
        <x:v>122.5</x:v>
      </x:c>
      <x:c r="AD145" s="25" t="n">
        <x:v>43.931785592808815</x:v>
      </x:c>
      <x:c r="AE145" s="25" t="n">
        <x:v>137.5</x:v>
      </x:c>
      <x:c r="AF145" s="25" t="n">
        <x:v>130.5</x:v>
      </x:c>
      <x:c r="AG145" s="25" t="n">
        <x:v>1</x:v>
      </x:c>
    </x:row>
    <x:row r="146" ht="23" customHeight="1">
      <x:c r="A146" s="21" t="str">
        <x:v>2026春:268498</x:v>
      </x:c>
      <x:c r="B146" s="22" t="str">
        <x:v>s3</x:v>
      </x:c>
      <x:c r="C146" s="24" t="n">
        <x:v>1</x:v>
      </x:c>
      <x:c r="D146" s="24" t="n">
        <x:v>1</x:v>
      </x:c>
      <x:c r="E146" s="29" t="n">
        <x:f>'指标计算'!S175</x:f>
        <x:v>0.4995995267015088</x:v>
      </x:c>
      <x:c r="F146" s="29" t="n">
        <x:f>'指标计算'!T175</x:f>
        <x:v>0.4951943204181057</x:v>
      </x:c>
      <x:c r="G146" s="29" t="n">
        <x:f>'指标计算'!U175</x:f>
        <x:v>0.4951943204181057</x:v>
      </x:c>
      <x:c r="H146" s="29" t="n">
        <x:f>'指标计算'!V175</x:f>
        <x:v>0.4</x:v>
      </x:c>
      <x:c r="I146" s="30" t="n">
        <x:f>IF(COUNT('总览与权重'!$H$11:$K$11)=4,ROUND(100*SUMPRODUCT(E146:H146,'总览与权重'!$H$11:$K$11),12),"NA")</x:f>
        <x:v>46.795758617769</x:v>
      </x:c>
      <x:c r="J146" s="30" t="n">
        <x:f>IF(ISNUMBER(I146),COUNTIFS($I$6:$I$151,"&gt;"&amp;I146)+(COUNTIFS($I$6:$I$151,I146)+1)/2,"NA")</x:f>
        <x:v>141</x:v>
      </x:c>
      <x:c r="K146" s="30" t="n">
        <x:f>IF(COUNT('总览与权重'!$H$12:$K$12)=4,ROUND(100*SUMPRODUCT(E146:H146,'总览与权重'!$H$12:$K$12),12),"NA")</x:f>
        <x:v>47.703649759117</x:v>
      </x:c>
      <x:c r="L146" s="30" t="n">
        <x:f>IF(ISNUMBER(K146),COUNTIFS($K$6:$K$151,"&gt;"&amp;K146)+(COUNTIFS($K$6:$K$151,K146)+1)/2,"NA")</x:f>
        <x:v>129</x:v>
      </x:c>
      <x:c r="M146" s="30" t="n">
        <x:f>IF(COUNT('总览与权重'!$H$13:$K$13)=4,ROUND(100*SUMPRODUCT(E146:H146,'总览与权重'!$H$13:$K$13),12),"NA")</x:f>
        <x:v>46.297760984262</x:v>
      </x:c>
      <x:c r="N146" s="30" t="n">
        <x:f>IF(ISNUMBER(M146),COUNTIFS($M$6:$M$151,"&gt;"&amp;M146)+(COUNTIFS($M$6:$M$151,M146)+1)/2,"NA")</x:f>
        <x:v>142</x:v>
      </x:c>
      <x:c r="O146" s="30" t="n">
        <x:f>IF(COUNT('总览与权重'!$H$14:$K$14)=4,ROUND(100*SUMPRODUCT(E146:H146,'总览与权重'!$H$14:$K$14),12),"NA")</x:f>
        <x:v>46.664830896244</x:v>
      </x:c>
      <x:c r="P146" s="30" t="n">
        <x:f>IF(ISNUMBER(O146),COUNTIFS($O$6:$O$151,"&gt;"&amp;O146)+(COUNTIFS($O$6:$O$151,O146)+1)/2,"NA")</x:f>
        <x:v>131</x:v>
      </x:c>
      <x:c r="Q146" s="30" t="n">
        <x:f>IF(COUNT('总览与权重'!$H$15:$K$15)=4,ROUND(100*SUMPRODUCT(E146:H146,'总览与权重'!$H$15:$K$15),12),"NA")</x:f>
        <x:v>43.560492717064</x:v>
      </x:c>
      <x:c r="R146" s="30" t="n">
        <x:f>IF(ISNUMBER(Q146),COUNTIFS($Q$6:$Q$151,"&gt;"&amp;Q146)+(COUNTIFS($Q$6:$Q$151,Q146)+1)/2,"NA")</x:f>
        <x:v>142</x:v>
      </x:c>
      <x:c r="S146" s="31" t="n">
        <x:f>IF(OR(B146="s3",B146="s6"),COUNTIFS($B$6:$B$151,B146,$I$6:$I$151,"&gt;"&amp;I146)+(COUNTIFS($B$6:$B$151,B146,$I$6:$I$151,I146)+1)/2,"NA")</x:f>
        <x:v>134</x:v>
      </x:c>
      <x:c r="T146" s="26" t="str">
        <x:f>IF(COUNTIFS($I$6:$I$151,"&gt;"&amp;I146)&gt;=30,"非前20%",IF(COUNTIFS($I$6:$I$151,"&gt;="&amp;I146)&gt;=30,"边界同分","严格前20%"))</x:f>
        <x:v>非前20%</x:v>
      </x:c>
      <x:c r="U146" s="26" t="str">
        <x:f>IF(COUNTIFS($I$6:$I$151,"&lt;"&amp;I146)&gt;=30,"非后20%",IF(COUNTIFS($I$6:$I$151,"&lt;="&amp;I146)&gt;=30,"边界同分","严格后20%"))</x:f>
        <x:v>严格后20%</x:v>
      </x:c>
      <x:c r="V146" s="22" t="n">
        <x:f>'指标计算'!P175</x:f>
        <x:v>-0.009611359163788608</x:v>
      </x:c>
      <x:c r="W146" s="22" t="n">
        <x:f>'指标计算'!Q175</x:f>
        <x:v>-0.009611359163788608</x:v>
      </x:c>
      <x:c r="X146" s="22" t="str">
        <x:v>["S1207"]</x:v>
      </x:c>
      <x:c r="Y146" s="22" t="str">
        <x:v>evidence/student_evidence.jsonl；student_key=2026春:268498</x:v>
      </x:c>
      <x:c r="Z146" s="26" t="n">
        <x:f>IF(OR(B146="s3",B146="s6"),COUNTIFS($B$6:$B$151,B146,$K$6:$K$151,"&gt;"&amp;K146)+(COUNTIFS($B$6:$B$151,B146,$K$6:$K$151,K146)+1)/2,"NA")</x:f>
        <x:v>122</x:v>
      </x:c>
      <x:c r="AA146" s="26" t="n">
        <x:f>IF(OR(B146="s3",B146="s6"),COUNTIFS($B$6:$B$151,B146,$M$6:$M$151,"&gt;"&amp;M146)+(COUNTIFS($B$6:$B$151,B146,$M$6:$M$151,M146)+1)/2,"NA")</x:f>
        <x:v>134</x:v>
      </x:c>
      <x:c r="AB146" s="26" t="n">
        <x:f>IF(OR(B146="s3",B146="s6"),COUNTIFS($B$6:$B$151,B146,$O$6:$O$151,"&gt;"&amp;O146)+(COUNTIFS($B$6:$B$151,B146,$O$6:$O$151,O146)+1)/2,"NA")</x:f>
        <x:v>124</x:v>
      </x:c>
      <x:c r="AC146" s="26" t="n">
        <x:f>IF(OR(B146="s3",B146="s6"),COUNTIFS($B$6:$B$151,B146,$Q$6:$Q$151,"&gt;"&amp;Q146)+(COUNTIFS($B$6:$B$151,B146,$Q$6:$Q$151,Q146)+1)/2,"NA")</x:f>
        <x:v>134</x:v>
      </x:c>
      <x:c r="AD146" s="25" t="n">
        <x:v>43.6358853095446</x:v>
      </x:c>
      <x:c r="AE146" s="25" t="n">
        <x:v>142</x:v>
      </x:c>
      <x:c r="AF146" s="25" t="n">
        <x:v>135</x:v>
      </x:c>
      <x:c r="AG146" s="25" t="n">
        <x:v>1</x:v>
      </x:c>
    </x:row>
    <x:row r="147" ht="23" customHeight="1">
      <x:c r="A147" s="21" t="str">
        <x:v>2026春:268135</x:v>
      </x:c>
      <x:c r="B147" s="22" t="str">
        <x:v>s3</x:v>
      </x:c>
      <x:c r="C147" s="24" t="n">
        <x:v>1</x:v>
      </x:c>
      <x:c r="D147" s="24" t="n">
        <x:v>1</x:v>
      </x:c>
      <x:c r="E147" s="29" t="n">
        <x:f>'指标计算'!S156</x:f>
        <x:v>0.5084157106911705</x:v>
      </x:c>
      <x:c r="F147" s="29" t="n">
        <x:f>'指标计算'!T156</x:f>
        <x:v>0.6009885282940465</x:v>
      </x:c>
      <x:c r="G147" s="29" t="n">
        <x:f>'指标计算'!U156</x:f>
        <x:v>0.6009885282940465</x:v>
      </x:c>
      <x:c r="H147" s="29" t="n">
        <x:f>'指标计算'!V156</x:f>
        <x:v>0.25</x:v>
      </x:c>
      <x:c r="I147" s="30" t="n">
        <x:f>IF(COUNT('总览与权重'!$H$11:$K$11)=4,ROUND(100*SUMPRODUCT(E147:H147,'总览与权重'!$H$11:$K$11),12),"NA")</x:f>
        <x:v>46.792012452497</x:v>
      </x:c>
      <x:c r="J147" s="30" t="n">
        <x:f>IF(ISNUMBER(I147),COUNTIFS($I$6:$I$151,"&gt;"&amp;I147)+(COUNTIFS($I$6:$I$151,I147)+1)/2,"NA")</x:f>
        <x:v>142</x:v>
      </x:c>
      <x:c r="K147" s="30" t="n">
        <x:f>IF(COUNT('总览与权重'!$H$12:$K$12)=4,ROUND(100*SUMPRODUCT(E147:H147,'总览与权重'!$H$12:$K$12),12),"NA")</x:f>
        <x:v>51.227625911466</x:v>
      </x:c>
      <x:c r="L147" s="30" t="n">
        <x:f>IF(ISNUMBER(K147),COUNTIFS($K$6:$K$151,"&gt;"&amp;K147)+(COUNTIFS($K$6:$K$151,K147)+1)/2,"NA")</x:f>
        <x:v>126</x:v>
      </x:c>
      <x:c r="M147" s="30" t="n">
        <x:f>IF(COUNT('总览与权重'!$H$13:$K$13)=4,ROUND(100*SUMPRODUCT(E147:H147,'总览与权重'!$H$13:$K$13),12),"NA")</x:f>
        <x:v>45.499933899041</x:v>
      </x:c>
      <x:c r="N147" s="30" t="n">
        <x:f>IF(ISNUMBER(M147),COUNTIFS($M$6:$M$151,"&gt;"&amp;M147)+(COUNTIFS($M$6:$M$151,M147)+1)/2,"NA")</x:f>
        <x:v>143</x:v>
      </x:c>
      <x:c r="O147" s="30" t="n">
        <x:f>IF(COUNT('总览与权重'!$H$14:$K$14)=4,ROUND(100*SUMPRODUCT(E147:H147,'总览与权重'!$H$14:$K$14),12),"NA")</x:f>
        <x:v>49.54338147001</x:v>
      </x:c>
      <x:c r="P147" s="30" t="n">
        <x:f>IF(ISNUMBER(O147),COUNTIFS($O$6:$O$151,"&gt;"&amp;O147)+(COUNTIFS($O$6:$O$151,O147)+1)/2,"NA")</x:f>
        <x:v>126</x:v>
      </x:c>
      <x:c r="Q147" s="30" t="n">
        <x:f>IF(COUNT('总览与权重'!$H$15:$K$15)=4,ROUND(100*SUMPRODUCT(E147:H147,'总览与权重'!$H$15:$K$15),12),"NA")</x:f>
        <x:v>38.111590126816</x:v>
      </x:c>
      <x:c r="R147" s="30" t="n">
        <x:f>IF(ISNUMBER(Q147),COUNTIFS($Q$6:$Q$151,"&gt;"&amp;Q147)+(COUNTIFS($Q$6:$Q$151,Q147)+1)/2,"NA")</x:f>
        <x:v>144</x:v>
      </x:c>
      <x:c r="S147" s="31" t="n">
        <x:f>IF(OR(B147="s3",B147="s6"),COUNTIFS($B$6:$B$151,B147,$I$6:$I$151,"&gt;"&amp;I147)+(COUNTIFS($B$6:$B$151,B147,$I$6:$I$151,I147)+1)/2,"NA")</x:f>
        <x:v>135</x:v>
      </x:c>
      <x:c r="T147" s="26" t="str">
        <x:f>IF(COUNTIFS($I$6:$I$151,"&gt;"&amp;I147)&gt;=30,"非前20%",IF(COUNTIFS($I$6:$I$151,"&gt;="&amp;I147)&gt;=30,"边界同分","严格前20%"))</x:f>
        <x:v>非前20%</x:v>
      </x:c>
      <x:c r="U147" s="26" t="str">
        <x:f>IF(COUNTIFS($I$6:$I$151,"&lt;"&amp;I147)&gt;=30,"非后20%",IF(COUNTIFS($I$6:$I$151,"&lt;="&amp;I147)&gt;=30,"边界同分","严格后20%"))</x:f>
        <x:v>严格后20%</x:v>
      </x:c>
      <x:c r="V147" s="22" t="n">
        <x:f>'指标计算'!P156</x:f>
        <x:v>0.2019770565880929</x:v>
      </x:c>
      <x:c r="W147" s="22" t="n">
        <x:f>'指标计算'!Q156</x:f>
        <x:v>0.2019770565880929</x:v>
      </x:c>
      <x:c r="X147" s="22" t="str">
        <x:v>["S0948"]</x:v>
      </x:c>
      <x:c r="Y147" s="22" t="str">
        <x:v>evidence/student_evidence.jsonl；student_key=2026春:268135</x:v>
      </x:c>
      <x:c r="Z147" s="26" t="n">
        <x:f>IF(OR(B147="s3",B147="s6"),COUNTIFS($B$6:$B$151,B147,$K$6:$K$151,"&gt;"&amp;K147)+(COUNTIFS($B$6:$B$151,B147,$K$6:$K$151,K147)+1)/2,"NA")</x:f>
        <x:v>120</x:v>
      </x:c>
      <x:c r="AA147" s="26" t="n">
        <x:f>IF(OR(B147="s3",B147="s6"),COUNTIFS($B$6:$B$151,B147,$M$6:$M$151,"&gt;"&amp;M147)+(COUNTIFS($B$6:$B$151,B147,$M$6:$M$151,M147)+1)/2,"NA")</x:f>
        <x:v>135</x:v>
      </x:c>
      <x:c r="AB147" s="26" t="n">
        <x:f>IF(OR(B147="s3",B147="s6"),COUNTIFS($B$6:$B$151,B147,$O$6:$O$151,"&gt;"&amp;O147)+(COUNTIFS($B$6:$B$151,B147,$O$6:$O$151,O147)+1)/2,"NA")</x:f>
        <x:v>120</x:v>
      </x:c>
      <x:c r="AC147" s="26" t="n">
        <x:f>IF(OR(B147="s3",B147="s6"),COUNTIFS($B$6:$B$151,B147,$Q$6:$Q$151,"&gt;"&amp;Q147)+(COUNTIFS($B$6:$B$151,B147,$Q$6:$Q$151,Q147)+1)/2,"NA")</x:f>
        <x:v>136</x:v>
      </x:c>
      <x:c r="AD147" s="25" t="n">
        <x:v>44.06912555590334</x:v>
      </x:c>
      <x:c r="AE147" s="25" t="n">
        <x:v>132</x:v>
      </x:c>
      <x:c r="AF147" s="25" t="n">
        <x:v>125</x:v>
      </x:c>
      <x:c r="AG147" s="25" t="n">
        <x:v>-10</x:v>
      </x:c>
    </x:row>
    <x:row r="148" ht="23" customHeight="1">
      <x:c r="A148" s="21" t="str">
        <x:v>2026春:250845</x:v>
      </x:c>
      <x:c r="B148" s="22" t="str">
        <x:v>s6</x:v>
      </x:c>
      <x:c r="C148" s="24" t="n">
        <x:v>1</x:v>
      </x:c>
      <x:c r="D148" s="24" t="n">
        <x:v>1</x:v>
      </x:c>
      <x:c r="E148" s="29" t="n">
        <x:f>'指标计算'!S144</x:f>
        <x:v>0.4934285714285714</x:v>
      </x:c>
      <x:c r="F148" s="29" t="n">
        <x:f>'指标计算'!T144</x:f>
        <x:v>0.42114285714285715</x:v>
      </x:c>
      <x:c r="G148" s="29" t="n">
        <x:f>'指标计算'!U144</x:f>
        <x:v>0.42114285714285715</x:v>
      </x:c>
      <x:c r="H148" s="29" t="n">
        <x:f>'指标计算'!V144</x:f>
        <x:v>0.5</x:v>
      </x:c>
      <x:c r="I148" s="30" t="n">
        <x:f>IF(COUNT('总览与权重'!$H$11:$K$11)=4,ROUND(100*SUMPRODUCT(E148:H148,'总览与权重'!$H$11:$K$11),12),"NA")</x:f>
        <x:v>46.648571428571</x:v>
      </x:c>
      <x:c r="J148" s="30" t="n">
        <x:f>IF(ISNUMBER(I148),COUNTIFS($I$6:$I$151,"&gt;"&amp;I148)+(COUNTIFS($I$6:$I$151,I148)+1)/2,"NA")</x:f>
        <x:v>143</x:v>
      </x:c>
      <x:c r="K148" s="30" t="n">
        <x:f>IF(COUNT('总览与权重'!$H$12:$K$12)=4,ROUND(100*SUMPRODUCT(E148:H148,'总览与权重'!$H$12:$K$12),12),"NA")</x:f>
        <x:v>45.137142857143</x:v>
      </x:c>
      <x:c r="L148" s="30" t="n">
        <x:f>IF(ISNUMBER(K148),COUNTIFS($K$6:$K$151,"&gt;"&amp;K148)+(COUNTIFS($K$6:$K$151,K148)+1)/2,"NA")</x:f>
        <x:v>144</x:v>
      </x:c>
      <x:c r="M148" s="30" t="n">
        <x:f>IF(COUNT('总览与权重'!$H$13:$K$13)=4,ROUND(100*SUMPRODUCT(E148:H148,'总览与权重'!$H$13:$K$13),12),"NA")</x:f>
        <x:v>46.681428571429</x:v>
      </x:c>
      <x:c r="N148" s="30" t="n">
        <x:f>IF(ISNUMBER(M148),COUNTIFS($M$6:$M$151,"&gt;"&amp;M148)+(COUNTIFS($M$6:$M$151,M148)+1)/2,"NA")</x:f>
        <x:v>141</x:v>
      </x:c>
      <x:c r="O148" s="30" t="n">
        <x:f>IF(COUNT('总览与权重'!$H$14:$K$14)=4,ROUND(100*SUMPRODUCT(E148:H148,'总览与权重'!$H$14:$K$14),12),"NA")</x:f>
        <x:v>44.500158105476</x:v>
      </x:c>
      <x:c r="P148" s="30" t="n">
        <x:f>IF(ISNUMBER(O148),COUNTIFS($O$6:$O$151,"&gt;"&amp;O148)+(COUNTIFS($O$6:$O$151,O148)+1)/2,"NA")</x:f>
        <x:v>144</x:v>
      </x:c>
      <x:c r="Q148" s="30" t="n">
        <x:f>IF(COUNT('总览与权重'!$H$15:$K$15)=4,ROUND(100*SUMPRODUCT(E148:H148,'总览与权重'!$H$15:$K$15),12),"NA")</x:f>
        <x:v>47.061868888303</x:v>
      </x:c>
      <x:c r="R148" s="30" t="n">
        <x:f>IF(ISNUMBER(Q148),COUNTIFS($Q$6:$Q$151,"&gt;"&amp;Q148)+(COUNTIFS($Q$6:$Q$151,Q148)+1)/2,"NA")</x:f>
        <x:v>134</x:v>
      </x:c>
      <x:c r="S148" s="31" t="n">
        <x:f>IF(OR(B148="s3",B148="s6"),COUNTIFS($B$6:$B$151,B148,$I$6:$I$151,"&gt;"&amp;I148)+(COUNTIFS($B$6:$B$151,B148,$I$6:$I$151,I148)+1)/2,"NA")</x:f>
        <x:v>8</x:v>
      </x:c>
      <x:c r="T148" s="26" t="str">
        <x:f>IF(COUNTIFS($I$6:$I$151,"&gt;"&amp;I148)&gt;=30,"非前20%",IF(COUNTIFS($I$6:$I$151,"&gt;="&amp;I148)&gt;=30,"边界同分","严格前20%"))</x:f>
        <x:v>非前20%</x:v>
      </x:c>
      <x:c r="U148" s="26" t="str">
        <x:f>IF(COUNTIFS($I$6:$I$151,"&lt;"&amp;I148)&gt;=30,"非后20%",IF(COUNTIFS($I$6:$I$151,"&lt;="&amp;I148)&gt;=30,"边界同分","严格后20%"))</x:f>
        <x:v>严格后20%</x:v>
      </x:c>
      <x:c r="V148" s="22" t="n">
        <x:f>'指标计算'!P144</x:f>
        <x:v>-0.15771428571428572</x:v>
      </x:c>
      <x:c r="W148" s="22" t="n">
        <x:f>'指标计算'!Q144</x:f>
        <x:v>-0.15771428571428572</x:v>
      </x:c>
      <x:c r="X148" s="22" t="str">
        <x:v>["S0825"]</x:v>
      </x:c>
      <x:c r="Y148" s="22" t="str">
        <x:v>evidence/student_evidence.jsonl；student_key=2026春:250845</x:v>
      </x:c>
      <x:c r="Z148" s="26" t="n">
        <x:f>IF(OR(B148="s3",B148="s6"),COUNTIFS($B$6:$B$151,B148,$K$6:$K$151,"&gt;"&amp;K148)+(COUNTIFS($B$6:$B$151,B148,$K$6:$K$151,K148)+1)/2,"NA")</x:f>
        <x:v>8</x:v>
      </x:c>
      <x:c r="AA148" s="26" t="n">
        <x:f>IF(OR(B148="s3",B148="s6"),COUNTIFS($B$6:$B$151,B148,$M$6:$M$151,"&gt;"&amp;M148)+(COUNTIFS($B$6:$B$151,B148,$M$6:$M$151,M148)+1)/2,"NA")</x:f>
        <x:v>8</x:v>
      </x:c>
      <x:c r="AB148" s="26" t="n">
        <x:f>IF(OR(B148="s3",B148="s6"),COUNTIFS($B$6:$B$151,B148,$O$6:$O$151,"&gt;"&amp;O148)+(COUNTIFS($B$6:$B$151,B148,$O$6:$O$151,O148)+1)/2,"NA")</x:f>
        <x:v>8</x:v>
      </x:c>
      <x:c r="AC148" s="26" t="n">
        <x:f>IF(OR(B148="s3",B148="s6"),COUNTIFS($B$6:$B$151,B148,$Q$6:$Q$151,"&gt;"&amp;Q148)+(COUNTIFS($B$6:$B$151,B148,$Q$6:$Q$151,Q148)+1)/2,"NA")</x:f>
        <x:v>8</x:v>
      </x:c>
      <x:c r="AD148" s="25" t="n">
        <x:v>43.005714285714284</x:v>
      </x:c>
      <x:c r="AE148" s="25" t="n">
        <x:v>143</x:v>
      </x:c>
      <x:c r="AF148" s="25" t="n">
        <x:v>8</x:v>
      </x:c>
      <x:c r="AG148" s="25" t="n">
        <x:v>0</x:v>
      </x:c>
    </x:row>
    <x:row r="149" ht="23" customHeight="1">
      <x:c r="A149" s="21" t="str">
        <x:v>2026春:268130</x:v>
      </x:c>
      <x:c r="B149" s="22" t="str">
        <x:v>s3</x:v>
      </x:c>
      <x:c r="C149" s="24" t="n">
        <x:v>1</x:v>
      </x:c>
      <x:c r="D149" s="24" t="n">
        <x:v>1</x:v>
      </x:c>
      <x:c r="E149" s="29" t="n">
        <x:f>'指标计算'!S154</x:f>
        <x:v>0.5012578261655092</x:v>
      </x:c>
      <x:c r="F149" s="29" t="n">
        <x:f>'指标计算'!T154</x:f>
        <x:v>0.5150939139861099</x:v>
      </x:c>
      <x:c r="G149" s="29" t="n">
        <x:f>'指标计算'!U154</x:f>
        <x:v>0.5150939139861099</x:v>
      </x:c>
      <x:c r="H149" s="29" t="n">
        <x:f>'指标计算'!V154</x:f>
        <x:v>0.3333333333333333</x:v>
      </x:c>
      <x:c r="I149" s="30" t="n">
        <x:f>IF(COUNT('总览与权重'!$H$11:$K$11)=4,ROUND(100*SUMPRODUCT(E149:H149,'总览与权重'!$H$11:$K$11),12),"NA")</x:f>
        <x:v>45.64149134441</x:v>
      </x:c>
      <x:c r="J149" s="30" t="n">
        <x:f>IF(ISNUMBER(I149),COUNTIFS($I$6:$I$151,"&gt;"&amp;I149)+(COUNTIFS($I$6:$I$151,I149)+1)/2,"NA")</x:f>
        <x:v>144</x:v>
      </x:c>
      <x:c r="K149" s="30" t="n">
        <x:f>IF(COUNT('总览与权重'!$H$12:$K$12)=4,ROUND(100*SUMPRODUCT(E149:H149,'总览与权重'!$H$12:$K$12),12),"NA")</x:f>
        <x:v>47.597458029143</x:v>
      </x:c>
      <x:c r="L149" s="30" t="n">
        <x:f>IF(ISNUMBER(K149),COUNTIFS($K$6:$K$151,"&gt;"&amp;K149)+(COUNTIFS($K$6:$K$151,K149)+1)/2,"NA")</x:f>
        <x:v>130</x:v>
      </x:c>
      <x:c r="M149" s="30" t="n">
        <x:f>IF(COUNT('总览与权重'!$H$13:$K$13)=4,ROUND(100*SUMPRODUCT(E149:H149,'总览与权重'!$H$13:$K$13),12),"NA")</x:f>
        <x:v>44.801868880249</x:v>
      </x:c>
      <x:c r="N149" s="30" t="n">
        <x:f>IF(ISNUMBER(M149),COUNTIFS($M$6:$M$151,"&gt;"&amp;M149)+(COUNTIFS($M$6:$M$151,M149)+1)/2,"NA")</x:f>
        <x:v>144</x:v>
      </x:c>
      <x:c r="O149" s="30" t="n">
        <x:f>IF(COUNT('总览与权重'!$H$14:$K$14)=4,ROUND(100*SUMPRODUCT(E149:H149,'总览与权重'!$H$14:$K$14),12),"NA")</x:f>
        <x:v>46.052715549732</x:v>
      </x:c>
      <x:c r="P149" s="30" t="n">
        <x:f>IF(ISNUMBER(O149),COUNTIFS($O$6:$O$151,"&gt;"&amp;O149)+(COUNTIFS($O$6:$O$151,O149)+1)/2,"NA")</x:f>
        <x:v>132</x:v>
      </x:c>
      <x:c r="Q149" s="30" t="n">
        <x:f>IF(COUNT('总览与权重'!$H$15:$K$15)=4,ROUND(100*SUMPRODUCT(E149:H149,'总览与权重'!$H$15:$K$15),12),"NA")</x:f>
        <x:v>40.128294593725</x:v>
      </x:c>
      <x:c r="R149" s="30" t="n">
        <x:f>IF(ISNUMBER(Q149),COUNTIFS($Q$6:$Q$151,"&gt;"&amp;Q149)+(COUNTIFS($Q$6:$Q$151,Q149)+1)/2,"NA")</x:f>
        <x:v>143</x:v>
      </x:c>
      <x:c r="S149" s="31" t="n">
        <x:f>IF(OR(B149="s3",B149="s6"),COUNTIFS($B$6:$B$151,B149,$I$6:$I$151,"&gt;"&amp;I149)+(COUNTIFS($B$6:$B$151,B149,$I$6:$I$151,I149)+1)/2,"NA")</x:f>
        <x:v>136</x:v>
      </x:c>
      <x:c r="T149" s="26" t="str">
        <x:f>IF(COUNTIFS($I$6:$I$151,"&gt;"&amp;I149)&gt;=30,"非前20%",IF(COUNTIFS($I$6:$I$151,"&gt;="&amp;I149)&gt;=30,"边界同分","严格前20%"))</x:f>
        <x:v>非前20%</x:v>
      </x:c>
      <x:c r="U149" s="26" t="str">
        <x:f>IF(COUNTIFS($I$6:$I$151,"&lt;"&amp;I149)&gt;=30,"非后20%",IF(COUNTIFS($I$6:$I$151,"&lt;="&amp;I149)&gt;=30,"边界同分","严格后20%"))</x:f>
        <x:v>严格后20%</x:v>
      </x:c>
      <x:c r="V149" s="22" t="n">
        <x:f>'指标计算'!P154</x:f>
        <x:v>0.030187827972219874</x:v>
      </x:c>
      <x:c r="W149" s="22" t="n">
        <x:f>'指标计算'!Q154</x:f>
        <x:v>0.030187827972219874</x:v>
      </x:c>
      <x:c r="X149" s="22" t="str">
        <x:v>["S0938"]</x:v>
      </x:c>
      <x:c r="Y149" s="22" t="str">
        <x:v>evidence/student_evidence.jsonl；student_key=2026春:268130</x:v>
      </x:c>
      <x:c r="Z149" s="26" t="n">
        <x:f>IF(OR(B149="s3",B149="s6"),COUNTIFS($B$6:$B$151,B149,$K$6:$K$151,"&gt;"&amp;K149)+(COUNTIFS($B$6:$B$151,B149,$K$6:$K$151,K149)+1)/2,"NA")</x:f>
        <x:v>123</x:v>
      </x:c>
      <x:c r="AA149" s="26" t="n">
        <x:f>IF(OR(B149="s3",B149="s6"),COUNTIFS($B$6:$B$151,B149,$M$6:$M$151,"&gt;"&amp;M149)+(COUNTIFS($B$6:$B$151,B149,$M$6:$M$151,M149)+1)/2,"NA")</x:f>
        <x:v>136</x:v>
      </x:c>
      <x:c r="AB149" s="26" t="n">
        <x:f>IF(OR(B149="s3",B149="s6"),COUNTIFS($B$6:$B$151,B149,$O$6:$O$151,"&gt;"&amp;O149)+(COUNTIFS($B$6:$B$151,B149,$O$6:$O$151,O149)+1)/2,"NA")</x:f>
        <x:v>125</x:v>
      </x:c>
      <x:c r="AC149" s="26" t="n">
        <x:f>IF(OR(B149="s3",B149="s6"),COUNTIFS($B$6:$B$151,B149,$Q$6:$Q$151,"&gt;"&amp;Q149)+(COUNTIFS($B$6:$B$151,B149,$Q$6:$Q$151,Q149)+1)/2,"NA")</x:f>
        <x:v>135</x:v>
      </x:c>
      <x:c r="AD149" s="25" t="n">
        <x:v>42.91860444781604</x:v>
      </x:c>
      <x:c r="AE149" s="25" t="n">
        <x:v>144</x:v>
      </x:c>
      <x:c r="AF149" s="25" t="n">
        <x:v>136</x:v>
      </x:c>
      <x:c r="AG149" s="25" t="n">
        <x:v>0</x:v>
      </x:c>
    </x:row>
    <x:row r="150" ht="23" customHeight="1">
      <x:c r="A150" s="21" t="str">
        <x:v>2026春:268133</x:v>
      </x:c>
      <x:c r="B150" s="22" t="str">
        <x:v>s3</x:v>
      </x:c>
      <x:c r="C150" s="24" t="n">
        <x:v>1</x:v>
      </x:c>
      <x:c r="D150" s="24" t="n">
        <x:v>1</x:v>
      </x:c>
      <x:c r="E150" s="29" t="n">
        <x:f>'指标计算'!S155</x:f>
        <x:v>0.49973092939139474</x:v>
      </x:c>
      <x:c r="F150" s="29" t="n">
        <x:f>'指标计算'!T155</x:f>
        <x:v>0.4967711526967373</x:v>
      </x:c>
      <x:c r="G150" s="29" t="n">
        <x:f>'指标计算'!U155</x:f>
        <x:v>0.4967711526967373</x:v>
      </x:c>
      <x:c r="H150" s="29" t="n">
        <x:f>'指标计算'!V155</x:f>
        <x:v>0.25</x:v>
      </x:c>
      <x:c r="I150" s="30" t="n">
        <x:f>IF(COUNT('总览与权重'!$H$11:$K$11)=4,ROUND(100*SUMPRODUCT(E150:H150,'总览与权重'!$H$11:$K$11),12),"NA")</x:f>
        <x:v>42.362773989611</x:v>
      </x:c>
      <x:c r="J150" s="30" t="n">
        <x:f>IF(ISNUMBER(I150),COUNTIFS($I$6:$I$151,"&gt;"&amp;I150)+(COUNTIFS($I$6:$I$151,I150)+1)/2,"NA")</x:f>
        <x:v>145</x:v>
      </x:c>
      <x:c r="K150" s="30" t="n">
        <x:f>IF(COUNT('总览与权重'!$H$12:$K$12)=4,ROUND(100*SUMPRODUCT(E150:H150,'总览与权重'!$H$12:$K$12),12),"NA")</x:f>
        <x:v>44.800887749632</x:v>
      </x:c>
      <x:c r="L150" s="30" t="n">
        <x:f>IF(ISNUMBER(K150),COUNTIFS($K$6:$K$151,"&gt;"&amp;K150)+(COUNTIFS($K$6:$K$151,K150)+1)/2,"NA")</x:f>
        <x:v>145</x:v>
      </x:c>
      <x:c r="M150" s="30" t="n">
        <x:f>IF(COUNT('总览与权重'!$H$13:$K$13)=4,ROUND(100*SUMPRODUCT(E150:H150,'总览与权重'!$H$13:$K$13),12),"NA")</x:f>
        <x:v>41.114119342654</x:v>
      </x:c>
      <x:c r="N150" s="30" t="n">
        <x:f>IF(ISNUMBER(M150),COUNTIFS($M$6:$M$151,"&gt;"&amp;M150)+(COUNTIFS($M$6:$M$151,M150)+1)/2,"NA")</x:f>
        <x:v>145</x:v>
      </x:c>
      <x:c r="O150" s="30" t="n">
        <x:f>IF(COUNT('总览与权重'!$H$14:$K$14)=4,ROUND(100*SUMPRODUCT(E150:H150,'总览与权重'!$H$14:$K$14),12),"NA")</x:f>
        <x:v>42.274806073032</x:v>
      </x:c>
      <x:c r="P150" s="30" t="n">
        <x:f>IF(ISNUMBER(O150),COUNTIFS($O$6:$O$151,"&gt;"&amp;O150)+(COUNTIFS($O$6:$O$151,O150)+1)/2,"NA")</x:f>
        <x:v>145</x:v>
      </x:c>
      <x:c r="Q150" s="30" t="n">
        <x:f>IF(COUNT('总览与权重'!$H$15:$K$15)=4,ROUND(100*SUMPRODUCT(E150:H150,'总览与权重'!$H$15:$K$15),12),"NA")</x:f>
        <x:v>34.228564410596</x:v>
      </x:c>
      <x:c r="R150" s="30" t="n">
        <x:f>IF(ISNUMBER(Q150),COUNTIFS($Q$6:$Q$151,"&gt;"&amp;Q150)+(COUNTIFS($Q$6:$Q$151,Q150)+1)/2,"NA")</x:f>
        <x:v>145</x:v>
      </x:c>
      <x:c r="S150" s="31" t="n">
        <x:f>IF(OR(B150="s3",B150="s6"),COUNTIFS($B$6:$B$151,B150,$I$6:$I$151,"&gt;"&amp;I150)+(COUNTIFS($B$6:$B$151,B150,$I$6:$I$151,I150)+1)/2,"NA")</x:f>
        <x:v>137</x:v>
      </x:c>
      <x:c r="T150" s="26" t="str">
        <x:f>IF(COUNTIFS($I$6:$I$151,"&gt;"&amp;I150)&gt;=30,"非前20%",IF(COUNTIFS($I$6:$I$151,"&gt;="&amp;I150)&gt;=30,"边界同分","严格前20%"))</x:f>
        <x:v>非前20%</x:v>
      </x:c>
      <x:c r="U150" s="26" t="str">
        <x:f>IF(COUNTIFS($I$6:$I$151,"&lt;"&amp;I150)&gt;=30,"非后20%",IF(COUNTIFS($I$6:$I$151,"&lt;="&amp;I150)&gt;=30,"边界同分","严格后20%"))</x:f>
        <x:v>严格后20%</x:v>
      </x:c>
      <x:c r="V150" s="22" t="n">
        <x:f>'指标计算'!P155</x:f>
        <x:v>-0.006457694606525455</x:v>
      </x:c>
      <x:c r="W150" s="22" t="n">
        <x:f>'指标计算'!Q155</x:f>
        <x:v>-0.006457694606525455</x:v>
      </x:c>
      <x:c r="X150" s="22" t="str">
        <x:v>["S0944"]</x:v>
      </x:c>
      <x:c r="Y150" s="22" t="str">
        <x:v>evidence/student_evidence.jsonl；student_key=2026春:268133</x:v>
      </x:c>
      <x:c r="Z150" s="26" t="n">
        <x:f>IF(OR(B150="s3",B150="s6"),COUNTIFS($B$6:$B$151,B150,$K$6:$K$151,"&gt;"&amp;K150)+(COUNTIFS($B$6:$B$151,B150,$K$6:$K$151,K150)+1)/2,"NA")</x:f>
        <x:v>137</x:v>
      </x:c>
      <x:c r="AA150" s="26" t="n">
        <x:f>IF(OR(B150="s3",B150="s6"),COUNTIFS($B$6:$B$151,B150,$M$6:$M$151,"&gt;"&amp;M150)+(COUNTIFS($B$6:$B$151,B150,$M$6:$M$151,M150)+1)/2,"NA")</x:f>
        <x:v>137</x:v>
      </x:c>
      <x:c r="AB150" s="26" t="n">
        <x:f>IF(OR(B150="s3",B150="s6"),COUNTIFS($B$6:$B$151,B150,$O$6:$O$151,"&gt;"&amp;O150)+(COUNTIFS($B$6:$B$151,B150,$O$6:$O$151,O150)+1)/2,"NA")</x:f>
        <x:v>137</x:v>
      </x:c>
      <x:c r="AC150" s="26" t="n">
        <x:f>IF(OR(B150="s3",B150="s6"),COUNTIFS($B$6:$B$151,B150,$Q$6:$Q$151,"&gt;"&amp;Q150)+(COUNTIFS($B$6:$B$151,B150,$Q$6:$Q$151,Q150)+1)/2,"NA")</x:f>
        <x:v>137</x:v>
      </x:c>
      <x:c r="AD150" s="25" t="n">
        <x:v>39.202245652532596</x:v>
      </x:c>
      <x:c r="AE150" s="25" t="n">
        <x:v>145</x:v>
      </x:c>
      <x:c r="AF150" s="25" t="n">
        <x:v>137</x:v>
      </x:c>
      <x:c r="AG150" s="25" t="n">
        <x:v>0</x:v>
      </x:c>
    </x:row>
    <x:row r="151" ht="23" customHeight="1">
      <x:c r="A151" s="21" t="str">
        <x:v>2026春:250868</x:v>
      </x:c>
      <x:c r="B151" s="22" t="str">
        <x:v>s3</x:v>
      </x:c>
      <x:c r="C151" s="24" t="n">
        <x:v>1</x:v>
      </x:c>
      <x:c r="D151" s="24" t="n">
        <x:v>1</x:v>
      </x:c>
      <x:c r="E151" s="29" t="n">
        <x:f>'指标计算'!S145</x:f>
        <x:v>0.49943458750458486</x:v>
      </x:c>
      <x:c r="F151" s="29" t="n">
        <x:f>'指标计算'!T145</x:f>
        <x:v>0.49321505005501776</x:v>
      </x:c>
      <x:c r="G151" s="29" t="n">
        <x:f>'指标计算'!U145</x:f>
        <x:v>0.49321505005501776</x:v>
      </x:c>
      <x:c r="H151" s="29" t="n">
        <x:f>'指标计算'!V145</x:f>
        <x:v>0.25</x:v>
      </x:c>
      <x:c r="I151" s="30" t="n">
        <x:f>IF(COUNT('总览与权重'!$H$11:$K$11)=4,ROUND(100*SUMPRODUCT(E151:H151,'总览与权重'!$H$11:$K$11),12),"NA")</x:f>
        <x:v>42.211639627338</x:v>
      </x:c>
      <x:c r="J151" s="30" t="n">
        <x:f>IF(ISNUMBER(I151),COUNTIFS($I$6:$I$151,"&gt;"&amp;I151)+(COUNTIFS($I$6:$I$151,I151)+1)/2,"NA")</x:f>
        <x:v>146</x:v>
      </x:c>
      <x:c r="K151" s="30" t="n">
        <x:f>IF(COUNT('总览与权重'!$H$12:$K$12)=4,ROUND(100*SUMPRODUCT(E151:H151,'总览与权重'!$H$12:$K$12),12),"NA")</x:f>
        <x:v>44.581594753393</x:v>
      </x:c>
      <x:c r="L151" s="30" t="n">
        <x:f>IF(ISNUMBER(K151),COUNTIFS($K$6:$K$151,"&gt;"&amp;K151)+(COUNTIFS($K$6:$K$151,K151)+1)/2,"NA")</x:f>
        <x:v>146</x:v>
      </x:c>
      <x:c r="M151" s="30" t="n">
        <x:f>IF(COUNT('总览与权重'!$H$13:$K$13)=4,ROUND(100*SUMPRODUCT(E151:H151,'总览与权重'!$H$13:$K$13),12),"NA")</x:f>
        <x:v>40.964466689815</x:v>
      </x:c>
      <x:c r="N151" s="30" t="n">
        <x:f>IF(ISNUMBER(M151),COUNTIFS($M$6:$M$151,"&gt;"&amp;M151)+(COUNTIFS($M$6:$M$151,M151)+1)/2,"NA")</x:f>
        <x:v>146</x:v>
      </x:c>
      <x:c r="O151" s="30" t="n">
        <x:f>IF(COUNT('总览与权重'!$H$14:$K$14)=4,ROUND(100*SUMPRODUCT(E151:H151,'总览与权重'!$H$14:$K$14),12),"NA")</x:f>
        <x:v>42.026787928048</x:v>
      </x:c>
      <x:c r="P151" s="30" t="n">
        <x:f>IF(ISNUMBER(O151),COUNTIFS($O$6:$O$151,"&gt;"&amp;O151)+(COUNTIFS($O$6:$O$151,O151)+1)/2,"NA")</x:f>
        <x:v>146</x:v>
      </x:c>
      <x:c r="Q151" s="30" t="n">
        <x:f>IF(COUNT('总览与权重'!$H$15:$K$15)=4,ROUND(100*SUMPRODUCT(E151:H151,'总览与权重'!$H$15:$K$15),12),"NA")</x:f>
        <x:v>34.096067905784</x:v>
      </x:c>
      <x:c r="R151" s="30" t="n">
        <x:f>IF(ISNUMBER(Q151),COUNTIFS($Q$6:$Q$151,"&gt;"&amp;Q151)+(COUNTIFS($Q$6:$Q$151,Q151)+1)/2,"NA")</x:f>
        <x:v>146</x:v>
      </x:c>
      <x:c r="S151" s="31" t="n">
        <x:f>IF(OR(B151="s3",B151="s6"),COUNTIFS($B$6:$B$151,B151,$I$6:$I$151,"&gt;"&amp;I151)+(COUNTIFS($B$6:$B$151,B151,$I$6:$I$151,I151)+1)/2,"NA")</x:f>
        <x:v>138</x:v>
      </x:c>
      <x:c r="T151" s="26" t="str">
        <x:f>IF(COUNTIFS($I$6:$I$151,"&gt;"&amp;I151)&gt;=30,"非前20%",IF(COUNTIFS($I$6:$I$151,"&gt;="&amp;I151)&gt;=30,"边界同分","严格前20%"))</x:f>
        <x:v>非前20%</x:v>
      </x:c>
      <x:c r="U151" s="26" t="str">
        <x:f>IF(COUNTIFS($I$6:$I$151,"&lt;"&amp;I151)&gt;=30,"非后20%",IF(COUNTIFS($I$6:$I$151,"&lt;="&amp;I151)&gt;=30,"边界同分","严格后20%"))</x:f>
        <x:v>严格后20%</x:v>
      </x:c>
      <x:c r="V151" s="22" t="n">
        <x:f>'指标计算'!P145</x:f>
        <x:v>-0.01356989988996446</x:v>
      </x:c>
      <x:c r="W151" s="22" t="n">
        <x:f>'指标计算'!Q145</x:f>
        <x:v>-0.01356989988996446</x:v>
      </x:c>
      <x:c r="X151" s="22" t="str">
        <x:v>["S0828"]</x:v>
      </x:c>
      <x:c r="Y151" s="22" t="str">
        <x:v>evidence/student_evidence.jsonl；student_key=2026春:250868</x:v>
      </x:c>
      <x:c r="Z151" s="26" t="n">
        <x:f>IF(OR(B151="s3",B151="s6"),COUNTIFS($B$6:$B$151,B151,$K$6:$K$151,"&gt;"&amp;K151)+(COUNTIFS($B$6:$B$151,B151,$K$6:$K$151,K151)+1)/2,"NA")</x:f>
        <x:v>138</x:v>
      </x:c>
      <x:c r="AA151" s="26" t="n">
        <x:f>IF(OR(B151="s3",B151="s6"),COUNTIFS($B$6:$B$151,B151,$M$6:$M$151,"&gt;"&amp;M151)+(COUNTIFS($B$6:$B$151,B151,$M$6:$M$151,M151)+1)/2,"NA")</x:f>
        <x:v>138</x:v>
      </x:c>
      <x:c r="AB151" s="26" t="n">
        <x:f>IF(OR(B151="s3",B151="s6"),COUNTIFS($B$6:$B$151,B151,$O$6:$O$151,"&gt;"&amp;O151)+(COUNTIFS($B$6:$B$151,B151,$O$6:$O$151,O151)+1)/2,"NA")</x:f>
        <x:v>138</x:v>
      </x:c>
      <x:c r="AC151" s="26" t="n">
        <x:f>IF(OR(B151="s3",B151="s6"),COUNTIFS($B$6:$B$151,B151,$Q$6:$Q$151,"&gt;"&amp;Q151)+(COUNTIFS($B$6:$B$151,B151,$Q$6:$Q$151,Q151)+1)/2,"NA")</x:f>
        <x:v>138</x:v>
      </x:c>
      <x:c r="AD151" s="25" t="n">
        <x:v>39.05111129025951</x:v>
      </x:c>
      <x:c r="AE151" s="25" t="n">
        <x:v>146</x:v>
      </x:c>
      <x:c r="AF151" s="25" t="n">
        <x:v>138</x:v>
      </x:c>
      <x:c r="AG151" s="25" t="n">
        <x:v>0</x:v>
      </x:c>
    </x:row>
  </x:sheetData>
  <x:pageMargins left="0.7" right="0.7" top="0.75" bottom="0.75" header="0.3" footer="0.3"/>
  <x:tableParts count="1">
    <x:tablePart xmlns:r="http://schemas.openxmlformats.org/officeDocument/2006/relationships" r:id="Re2d752933be04921"/>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2" hidden="0" customWidth="1"/>
    <x:col min="3" max="3" width="12" hidden="0" customWidth="1"/>
    <x:col min="4" max="4" width="12" hidden="0" customWidth="1"/>
    <x:col min="5" max="5" width="17" hidden="0" customWidth="1"/>
    <x:col min="6" max="6" width="17" hidden="0" customWidth="1"/>
    <x:col min="7" max="7" width="17" hidden="0" customWidth="1"/>
    <x:col min="8" max="8" width="11" hidden="0" customWidth="1"/>
    <x:col min="9" max="9" width="13" hidden="0" customWidth="1"/>
    <x:col min="10" max="10" width="13" hidden="0" customWidth="1"/>
    <x:col min="11" max="11" width="17" hidden="0" customWidth="1"/>
    <x:col min="12" max="12" width="17" hidden="0" customWidth="1"/>
    <x:col min="13" max="13" width="17" hidden="0" customWidth="1"/>
    <x:col min="14" max="14" width="14" hidden="0" customWidth="1"/>
    <x:col min="15" max="15" width="12"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32" hidden="0" customWidth="1"/>
    <x:col min="24" max="24" width="13" hidden="0" customWidth="1"/>
    <x:col min="25" max="25" width="14" hidden="0" customWidth="1"/>
    <x:col min="26" max="26" width="17" hidden="0" customWidth="1"/>
    <x:col min="27" max="27" width="19" hidden="0" customWidth="1"/>
    <x:col min="28" max="28" width="34" hidden="0" customWidth="1"/>
    <x:col min="29" max="29" width="12" hidden="0" customWidth="1"/>
    <x:col min="30" max="30" width="14" hidden="0" customWidth="1"/>
    <x:col min="31" max="31" width="40" hidden="0" customWidth="1"/>
    <x:col min="32" max="32" width="70" hidden="0" customWidth="1"/>
    <x:col min="33" max="33" width="70" hidden="0" customWidth="1"/>
    <x:col min="34" max="34" width="95"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row>
    <x:row r="2">
      <x:c r="A2" s="2" t="str">
        <x:v>学生指标与可追溯证据</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row>
    <x:row r="3">
      <x:c r="A3" s="3" t="str">
        <x:v>观察进展按有效对话窗口；基线调整按完整概念配对。NA不补零。domain为本轮概念分析单元。</x:v>
      </x:c>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row>
    <x:row r="4">
      <x:c r="A4" s="3" t="str">
        <x:v>来源：indicator_matrix.jsonl、dhi/student_dhi.jsonl；每行证据定位对应 evidence/student_evidence.jsonl。</x:v>
      </x:c>
    </x:row>
    <x:row r="5" ht="42" customHeight="1">
      <x:c r="A5" s="9" t="str">
        <x:v>学生ID</x:v>
      </x:c>
      <x:c r="B5" s="9" t="str">
        <x:v>量尺</x:v>
      </x:c>
      <x:c r="C5" s="9" t="str">
        <x:v>有效对话数</x:v>
      </x:c>
      <x:c r="D5" s="9" t="str">
        <x:v>有效概念数</x:v>
      </x:c>
      <x:c r="E5" s="9" t="str">
        <x:v>观察CTQ合计</x:v>
      </x:c>
      <x:c r="F5" s="9" t="str">
        <x:v>观察CTQ均值</x:v>
      </x:c>
      <x:c r="G5" s="9" t="str">
        <x:v>观察CTQ最高</x:v>
      </x:c>
      <x:c r="H5" s="9" t="str">
        <x:v>QAPro数</x:v>
      </x:c>
      <x:c r="I5" s="9" t="str">
        <x:v>QA3含Pro数</x:v>
      </x:c>
      <x:c r="J5" s="9" t="str">
        <x:v>质量比例</x:v>
      </x:c>
      <x:c r="K5" s="9" t="str">
        <x:v>观察合计标准分</x:v>
      </x:c>
      <x:c r="L5" s="9" t="str">
        <x:v>观察均值标准分</x:v>
      </x:c>
      <x:c r="M5" s="9" t="str">
        <x:v>观察最高标准分</x:v>
      </x:c>
      <x:c r="N5" s="9" t="str">
        <x:v>质量标准分</x:v>
      </x:c>
      <x:c r="O5" s="9" t="str">
        <x:v>基线榜资格</x:v>
      </x:c>
      <x:c r="P5" s="9" t="str">
        <x:v>净CTQ合计</x:v>
      </x:c>
      <x:c r="Q5" s="9" t="str">
        <x:v>净CTQ均值</x:v>
      </x:c>
      <x:c r="R5" s="9" t="str">
        <x:v>净CTQ最高</x:v>
      </x:c>
      <x:c r="S5" s="9" t="str">
        <x:v>净合计标准分</x:v>
      </x:c>
      <x:c r="T5" s="9" t="str">
        <x:v>净均值标准分</x:v>
      </x:c>
      <x:c r="U5" s="9" t="str">
        <x:v>净最高标准分</x:v>
      </x:c>
      <x:c r="V5" s="9" t="str">
        <x:v>质量标准分(净榜)</x:v>
      </x:c>
      <x:c r="W5" s="9" t="str">
        <x:v>缺基线原因</x:v>
      </x:c>
      <x:c r="X5" s="9" t="str">
        <x:v>MAB去重数</x:v>
      </x:c>
      <x:c r="Y5" s="9" t="str">
        <x:v>MAB饱和分</x:v>
      </x:c>
      <x:c r="Z5" s="9" t="str">
        <x:v>DHI对称变化</x:v>
      </x:c>
      <x:c r="AA5" s="9" t="str">
        <x:v>DHI非对称变化</x:v>
      </x:c>
      <x:c r="AB5" s="9" t="str">
        <x:v>学生自述状态</x:v>
      </x:c>
      <x:c r="AC5" s="9" t="str">
        <x:v>纠错率</x:v>
      </x:c>
      <x:c r="AD5" s="9" t="str">
        <x:v>自主推理率</x:v>
      </x:c>
      <x:c r="AE5" s="9" t="str">
        <x:v>有效对话短ID JSON</x:v>
      </x:c>
      <x:c r="AF5" s="9" t="str">
        <x:v>有效对话完整ID JSON</x:v>
      </x:c>
      <x:c r="AG5" s="9" t="str">
        <x:v>证据JSONL定位</x:v>
      </x:c>
      <x:c r="AH5" s="9" t="str">
        <x:v>证据提示（含6例目的性复核）</x:v>
      </x:c>
    </x:row>
    <x:row r="6" ht="23" customHeight="1">
      <x:c r="A6" s="21" t="str">
        <x:v>2025秋:240957</x:v>
      </x:c>
      <x:c r="B6" s="22" t="str">
        <x:v>s3</x:v>
      </x:c>
      <x:c r="C6" s="24" t="n">
        <x:v>1</x:v>
      </x:c>
      <x:c r="D6" s="24" t="n">
        <x:v>1</x:v>
      </x:c>
      <x:c r="E6" s="22" t="n">
        <x:v>0.3583636510631417</x:v>
      </x:c>
      <x:c r="F6" s="22" t="n">
        <x:v>0.3583636510631417</x:v>
      </x:c>
      <x:c r="G6" s="22" t="n">
        <x:v>0.3583636510631417</x:v>
      </x:c>
      <x:c r="H6" s="24" t="n">
        <x:v>1</x:v>
      </x:c>
      <x:c r="I6" s="24" t="n">
        <x:v>1</x:v>
      </x:c>
      <x:c r="J6" s="23" t="n">
        <x:f>IF(I6&gt;0,H6/I6,"NA")</x:f>
        <x:v>1</x:v>
      </x:c>
      <x:c r="K6" s="23" t="n">
        <x:f>MAX(0,MIN(1,(E6-'总览与权重'!$B$18)/('总览与权重'!$C$18-'总览与权重'!$B$18)))</x:f>
        <x:v>0.029863637588595143</x:v>
      </x:c>
      <x:c r="L6" s="23" t="n">
        <x:f>MAX(0,MIN(1,(F6-'总览与权重'!$B$19)/('总览与权重'!$C$19-'总览与权重'!$B$19)))</x:f>
        <x:v>0.3583636510631417</x:v>
      </x:c>
      <x:c r="M6" s="23" t="n">
        <x:f>MAX(0,MIN(1,(G6-'总览与权重'!$B$20)/('总览与权重'!$C$20-'总览与权重'!$B$20)))</x:f>
        <x:v>0.3583636510631417</x:v>
      </x:c>
      <x:c r="N6" s="23" t="n">
        <x:f>J6</x:f>
        <x:v>1</x:v>
      </x:c>
      <x:c r="O6" s="22" t="str">
        <x:v>是</x:v>
      </x:c>
      <x:c r="P6" s="22" t="n">
        <x:v>0.22155972430705198</x:v>
      </x:c>
      <x:c r="Q6" s="22" t="n">
        <x:v>0.22155972430705198</x:v>
      </x:c>
      <x:c r="R6" s="22" t="n">
        <x:v>0.22155972430705198</x:v>
      </x:c>
      <x:c r="S6" s="23" t="n">
        <x:f>IF(O6="是",MAX(0,MIN(1,(P6-'总览与权重'!$B$21)/('总览与权重'!$C$21-'总览与权重'!$B$21))),"NA")</x:f>
        <x:v>0.5092316551794606</x:v>
      </x:c>
      <x:c r="T6" s="23" t="n">
        <x:f>IF(O6="是",MAX(0,MIN(1,(Q6-'总览与权重'!$B$22)/('总览与权重'!$C$22-'总览与权重'!$B$22))),"NA")</x:f>
        <x:v>0.610779862153526</x:v>
      </x:c>
      <x:c r="U6" s="23" t="n">
        <x:f>IF(O6="是",MAX(0,MIN(1,(R6-'总览与权重'!$B$23)/('总览与权重'!$C$23-'总览与权重'!$B$23))),"NA")</x:f>
        <x:v>0.610779862153526</x:v>
      </x:c>
      <x:c r="V6" s="23" t="n">
        <x:f>IF(O6="是",J6,"NA")</x:f>
        <x:v>1</x:v>
      </x:c>
      <x:c r="W6" s="22" t="str">
        <x:v>完整</x:v>
      </x:c>
      <x:c r="X6" s="22" t="n">
        <x:v>1</x:v>
      </x:c>
      <x:c r="Y6" s="22" t="n">
        <x:v>0</x:v>
      </x:c>
      <x:c r="Z6" s="22" t="n">
        <x:v>-0.25</x:v>
      </x:c>
      <x:c r="AA6" s="22" t="n">
        <x:v>-0.119047619048</x:v>
      </x:c>
      <x:c r="AB6" s="22" t="str">
        <x:v>知识点理解与概念探究；正向评价（不计能力分）</x:v>
      </x:c>
      <x:c r="AC6" s="22" t="str">
        <x:v>NA</x:v>
      </x:c>
      <x:c r="AD6" s="22" t="str">
        <x:v>NA</x:v>
      </x:c>
      <x:c r="AE6" s="22" t="str">
        <x:v>["S0440"]</x:v>
      </x:c>
      <x:c r="AF6" s="22" t="str">
        <x:v>["2025秋:2025秋-数学模型-问答记录导出20260502导出_已标注_已更新.xlsx:问答记录:452"]</x:v>
      </x:c>
      <x:c r="AG6" s="22" t="str">
        <x:v>evidence/student_evidence.jsonl；student_key=2025秋:240957</x:v>
      </x:c>
      <x:c r="AH6" s="27" t="str"/>
    </x:row>
    <x:row r="7" ht="23" customHeight="1">
      <x:c r="A7" s="21" t="str">
        <x:v>2025秋:252265</x:v>
      </x:c>
      <x:c r="B7" s="22" t="str">
        <x:v>s3</x:v>
      </x:c>
      <x:c r="C7" s="24" t="n">
        <x:v>1</x:v>
      </x:c>
      <x:c r="D7" s="24" t="n">
        <x:v>1</x:v>
      </x:c>
      <x:c r="E7" s="22" t="n">
        <x:v>0.32470914657481825</x:v>
      </x:c>
      <x:c r="F7" s="22" t="n">
        <x:v>0.32470914657481825</x:v>
      </x:c>
      <x:c r="G7" s="22" t="n">
        <x:v>0.32470914657481825</x:v>
      </x:c>
      <x:c r="H7" s="24" t="n">
        <x:v>1</x:v>
      </x:c>
      <x:c r="I7" s="24" t="n">
        <x:v>1</x:v>
      </x:c>
      <x:c r="J7" s="23" t="n">
        <x:f>IF(I7&gt;0,H7/I7,"NA")</x:f>
        <x:v>1</x:v>
      </x:c>
      <x:c r="K7" s="23" t="n">
        <x:f>MAX(0,MIN(1,(E7-'总览与权重'!$B$18)/('总览与权重'!$C$18-'总览与权重'!$B$18)))</x:f>
        <x:v>0.02705909554790152</x:v>
      </x:c>
      <x:c r="L7" s="23" t="n">
        <x:f>MAX(0,MIN(1,(F7-'总览与权重'!$B$19)/('总览与权重'!$C$19-'总览与权重'!$B$19)))</x:f>
        <x:v>0.32470914657481825</x:v>
      </x:c>
      <x:c r="M7" s="23" t="n">
        <x:f>MAX(0,MIN(1,(G7-'总览与权重'!$B$20)/('总览与权重'!$C$20-'总览与权重'!$B$20)))</x:f>
        <x:v>0.32470914657481825</x:v>
      </x:c>
      <x:c r="N7" s="23" t="n">
        <x:f>J7</x:f>
        <x:v>1</x:v>
      </x:c>
      <x:c r="O7" s="22" t="str">
        <x:v>是</x:v>
      </x:c>
      <x:c r="P7" s="22" t="n">
        <x:v>0.2068241609340583</x:v>
      </x:c>
      <x:c r="Q7" s="22" t="n">
        <x:v>0.2068241609340583</x:v>
      </x:c>
      <x:c r="R7" s="22" t="n">
        <x:v>0.2068241609340583</x:v>
      </x:c>
      <x:c r="S7" s="23" t="n">
        <x:f>IF(O7="是",MAX(0,MIN(1,(P7-'总览与权重'!$B$21)/('总览与权重'!$C$21-'总览与权重'!$B$21))),"NA")</x:f>
        <x:v>0.5086176733722524</x:v>
      </x:c>
      <x:c r="T7" s="23" t="n">
        <x:f>IF(O7="是",MAX(0,MIN(1,(Q7-'总览与权重'!$B$22)/('总览与权重'!$C$22-'总览与权重'!$B$22))),"NA")</x:f>
        <x:v>0.6034120804670291</x:v>
      </x:c>
      <x:c r="U7" s="23" t="n">
        <x:f>IF(O7="是",MAX(0,MIN(1,(R7-'总览与权重'!$B$23)/('总览与权重'!$C$23-'总览与权重'!$B$23))),"NA")</x:f>
        <x:v>0.6034120804670291</x:v>
      </x:c>
      <x:c r="V7" s="23" t="n">
        <x:f>IF(O7="是",J7,"NA")</x:f>
        <x:v>1</x:v>
      </x:c>
      <x:c r="W7" s="22" t="str">
        <x:v>完整</x:v>
      </x:c>
      <x:c r="X7" s="22" t="n">
        <x:v>1</x:v>
      </x:c>
      <x:c r="Y7" s="22" t="n">
        <x:v>0</x:v>
      </x:c>
      <x:c r="Z7" s="22" t="n">
        <x:v>-0.25</x:v>
      </x:c>
      <x:c r="AA7" s="22" t="n">
        <x:v>-0.119047619048</x:v>
      </x:c>
      <x:c r="AB7" s="22" t="str">
        <x:v>知识点理解与概念探究；正负并存或有条件评价（不计能力分）</x:v>
      </x:c>
      <x:c r="AC7" s="22" t="str">
        <x:v>NA</x:v>
      </x:c>
      <x:c r="AD7" s="22" t="str">
        <x:v>NA</x:v>
      </x:c>
      <x:c r="AE7" s="22" t="str">
        <x:v>["S0248"]</x:v>
      </x:c>
      <x:c r="AF7" s="22" t="str">
        <x:v>["2025秋:2025秋-数学模型-问答记录导出20260502导出_已标注_已更新.xlsx:问答记录:254"]</x:v>
      </x:c>
      <x:c r="AG7" s="22" t="str">
        <x:v>evidence/student_evidence.jsonl；student_key=2025秋:252265</x:v>
      </x:c>
      <x:c r="AH7" s="27" t="str"/>
    </x:row>
    <x:row r="8" ht="23" customHeight="1">
      <x:c r="A8" s="21" t="str">
        <x:v>2025秋:257174</x:v>
      </x:c>
      <x:c r="B8" s="22" t="str">
        <x:v>s3</x:v>
      </x:c>
      <x:c r="C8" s="24" t="n">
        <x:v>1</x:v>
      </x:c>
      <x:c r="D8" s="24" t="n">
        <x:v>1</x:v>
      </x:c>
      <x:c r="E8" s="22" t="n">
        <x:v>0.3818843761667175</x:v>
      </x:c>
      <x:c r="F8" s="22" t="n">
        <x:v>0.3818843761667175</x:v>
      </x:c>
      <x:c r="G8" s="22" t="n">
        <x:v>0.3818843761667175</x:v>
      </x:c>
      <x:c r="H8" s="24" t="n">
        <x:v>1</x:v>
      </x:c>
      <x:c r="I8" s="24" t="n">
        <x:v>2</x:v>
      </x:c>
      <x:c r="J8" s="23" t="n">
        <x:f>IF(I8&gt;0,H8/I8,"NA")</x:f>
        <x:v>0.5</x:v>
      </x:c>
      <x:c r="K8" s="23" t="n">
        <x:f>MAX(0,MIN(1,(E8-'总览与权重'!$B$18)/('总览与权重'!$C$18-'总览与权重'!$B$18)))</x:f>
        <x:v>0.03182369801389313</x:v>
      </x:c>
      <x:c r="L8" s="23" t="n">
        <x:f>MAX(0,MIN(1,(F8-'总览与权重'!$B$19)/('总览与权重'!$C$19-'总览与权重'!$B$19)))</x:f>
        <x:v>0.3818843761667175</x:v>
      </x:c>
      <x:c r="M8" s="23" t="n">
        <x:f>MAX(0,MIN(1,(G8-'总览与权重'!$B$20)/('总览与权重'!$C$20-'总览与权重'!$B$20)))</x:f>
        <x:v>0.3818843761667175</x:v>
      </x:c>
      <x:c r="N8" s="23" t="n">
        <x:f>J8</x:f>
        <x:v>0.5</x:v>
      </x:c>
      <x:c r="O8" s="22" t="str">
        <x:v>否</x:v>
      </x:c>
      <x:c r="P8" s="22" t="str">
        <x:v>NA</x:v>
      </x:c>
      <x:c r="Q8" s="22" t="str">
        <x:v>NA</x:v>
      </x:c>
      <x:c r="R8" s="22" t="str">
        <x:v>NA</x:v>
      </x:c>
      <x:c r="S8" s="23" t="str">
        <x:f>IF(O8="是",MAX(0,MIN(1,(P8-'总览与权重'!$B$21)/('总览与权重'!$C$21-'总览与权重'!$B$21))),"NA")</x:f>
        <x:v>NA</x:v>
      </x:c>
      <x:c r="T8" s="23" t="str">
        <x:f>IF(O8="是",MAX(0,MIN(1,(Q8-'总览与权重'!$B$22)/('总览与权重'!$C$22-'总览与权重'!$B$22))),"NA")</x:f>
        <x:v>NA</x:v>
      </x:c>
      <x:c r="U8" s="23" t="str">
        <x:f>IF(O8="是",MAX(0,MIN(1,(R8-'总览与权重'!$B$23)/('总览与权重'!$C$23-'总览与权重'!$B$23))),"NA")</x:f>
        <x:v>NA</x:v>
      </x:c>
      <x:c r="V8" s="23" t="str">
        <x:f>IF(O8="是",J8,"NA")</x:f>
        <x:v>NA</x:v>
      </x:c>
      <x:c r="W8" s="22" t="str">
        <x:v>无完整领域最早before配对</x:v>
      </x:c>
      <x:c r="X8" s="22" t="n">
        <x:v>1</x:v>
      </x:c>
      <x:c r="Y8" s="22" t="n">
        <x:v>0</x:v>
      </x:c>
      <x:c r="Z8" s="22" t="n">
        <x:v>-0.25</x:v>
      </x:c>
      <x:c r="AA8" s="22" t="n">
        <x:v>-0.119047619048</x:v>
      </x:c>
      <x:c r="AB8" s="22" t="str">
        <x:v>知识点理解与概念探究；无明确评价（不计能力分）</x:v>
      </x:c>
      <x:c r="AC8" s="22" t="str">
        <x:v>NA</x:v>
      </x:c>
      <x:c r="AD8" s="22" t="str">
        <x:v>NA</x:v>
      </x:c>
      <x:c r="AE8" s="22" t="str">
        <x:v>["S0475"]</x:v>
      </x:c>
      <x:c r="AF8" s="22" t="str">
        <x:v>["2025秋:2025秋-数学模型-问答记录导出20260502导出_已标注_已更新.xlsx:问答记录:487"]</x:v>
      </x:c>
      <x:c r="AG8" s="22" t="str">
        <x:v>evidence/student_evidence.jsonl；student_key=2025秋:257174</x:v>
      </x:c>
      <x:c r="AH8" s="27" t="str"/>
    </x:row>
    <x:row r="9" ht="48" customHeight="1">
      <x:c r="A9" s="21" t="str">
        <x:v>2025秋:258268</x:v>
      </x:c>
      <x:c r="B9" s="22" t="str">
        <x:v>s3</x:v>
      </x:c>
      <x:c r="C9" s="24" t="n">
        <x:v>1</x:v>
      </x:c>
      <x:c r="D9" s="24" t="n">
        <x:v>1</x:v>
      </x:c>
      <x:c r="E9" s="22" t="n">
        <x:v>0</x:v>
      </x:c>
      <x:c r="F9" s="22" t="n">
        <x:v>0</x:v>
      </x:c>
      <x:c r="G9" s="22" t="n">
        <x:v>0</x:v>
      </x:c>
      <x:c r="H9" s="24" t="n">
        <x:v>2</x:v>
      </x:c>
      <x:c r="I9" s="24" t="n">
        <x:v>2</x:v>
      </x:c>
      <x:c r="J9" s="23" t="n">
        <x:f>IF(I9&gt;0,H9/I9,"NA")</x:f>
        <x:v>1</x:v>
      </x:c>
      <x:c r="K9" s="23" t="n">
        <x:f>MAX(0,MIN(1,(E9-'总览与权重'!$B$18)/('总览与权重'!$C$18-'总览与权重'!$B$18)))</x:f>
        <x:v>0</x:v>
      </x:c>
      <x:c r="L9" s="23" t="n">
        <x:f>MAX(0,MIN(1,(F9-'总览与权重'!$B$19)/('总览与权重'!$C$19-'总览与权重'!$B$19)))</x:f>
        <x:v>0</x:v>
      </x:c>
      <x:c r="M9" s="23" t="n">
        <x:f>MAX(0,MIN(1,(G9-'总览与权重'!$B$20)/('总览与权重'!$C$20-'总览与权重'!$B$20)))</x:f>
        <x:v>0</x:v>
      </x:c>
      <x:c r="N9" s="23" t="n">
        <x:f>J9</x:f>
        <x:v>1</x:v>
      </x:c>
      <x:c r="O9" s="22" t="str">
        <x:v>是</x:v>
      </x:c>
      <x:c r="P9" s="22" t="n">
        <x:v>-0.0760685021771465</x:v>
      </x:c>
      <x:c r="Q9" s="22" t="n">
        <x:v>-0.09508562772143313</x:v>
      </x:c>
      <x:c r="R9" s="22" t="n">
        <x:v>-0.09508562772143313</x:v>
      </x:c>
      <x:c r="S9" s="23" t="n">
        <x:f>IF(O9="是",MAX(0,MIN(1,(P9-'总览与权重'!$B$21)/('总览与权重'!$C$21-'总览与权重'!$B$21))),"NA")</x:f>
        <x:v>0.4968304790759522</x:v>
      </x:c>
      <x:c r="T9" s="23" t="n">
        <x:f>IF(O9="是",MAX(0,MIN(1,(Q9-'总览与权重'!$B$22)/('总览与权重'!$C$22-'总览与权重'!$B$22))),"NA")</x:f>
        <x:v>0.45245718613928343</x:v>
      </x:c>
      <x:c r="U9" s="23" t="n">
        <x:f>IF(O9="是",MAX(0,MIN(1,(R9-'总览与权重'!$B$23)/('总览与权重'!$C$23-'总览与权重'!$B$23))),"NA")</x:f>
        <x:v>0.45245718613928343</x:v>
      </x:c>
      <x:c r="V9" s="23" t="n">
        <x:f>IF(O9="是",J9,"NA")</x:f>
        <x:v>1</x:v>
      </x:c>
      <x:c r="W9" s="22" t="str">
        <x:v>完整</x:v>
      </x:c>
      <x:c r="X9" s="22" t="n">
        <x:v>2</x:v>
      </x:c>
      <x:c r="Y9" s="22" t="n">
        <x:v>0.6321205588285577</x:v>
      </x:c>
      <x:c r="Z9" s="22" t="n">
        <x:v>0</x:v>
      </x:c>
      <x:c r="AA9" s="22" t="n">
        <x:v>0</x:v>
      </x:c>
      <x:c r="AB9" s="22" t="str">
        <x:v>知识点理解与概念探究；正向评价（不计能力分）</x:v>
      </x:c>
      <x:c r="AC9" s="22" t="str">
        <x:v>NA</x:v>
      </x:c>
      <x:c r="AD9" s="22" t="str">
        <x:v>NA</x:v>
      </x:c>
      <x:c r="AE9" s="22" t="str">
        <x:v>["S0259"]</x:v>
      </x:c>
      <x:c r="AF9" s="22" t="str">
        <x:v>["2025秋:2025秋-数学模型-问答记录导出20260502导出_已标注_已更新.xlsx:问答记录:267"]</x:v>
      </x:c>
      <x:c r="AG9" s="22" t="str">
        <x:v>evidence/student_evidence.jsonl；student_key=2025秋:258268</x:v>
      </x:c>
      <x:c r="AH9" s="27" t="str">
        <x:v>同一锚点起止1条：未形成独立重复测量。CTQ=0、QAPro/QA3=1，均衡观察分仍30。前后同一回合；零类别增量不等于没有学习。</x:v>
      </x:c>
    </x:row>
    <x:row r="10" ht="48" customHeight="1">
      <x:c r="A10" s="21" t="str">
        <x:v>2025秋:258269</x:v>
      </x:c>
      <x:c r="B10" s="22" t="str">
        <x:v>s3</x:v>
      </x:c>
      <x:c r="C10" s="24" t="n">
        <x:v>1</x:v>
      </x:c>
      <x:c r="D10" s="24" t="n">
        <x:v>1</x:v>
      </x:c>
      <x:c r="E10" s="22" t="n">
        <x:v>0</x:v>
      </x:c>
      <x:c r="F10" s="22" t="n">
        <x:v>0</x:v>
      </x:c>
      <x:c r="G10" s="22" t="n">
        <x:v>0</x:v>
      </x:c>
      <x:c r="H10" s="24" t="n">
        <x:v>1</x:v>
      </x:c>
      <x:c r="I10" s="24" t="n">
        <x:v>3</x:v>
      </x:c>
      <x:c r="J10" s="23" t="n">
        <x:f>IF(I10&gt;0,H10/I10,"NA")</x:f>
        <x:v>0.3333333333333333</x:v>
      </x:c>
      <x:c r="K10" s="23" t="n">
        <x:f>MAX(0,MIN(1,(E10-'总览与权重'!$B$18)/('总览与权重'!$C$18-'总览与权重'!$B$18)))</x:f>
        <x:v>0</x:v>
      </x:c>
      <x:c r="L10" s="23" t="n">
        <x:f>MAX(0,MIN(1,(F10-'总览与权重'!$B$19)/('总览与权重'!$C$19-'总览与权重'!$B$19)))</x:f>
        <x:v>0</x:v>
      </x:c>
      <x:c r="M10" s="23" t="n">
        <x:f>MAX(0,MIN(1,(G10-'总览与权重'!$B$20)/('总览与权重'!$C$20-'总览与权重'!$B$20)))</x:f>
        <x:v>0</x:v>
      </x:c>
      <x:c r="N10" s="23" t="n">
        <x:f>J10</x:f>
        <x:v>0.3333333333333333</x:v>
      </x:c>
      <x:c r="O10" s="22" t="str">
        <x:v>否</x:v>
      </x:c>
      <x:c r="P10" s="22" t="str">
        <x:v>NA</x:v>
      </x:c>
      <x:c r="Q10" s="22" t="str">
        <x:v>NA</x:v>
      </x:c>
      <x:c r="R10" s="22" t="str">
        <x:v>NA</x:v>
      </x:c>
      <x:c r="S10" s="23" t="str">
        <x:f>IF(O10="是",MAX(0,MIN(1,(P10-'总览与权重'!$B$21)/('总览与权重'!$C$21-'总览与权重'!$B$21))),"NA")</x:f>
        <x:v>NA</x:v>
      </x:c>
      <x:c r="T10" s="23" t="str">
        <x:f>IF(O10="是",MAX(0,MIN(1,(Q10-'总览与权重'!$B$22)/('总览与权重'!$C$22-'总览与权重'!$B$22))),"NA")</x:f>
        <x:v>NA</x:v>
      </x:c>
      <x:c r="U10" s="23" t="str">
        <x:f>IF(O10="是",MAX(0,MIN(1,(R10-'总览与权重'!$B$23)/('总览与权重'!$C$23-'总览与权重'!$B$23))),"NA")</x:f>
        <x:v>NA</x:v>
      </x:c>
      <x:c r="V10" s="23" t="str">
        <x:f>IF(O10="是",J10,"NA")</x:f>
        <x:v>NA</x:v>
      </x:c>
      <x:c r="W10" s="22" t="str">
        <x:v>无完整领域最早before配对</x:v>
      </x:c>
      <x:c r="X10" s="22" t="n">
        <x:v>2</x:v>
      </x:c>
      <x:c r="Y10" s="22" t="n">
        <x:v>0.6321205588285577</x:v>
      </x:c>
      <x:c r="Z10" s="22" t="n">
        <x:v>0</x:v>
      </x:c>
      <x:c r="AA10" s="22" t="n">
        <x:v>0</x:v>
      </x:c>
      <x:c r="AB10" s="22" t="str">
        <x:v>知识点理解与概念探究；正负并存或有条件评价（不计能力分）</x:v>
      </x:c>
      <x:c r="AC10" s="22" t="str">
        <x:v>NA</x:v>
      </x:c>
      <x:c r="AD10" s="22" t="str">
        <x:v>NA</x:v>
      </x:c>
      <x:c r="AE10" s="22" t="str">
        <x:v>["S0297"]</x:v>
      </x:c>
      <x:c r="AF10" s="22" t="str">
        <x:v>["2025秋:2025秋-数学模型-问答记录导出20260502导出_已标注_已更新.xlsx:问答记录:305"]</x:v>
      </x:c>
      <x:c r="AG10" s="22" t="str">
        <x:v>evidence/student_evidence.jsonl；student_key=2025秋:258269</x:v>
      </x:c>
      <x:c r="AH10" s="27" t="str">
        <x:v>同一锚点起止1条：未形成独立重复测量。</x:v>
      </x:c>
    </x:row>
    <x:row r="11" ht="48" customHeight="1">
      <x:c r="A11" s="21" t="str">
        <x:v>2025秋:258274</x:v>
      </x:c>
      <x:c r="B11" s="22" t="str">
        <x:v>s3</x:v>
      </x:c>
      <x:c r="C11" s="24" t="n">
        <x:v>1</x:v>
      </x:c>
      <x:c r="D11" s="24" t="n">
        <x:v>1</x:v>
      </x:c>
      <x:c r="E11" s="22" t="n">
        <x:v>0</x:v>
      </x:c>
      <x:c r="F11" s="22" t="n">
        <x:v>0</x:v>
      </x:c>
      <x:c r="G11" s="22" t="n">
        <x:v>0</x:v>
      </x:c>
      <x:c r="H11" s="24" t="n">
        <x:v>1</x:v>
      </x:c>
      <x:c r="I11" s="24" t="n">
        <x:v>2</x:v>
      </x:c>
      <x:c r="J11" s="23" t="n">
        <x:f>IF(I11&gt;0,H11/I11,"NA")</x:f>
        <x:v>0.5</x:v>
      </x:c>
      <x:c r="K11" s="23" t="n">
        <x:f>MAX(0,MIN(1,(E11-'总览与权重'!$B$18)/('总览与权重'!$C$18-'总览与权重'!$B$18)))</x:f>
        <x:v>0</x:v>
      </x:c>
      <x:c r="L11" s="23" t="n">
        <x:f>MAX(0,MIN(1,(F11-'总览与权重'!$B$19)/('总览与权重'!$C$19-'总览与权重'!$B$19)))</x:f>
        <x:v>0</x:v>
      </x:c>
      <x:c r="M11" s="23" t="n">
        <x:f>MAX(0,MIN(1,(G11-'总览与权重'!$B$20)/('总览与权重'!$C$20-'总览与权重'!$B$20)))</x:f>
        <x:v>0</x:v>
      </x:c>
      <x:c r="N11" s="23" t="n">
        <x:f>J11</x:f>
        <x:v>0.5</x:v>
      </x:c>
      <x:c r="O11" s="22" t="str">
        <x:v>是</x:v>
      </x:c>
      <x:c r="P11" s="22" t="n">
        <x:v>-0.11788498564075993</x:v>
      </x:c>
      <x:c r="Q11" s="22" t="n">
        <x:v>-0.11788498564075993</x:v>
      </x:c>
      <x:c r="R11" s="22" t="n">
        <x:v>-0.11788498564075993</x:v>
      </x:c>
      <x:c r="S11" s="23" t="n">
        <x:f>IF(O11="是",MAX(0,MIN(1,(P11-'总览与权重'!$B$21)/('总览与权重'!$C$21-'总览与权重'!$B$21))),"NA")</x:f>
        <x:v>0.4950881255983017</x:v>
      </x:c>
      <x:c r="T11" s="23" t="n">
        <x:f>IF(O11="是",MAX(0,MIN(1,(Q11-'总览与权重'!$B$22)/('总览与权重'!$C$22-'总览与权重'!$B$22))),"NA")</x:f>
        <x:v>0.44105750717962006</x:v>
      </x:c>
      <x:c r="U11" s="23" t="n">
        <x:f>IF(O11="是",MAX(0,MIN(1,(R11-'总览与权重'!$B$23)/('总览与权重'!$C$23-'总览与权重'!$B$23))),"NA")</x:f>
        <x:v>0.44105750717962006</x:v>
      </x:c>
      <x:c r="V11" s="23" t="n">
        <x:f>IF(O11="是",J11,"NA")</x:f>
        <x:v>0.5</x:v>
      </x:c>
      <x:c r="W11" s="22" t="str">
        <x:v>完整</x:v>
      </x:c>
      <x:c r="X11" s="22" t="n">
        <x:v>2</x:v>
      </x:c>
      <x:c r="Y11" s="22" t="n">
        <x:v>0.6321205588285577</x:v>
      </x:c>
      <x:c r="Z11" s="22" t="n">
        <x:v>0</x:v>
      </x:c>
      <x:c r="AA11" s="22" t="n">
        <x:v>0</x:v>
      </x:c>
      <x:c r="AB11" s="22" t="str">
        <x:v>知识点理解与概念探究；正向评价（不计能力分）</x:v>
      </x:c>
      <x:c r="AC11" s="22" t="str">
        <x:v>NA</x:v>
      </x:c>
      <x:c r="AD11" s="22" t="str">
        <x:v>NA</x:v>
      </x:c>
      <x:c r="AE11" s="22" t="str">
        <x:v>["S0275"]</x:v>
      </x:c>
      <x:c r="AF11" s="22" t="str">
        <x:v>["2025秋:2025秋-数学模型-问答记录导出20260502导出_已标注_已更新.xlsx:问答记录:283"]</x:v>
      </x:c>
      <x:c r="AG11" s="22" t="str">
        <x:v>evidence/student_evidence.jsonl；student_key=2025秋:258274</x:v>
      </x:c>
      <x:c r="AH11" s="27" t="str">
        <x:v>同一锚点起止1条：未形成独立重复测量。</x:v>
      </x:c>
    </x:row>
    <x:row r="12" ht="48" customHeight="1">
      <x:c r="A12" s="21" t="str">
        <x:v>2025秋:258425</x:v>
      </x:c>
      <x:c r="B12" s="22" t="str">
        <x:v>s3</x:v>
      </x:c>
      <x:c r="C12" s="24" t="n">
        <x:v>1</x:v>
      </x:c>
      <x:c r="D12" s="24" t="n">
        <x:v>1</x:v>
      </x:c>
      <x:c r="E12" s="22" t="n">
        <x:v>0</x:v>
      </x:c>
      <x:c r="F12" s="22" t="n">
        <x:v>0</x:v>
      </x:c>
      <x:c r="G12" s="22" t="n">
        <x:v>0</x:v>
      </x:c>
      <x:c r="H12" s="24" t="n">
        <x:v>1</x:v>
      </x:c>
      <x:c r="I12" s="24" t="n">
        <x:v>1</x:v>
      </x:c>
      <x:c r="J12" s="23" t="n">
        <x:f>IF(I12&gt;0,H12/I12,"NA")</x:f>
        <x:v>1</x:v>
      </x:c>
      <x:c r="K12" s="23" t="n">
        <x:f>MAX(0,MIN(1,(E12-'总览与权重'!$B$18)/('总览与权重'!$C$18-'总览与权重'!$B$18)))</x:f>
        <x:v>0</x:v>
      </x:c>
      <x:c r="L12" s="23" t="n">
        <x:f>MAX(0,MIN(1,(F12-'总览与权重'!$B$19)/('总览与权重'!$C$19-'总览与权重'!$B$19)))</x:f>
        <x:v>0</x:v>
      </x:c>
      <x:c r="M12" s="23" t="n">
        <x:f>MAX(0,MIN(1,(G12-'总览与权重'!$B$20)/('总览与权重'!$C$20-'总览与权重'!$B$20)))</x:f>
        <x:v>0</x:v>
      </x:c>
      <x:c r="N12" s="23" t="n">
        <x:f>J12</x:f>
        <x:v>1</x:v>
      </x:c>
      <x:c r="O12" s="22" t="str">
        <x:v>是</x:v>
      </x:c>
      <x:c r="P12" s="22" t="n">
        <x:v>-0.07517810241281792</x:v>
      </x:c>
      <x:c r="Q12" s="22" t="n">
        <x:v>-0.0939726280160224</x:v>
      </x:c>
      <x:c r="R12" s="22" t="n">
        <x:v>-0.09397262801602238</x:v>
      </x:c>
      <x:c r="S12" s="23" t="n">
        <x:f>IF(O12="是",MAX(0,MIN(1,(P12-'总览与权重'!$B$21)/('总览与权重'!$C$21-'总览与权重'!$B$21))),"NA")</x:f>
        <x:v>0.4968675790661326</x:v>
      </x:c>
      <x:c r="T12" s="23" t="n">
        <x:f>IF(O12="是",MAX(0,MIN(1,(Q12-'总览与权重'!$B$22)/('总览与权重'!$C$22-'总览与权重'!$B$22))),"NA")</x:f>
        <x:v>0.4530136859919888</x:v>
      </x:c>
      <x:c r="U12" s="23" t="n">
        <x:f>IF(O12="是",MAX(0,MIN(1,(R12-'总览与权重'!$B$23)/('总览与权重'!$C$23-'总览与权重'!$B$23))),"NA")</x:f>
        <x:v>0.4530136859919888</x:v>
      </x:c>
      <x:c r="V12" s="23" t="n">
        <x:f>IF(O12="是",J12,"NA")</x:f>
        <x:v>1</x:v>
      </x:c>
      <x:c r="W12" s="22" t="str">
        <x:v>完整</x:v>
      </x:c>
      <x:c r="X12" s="22" t="n">
        <x:v>1</x:v>
      </x:c>
      <x:c r="Y12" s="22" t="n">
        <x:v>0</x:v>
      </x:c>
      <x:c r="Z12" s="22" t="n">
        <x:v>0</x:v>
      </x:c>
      <x:c r="AA12" s="22" t="n">
        <x:v>0</x:v>
      </x:c>
      <x:c r="AB12" s="22" t="str">
        <x:v>知识点理解与概念探究；正向评价（不计能力分）</x:v>
      </x:c>
      <x:c r="AC12" s="22" t="str">
        <x:v>NA</x:v>
      </x:c>
      <x:c r="AD12" s="22" t="str">
        <x:v>NA</x:v>
      </x:c>
      <x:c r="AE12" s="22" t="str">
        <x:v>["S0319"]</x:v>
      </x:c>
      <x:c r="AF12" s="22" t="str">
        <x:v>["2025秋:2025秋-数学模型-问答记录导出20260502导出_已标注_已更新.xlsx:问答记录:327"]</x:v>
      </x:c>
      <x:c r="AG12" s="22" t="str">
        <x:v>evidence/student_evidence.jsonl；student_key=2025秋:258425</x:v>
      </x:c>
      <x:c r="AH12" s="27" t="str">
        <x:v>同一锚点起止1条：未形成独立重复测量。CTQ=0、质量比例=1，均衡观察分仍30。前后同一回合，无独立后测，不能判定学习失败。</x:v>
      </x:c>
    </x:row>
    <x:row r="13" ht="23" customHeight="1">
      <x:c r="A13" s="21" t="str">
        <x:v>2025秋:258428</x:v>
      </x:c>
      <x:c r="B13" s="22" t="str">
        <x:v>s3</x:v>
      </x:c>
      <x:c r="C13" s="24" t="n">
        <x:v>1</x:v>
      </x:c>
      <x:c r="D13" s="24" t="n">
        <x:v>1</x:v>
      </x:c>
      <x:c r="E13" s="22" t="n">
        <x:v>0.3810004146110808</x:v>
      </x:c>
      <x:c r="F13" s="22" t="n">
        <x:v>0.3810004146110808</x:v>
      </x:c>
      <x:c r="G13" s="22" t="n">
        <x:v>0.3810004146110808</x:v>
      </x:c>
      <x:c r="H13" s="24" t="n">
        <x:v>1</x:v>
      </x:c>
      <x:c r="I13" s="24" t="n">
        <x:v>1</x:v>
      </x:c>
      <x:c r="J13" s="23" t="n">
        <x:f>IF(I13&gt;0,H13/I13,"NA")</x:f>
        <x:v>1</x:v>
      </x:c>
      <x:c r="K13" s="23" t="n">
        <x:f>MAX(0,MIN(1,(E13-'总览与权重'!$B$18)/('总览与权重'!$C$18-'总览与权重'!$B$18)))</x:f>
        <x:v>0.0317500345509234</x:v>
      </x:c>
      <x:c r="L13" s="23" t="n">
        <x:f>MAX(0,MIN(1,(F13-'总览与权重'!$B$19)/('总览与权重'!$C$19-'总览与权重'!$B$19)))</x:f>
        <x:v>0.3810004146110808</x:v>
      </x:c>
      <x:c r="M13" s="23" t="n">
        <x:f>MAX(0,MIN(1,(G13-'总览与权重'!$B$20)/('总览与权重'!$C$20-'总览与权重'!$B$20)))</x:f>
        <x:v>0.3810004146110808</x:v>
      </x:c>
      <x:c r="N13" s="23" t="n">
        <x:f>J13</x:f>
        <x:v>1</x:v>
      </x:c>
      <x:c r="O13" s="22" t="str">
        <x:v>是</x:v>
      </x:c>
      <x:c r="P13" s="22" t="n">
        <x:v>0.24416812895873055</x:v>
      </x:c>
      <x:c r="Q13" s="22" t="n">
        <x:v>0.24416812895873055</x:v>
      </x:c>
      <x:c r="R13" s="22" t="n">
        <x:v>0.24416812895873055</x:v>
      </x:c>
      <x:c r="S13" s="23" t="n">
        <x:f>IF(O13="是",MAX(0,MIN(1,(P13-'总览与权重'!$B$21)/('总览与权重'!$C$21-'总览与权重'!$B$21))),"NA")</x:f>
        <x:v>0.5101736720399471</x:v>
      </x:c>
      <x:c r="T13" s="23" t="n">
        <x:f>IF(O13="是",MAX(0,MIN(1,(Q13-'总览与权重'!$B$22)/('总览与权重'!$C$22-'总览与权重'!$B$22))),"NA")</x:f>
        <x:v>0.6220840644793653</x:v>
      </x:c>
      <x:c r="U13" s="23" t="n">
        <x:f>IF(O13="是",MAX(0,MIN(1,(R13-'总览与权重'!$B$23)/('总览与权重'!$C$23-'总览与权重'!$B$23))),"NA")</x:f>
        <x:v>0.6220840644793653</x:v>
      </x:c>
      <x:c r="V13" s="23" t="n">
        <x:f>IF(O13="是",J13,"NA")</x:f>
        <x:v>1</x:v>
      </x:c>
      <x:c r="W13" s="22" t="str">
        <x:v>完整</x:v>
      </x:c>
      <x:c r="X13" s="22" t="n">
        <x:v>2</x:v>
      </x:c>
      <x:c r="Y13" s="22" t="n">
        <x:v>0.6321205588285577</x:v>
      </x:c>
      <x:c r="Z13" s="22" t="n">
        <x:v>-0.25</x:v>
      </x:c>
      <x:c r="AA13" s="22" t="n">
        <x:v>-0.119047619048</x:v>
      </x:c>
      <x:c r="AB13" s="22" t="str">
        <x:v>知识点理解与概念探究；正向评价（不计能力分）</x:v>
      </x:c>
      <x:c r="AC13" s="22" t="str">
        <x:v>NA</x:v>
      </x:c>
      <x:c r="AD13" s="22" t="str">
        <x:v>NA</x:v>
      </x:c>
      <x:c r="AE13" s="22" t="str">
        <x:v>["S0096"]</x:v>
      </x:c>
      <x:c r="AF13" s="22" t="str">
        <x:v>["2025秋:2025秋-数学模型-问答记录导出20260502导出_已标注_已更新.xlsx:问答记录:99"]</x:v>
      </x:c>
      <x:c r="AG13" s="22" t="str">
        <x:v>evidence/student_evidence.jsonl；student_key=2025秋:258428</x:v>
      </x:c>
      <x:c r="AH13" s="27" t="str"/>
    </x:row>
    <x:row r="14" ht="23" customHeight="1">
      <x:c r="A14" s="21" t="str">
        <x:v>2025秋:258430</x:v>
      </x:c>
      <x:c r="B14" s="22" t="str">
        <x:v>s3</x:v>
      </x:c>
      <x:c r="C14" s="24" t="n">
        <x:v>1</x:v>
      </x:c>
      <x:c r="D14" s="24" t="n">
        <x:v>1</x:v>
      </x:c>
      <x:c r="E14" s="22" t="n">
        <x:v>0.4309882698792403</x:v>
      </x:c>
      <x:c r="F14" s="22" t="n">
        <x:v>0.4309882698792403</x:v>
      </x:c>
      <x:c r="G14" s="22" t="n">
        <x:v>0.4309882698792403</x:v>
      </x:c>
      <x:c r="H14" s="24" t="n">
        <x:v>1</x:v>
      </x:c>
      <x:c r="I14" s="24" t="n">
        <x:v>1</x:v>
      </x:c>
      <x:c r="J14" s="23" t="n">
        <x:f>IF(I14&gt;0,H14/I14,"NA")</x:f>
        <x:v>1</x:v>
      </x:c>
      <x:c r="K14" s="23" t="n">
        <x:f>MAX(0,MIN(1,(E14-'总览与权重'!$B$18)/('总览与权重'!$C$18-'总览与权重'!$B$18)))</x:f>
        <x:v>0.03591568915660336</x:v>
      </x:c>
      <x:c r="L14" s="23" t="n">
        <x:f>MAX(0,MIN(1,(F14-'总览与权重'!$B$19)/('总览与权重'!$C$19-'总览与权重'!$B$19)))</x:f>
        <x:v>0.4309882698792403</x:v>
      </x:c>
      <x:c r="M14" s="23" t="n">
        <x:f>MAX(0,MIN(1,(G14-'总览与权重'!$B$20)/('总览与权重'!$C$20-'总览与权重'!$B$20)))</x:f>
        <x:v>0.4309882698792403</x:v>
      </x:c>
      <x:c r="N14" s="23" t="n">
        <x:f>J14</x:f>
        <x:v>1</x:v>
      </x:c>
      <x:c r="O14" s="22" t="str">
        <x:v>是</x:v>
      </x:c>
      <x:c r="P14" s="22" t="n">
        <x:v>0.2715647998878244</x:v>
      </x:c>
      <x:c r="Q14" s="22" t="n">
        <x:v>0.3394559998597805</x:v>
      </x:c>
      <x:c r="R14" s="22" t="n">
        <x:v>0.3394559998597805</x:v>
      </x:c>
      <x:c r="S14" s="23" t="n">
        <x:f>IF(O14="是",MAX(0,MIN(1,(P14-'总览与权重'!$B$21)/('总览与权重'!$C$21-'总览与权重'!$B$21))),"NA")</x:f>
        <x:v>0.511315199995326</x:v>
      </x:c>
      <x:c r="T14" s="23" t="n">
        <x:f>IF(O14="是",MAX(0,MIN(1,(Q14-'总览与权重'!$B$22)/('总览与权重'!$C$22-'总览与权重'!$B$22))),"NA")</x:f>
        <x:v>0.6697279999298902</x:v>
      </x:c>
      <x:c r="U14" s="23" t="n">
        <x:f>IF(O14="是",MAX(0,MIN(1,(R14-'总览与权重'!$B$23)/('总览与权重'!$C$23-'总览与权重'!$B$23))),"NA")</x:f>
        <x:v>0.6697279999298902</x:v>
      </x:c>
      <x:c r="V14" s="23" t="n">
        <x:f>IF(O14="是",J14,"NA")</x:f>
        <x:v>1</x:v>
      </x:c>
      <x:c r="W14" s="22" t="str">
        <x:v>完整</x:v>
      </x:c>
      <x:c r="X14" s="22" t="n">
        <x:v>2</x:v>
      </x:c>
      <x:c r="Y14" s="22" t="n">
        <x:v>0.6321205588285577</x:v>
      </x:c>
      <x:c r="Z14" s="22" t="n">
        <x:v>0.05</x:v>
      </x:c>
      <x:c r="AA14" s="22" t="n">
        <x:v>0.547619047619</x:v>
      </x:c>
      <x:c r="AB14" s="22" t="str">
        <x:v>知识点理解与概念探究；正负并存或有条件评价（不计能力分）</x:v>
      </x:c>
      <x:c r="AC14" s="22" t="str">
        <x:v>NA</x:v>
      </x:c>
      <x:c r="AD14" s="22" t="str">
        <x:v>NA</x:v>
      </x:c>
      <x:c r="AE14" s="22" t="str">
        <x:v>["S0052"]</x:v>
      </x:c>
      <x:c r="AF14" s="22" t="str">
        <x:v>["2025秋:2025秋-数学模型-问答记录导出20260502导出_已标注_已更新.xlsx:问答记录:54"]</x:v>
      </x:c>
      <x:c r="AG14" s="22" t="str">
        <x:v>evidence/student_evidence.jsonl；student_key=2025秋:258430</x:v>
      </x:c>
      <x:c r="AH14" s="27" t="str"/>
    </x:row>
    <x:row r="15" ht="48" customHeight="1">
      <x:c r="A15" s="21" t="str">
        <x:v>2025秋:258431</x:v>
      </x:c>
      <x:c r="B15" s="22" t="str">
        <x:v>s3</x:v>
      </x:c>
      <x:c r="C15" s="24" t="n">
        <x:v>2</x:v>
      </x:c>
      <x:c r="D15" s="24" t="n">
        <x:v>1</x:v>
      </x:c>
      <x:c r="E15" s="22" t="n">
        <x:v>0.3582214187327823</x:v>
      </x:c>
      <x:c r="F15" s="22" t="n">
        <x:v>0.3582214187327823</x:v>
      </x:c>
      <x:c r="G15" s="22" t="n">
        <x:v>0.3582214187327823</x:v>
      </x:c>
      <x:c r="H15" s="24" t="n">
        <x:v>2</x:v>
      </x:c>
      <x:c r="I15" s="24" t="n">
        <x:v>2</x:v>
      </x:c>
      <x:c r="J15" s="23" t="n">
        <x:f>IF(I15&gt;0,H15/I15,"NA")</x:f>
        <x:v>1</x:v>
      </x:c>
      <x:c r="K15" s="23" t="n">
        <x:f>MAX(0,MIN(1,(E15-'总览与权重'!$B$18)/('总览与权重'!$C$18-'总览与权重'!$B$18)))</x:f>
        <x:v>0.029851784894398523</x:v>
      </x:c>
      <x:c r="L15" s="23" t="n">
        <x:f>MAX(0,MIN(1,(F15-'总览与权重'!$B$19)/('总览与权重'!$C$19-'总览与权重'!$B$19)))</x:f>
        <x:v>0.3582214187327823</x:v>
      </x:c>
      <x:c r="M15" s="23" t="n">
        <x:f>MAX(0,MIN(1,(G15-'总览与权重'!$B$20)/('总览与权重'!$C$20-'总览与权重'!$B$20)))</x:f>
        <x:v>0.3582214187327823</x:v>
      </x:c>
      <x:c r="N15" s="23" t="n">
        <x:f>J15</x:f>
        <x:v>1</x:v>
      </x:c>
      <x:c r="O15" s="22" t="str">
        <x:v>是</x:v>
      </x:c>
      <x:c r="P15" s="22" t="n">
        <x:v>0.22138913308043204</x:v>
      </x:c>
      <x:c r="Q15" s="22" t="n">
        <x:v>0.22138913308043204</x:v>
      </x:c>
      <x:c r="R15" s="22" t="n">
        <x:v>0.22138913308043204</x:v>
      </x:c>
      <x:c r="S15" s="23" t="n">
        <x:f>IF(O15="是",MAX(0,MIN(1,(P15-'总览与权重'!$B$21)/('总览与权重'!$C$21-'总览与权重'!$B$21))),"NA")</x:f>
        <x:v>0.5092245472116846</x:v>
      </x:c>
      <x:c r="T15" s="23" t="n">
        <x:f>IF(O15="是",MAX(0,MIN(1,(Q15-'总览与权重'!$B$22)/('总览与权重'!$C$22-'总览与权重'!$B$22))),"NA")</x:f>
        <x:v>0.610694566540216</x:v>
      </x:c>
      <x:c r="U15" s="23" t="n">
        <x:f>IF(O15="是",MAX(0,MIN(1,(R15-'总览与权重'!$B$23)/('总览与权重'!$C$23-'总览与权重'!$B$23))),"NA")</x:f>
        <x:v>0.610694566540216</x:v>
      </x:c>
      <x:c r="V15" s="23" t="n">
        <x:f>IF(O15="是",J15,"NA")</x:f>
        <x:v>1</x:v>
      </x:c>
      <x:c r="W15" s="22" t="str">
        <x:v>完整</x:v>
      </x:c>
      <x:c r="X15" s="22" t="n">
        <x:v>1</x:v>
      </x:c>
      <x:c r="Y15" s="22" t="n">
        <x:v>0</x:v>
      </x:c>
      <x:c r="Z15" s="22" t="n">
        <x:v>-0.25</x:v>
      </x:c>
      <x:c r="AA15" s="22" t="n">
        <x:v>-0.238095238095</x:v>
      </x:c>
      <x:c r="AB15" s="22" t="str">
        <x:v>知识点理解与概念探究；无明确评价（不计能力分）</x:v>
      </x:c>
      <x:c r="AC15" s="22" t="str">
        <x:v>NA</x:v>
      </x:c>
      <x:c r="AD15" s="22" t="str">
        <x:v>NA</x:v>
      </x:c>
      <x:c r="AE15" s="22" t="str">
        <x:v>["S0444","S0667"]</x:v>
      </x:c>
      <x:c r="AF15" s="22" t="str">
        <x:v>["2025秋:2025秋-数学模型-问答记录导出20260502导出_已标注_已更新.xlsx:问答记录:456","2025秋:2025秋-数学模型-问答记录导出20260502导出_已标注_已更新.xlsx:问答记录:688"]</x:v>
      </x:c>
      <x:c r="AG15" s="22" t="str">
        <x:v>evidence/student_evidence.jsonl；student_key=2025秋:258431</x:v>
      </x:c>
      <x:c r="AH15" s="27" t="str">
        <x:v>同一锚点起止1条：未形成独立重复测量。</x:v>
      </x:c>
    </x:row>
    <x:row r="16" ht="48" customHeight="1">
      <x:c r="A16" s="21" t="str">
        <x:v>2025秋:258439</x:v>
      </x:c>
      <x:c r="B16" s="22" t="str">
        <x:v>s6</x:v>
      </x:c>
      <x:c r="C16" s="24" t="n">
        <x:v>1</x:v>
      </x:c>
      <x:c r="D16" s="24" t="n">
        <x:v>1</x:v>
      </x:c>
      <x:c r="E16" s="22" t="n">
        <x:v>0</x:v>
      </x:c>
      <x:c r="F16" s="22" t="n">
        <x:v>0</x:v>
      </x:c>
      <x:c r="G16" s="22" t="n">
        <x:v>0</x:v>
      </x:c>
      <x:c r="H16" s="24" t="n">
        <x:v>1</x:v>
      </x:c>
      <x:c r="I16" s="24" t="n">
        <x:v>1</x:v>
      </x:c>
      <x:c r="J16" s="23" t="n">
        <x:f>IF(I16&gt;0,H16/I16,"NA")</x:f>
        <x:v>1</x:v>
      </x:c>
      <x:c r="K16" s="23" t="n">
        <x:f>MAX(0,MIN(1,(E16-'总览与权重'!$B$18)/('总览与权重'!$C$18-'总览与权重'!$B$18)))</x:f>
        <x:v>0</x:v>
      </x:c>
      <x:c r="L16" s="23" t="n">
        <x:f>MAX(0,MIN(1,(F16-'总览与权重'!$B$19)/('总览与权重'!$C$19-'总览与权重'!$B$19)))</x:f>
        <x:v>0</x:v>
      </x:c>
      <x:c r="M16" s="23" t="n">
        <x:f>MAX(0,MIN(1,(G16-'总览与权重'!$B$20)/('总览与权重'!$C$20-'总览与权重'!$B$20)))</x:f>
        <x:v>0</x:v>
      </x:c>
      <x:c r="N16" s="23" t="n">
        <x:f>J16</x:f>
        <x:v>1</x:v>
      </x:c>
      <x:c r="O16" s="22" t="str">
        <x:v>是</x:v>
      </x:c>
      <x:c r="P16" s="22" t="n">
        <x:v>-0.15771428571428572</x:v>
      </x:c>
      <x:c r="Q16" s="22" t="n">
        <x:v>-0.15771428571428572</x:v>
      </x:c>
      <x:c r="R16" s="22" t="n">
        <x:v>-0.15771428571428572</x:v>
      </x:c>
      <x:c r="S16" s="23" t="n">
        <x:f>IF(O16="是",MAX(0,MIN(1,(P16-'总览与权重'!$B$21)/('总览与权重'!$C$21-'总览与权重'!$B$21))),"NA")</x:f>
        <x:v>0.4934285714285714</x:v>
      </x:c>
      <x:c r="T16" s="23" t="n">
        <x:f>IF(O16="是",MAX(0,MIN(1,(Q16-'总览与权重'!$B$22)/('总览与权重'!$C$22-'总览与权重'!$B$22))),"NA")</x:f>
        <x:v>0.42114285714285715</x:v>
      </x:c>
      <x:c r="U16" s="23" t="n">
        <x:f>IF(O16="是",MAX(0,MIN(1,(R16-'总览与权重'!$B$23)/('总览与权重'!$C$23-'总览与权重'!$B$23))),"NA")</x:f>
        <x:v>0.42114285714285715</x:v>
      </x:c>
      <x:c r="V16" s="23" t="n">
        <x:f>IF(O16="是",J16,"NA")</x:f>
        <x:v>1</x:v>
      </x:c>
      <x:c r="W16" s="22" t="str">
        <x:v>完整</x:v>
      </x:c>
      <x:c r="X16" s="22" t="n">
        <x:v>1</x:v>
      </x:c>
      <x:c r="Y16" s="22" t="n">
        <x:v>0</x:v>
      </x:c>
      <x:c r="Z16" s="22" t="n">
        <x:v>0</x:v>
      </x:c>
      <x:c r="AA16" s="22" t="n">
        <x:v>0</x:v>
      </x:c>
      <x:c r="AB16" s="22" t="str">
        <x:v>知识点理解与概念探究；正向评价（不计能力分）</x:v>
      </x:c>
      <x:c r="AC16" s="22" t="str">
        <x:v>NA</x:v>
      </x:c>
      <x:c r="AD16" s="22" t="str">
        <x:v>NA</x:v>
      </x:c>
      <x:c r="AE16" s="22" t="str">
        <x:v>["S0280"]</x:v>
      </x:c>
      <x:c r="AF16" s="22" t="str">
        <x:v>["2025秋:2025秋-数学模型-问答记录导出20260502导出_已标注_已更新.xlsx:问答记录:288"]</x:v>
      </x:c>
      <x:c r="AG16" s="22" t="str">
        <x:v>evidence/student_evidence.jsonl；student_key=2025秋:258439</x:v>
      </x:c>
      <x:c r="AH16" s="27" t="str">
        <x:v>同一锚点起止1条：未形成独立重复测量。</x:v>
      </x:c>
    </x:row>
    <x:row r="17" ht="23" customHeight="1">
      <x:c r="A17" s="21" t="str">
        <x:v>2025秋:258440</x:v>
      </x:c>
      <x:c r="B17" s="22" t="str">
        <x:v>s3</x:v>
      </x:c>
      <x:c r="C17" s="24" t="n">
        <x:v>2</x:v>
      </x:c>
      <x:c r="D17" s="24" t="n">
        <x:v>2</x:v>
      </x:c>
      <x:c r="E17" s="22" t="n">
        <x:v>0</x:v>
      </x:c>
      <x:c r="F17" s="22" t="n">
        <x:v>0</x:v>
      </x:c>
      <x:c r="G17" s="22" t="n">
        <x:v>0</x:v>
      </x:c>
      <x:c r="H17" s="24" t="n">
        <x:v>2</x:v>
      </x:c>
      <x:c r="I17" s="24" t="n">
        <x:v>2</x:v>
      </x:c>
      <x:c r="J17" s="23" t="n">
        <x:f>IF(I17&gt;0,H17/I17,"NA")</x:f>
        <x:v>1</x:v>
      </x:c>
      <x:c r="K17" s="23" t="n">
        <x:f>MAX(0,MIN(1,(E17-'总览与权重'!$B$18)/('总览与权重'!$C$18-'总览与权重'!$B$18)))</x:f>
        <x:v>0</x:v>
      </x:c>
      <x:c r="L17" s="23" t="n">
        <x:f>MAX(0,MIN(1,(F17-'总览与权重'!$B$19)/('总览与权重'!$C$19-'总览与权重'!$B$19)))</x:f>
        <x:v>0</x:v>
      </x:c>
      <x:c r="M17" s="23" t="n">
        <x:f>MAX(0,MIN(1,(G17-'总览与权重'!$B$20)/('总览与权重'!$C$20-'总览与权重'!$B$20)))</x:f>
        <x:v>0</x:v>
      </x:c>
      <x:c r="N17" s="23" t="n">
        <x:f>J17</x:f>
        <x:v>1</x:v>
      </x:c>
      <x:c r="O17" s="22" t="str">
        <x:v>是</x:v>
      </x:c>
      <x:c r="P17" s="22" t="n">
        <x:v>-0.19395348781790644</x:v>
      </x:c>
      <x:c r="Q17" s="22" t="n">
        <x:v>-0.10775193767661469</x:v>
      </x:c>
      <x:c r="R17" s="22" t="n">
        <x:v>-0.09508562772143313</x:v>
      </x:c>
      <x:c r="S17" s="23" t="n">
        <x:f>IF(O17="是",MAX(0,MIN(1,(P17-'总览与权重'!$B$21)/('总览与权重'!$C$21-'总览与权重'!$B$21))),"NA")</x:f>
        <x:v>0.4919186046742539</x:v>
      </x:c>
      <x:c r="T17" s="23" t="n">
        <x:f>IF(O17="是",MAX(0,MIN(1,(Q17-'总览与权重'!$B$22)/('总览与权重'!$C$22-'总览与权重'!$B$22))),"NA")</x:f>
        <x:v>0.44612403116169264</x:v>
      </x:c>
      <x:c r="U17" s="23" t="n">
        <x:f>IF(O17="是",MAX(0,MIN(1,(R17-'总览与权重'!$B$23)/('总览与权重'!$C$23-'总览与权重'!$B$23))),"NA")</x:f>
        <x:v>0.45245718613928343</x:v>
      </x:c>
      <x:c r="V17" s="23" t="n">
        <x:f>IF(O17="是",J17,"NA")</x:f>
        <x:v>1</x:v>
      </x:c>
      <x:c r="W17" s="22" t="str">
        <x:v>完整</x:v>
      </x:c>
      <x:c r="X17" s="22" t="n">
        <x:v>1</x:v>
      </x:c>
      <x:c r="Y17" s="22" t="n">
        <x:v>0</x:v>
      </x:c>
      <x:c r="Z17" s="22" t="n">
        <x:v>0</x:v>
      </x:c>
      <x:c r="AA17" s="22" t="n">
        <x:v>0</x:v>
      </x:c>
      <x:c r="AB17" s="22" t="str">
        <x:v>知识点理解与概念探究；正向评价（不计能力分）</x:v>
      </x:c>
      <x:c r="AC17" s="22" t="str">
        <x:v>NA</x:v>
      </x:c>
      <x:c r="AD17" s="22" t="str">
        <x:v>NA</x:v>
      </x:c>
      <x:c r="AE17" s="22" t="str">
        <x:v>["S0350","S0666"]</x:v>
      </x:c>
      <x:c r="AF17" s="22" t="str">
        <x:v>["2025秋:2025秋-数学模型-问答记录导出20260502导出_已标注_已更新.xlsx:问答记录:359","2025秋:2025秋-数学模型-问答记录导出20260502导出_已标注_已更新.xlsx:问答记录:687"]</x:v>
      </x:c>
      <x:c r="AG17" s="22" t="str">
        <x:v>evidence/student_evidence.jsonl；student_key=2025秋:258440</x:v>
      </x:c>
      <x:c r="AH17" s="27" t="str"/>
    </x:row>
    <x:row r="18" ht="23" customHeight="1">
      <x:c r="A18" s="21" t="str">
        <x:v>2025秋:258504</x:v>
      </x:c>
      <x:c r="B18" s="22" t="str">
        <x:v>s6</x:v>
      </x:c>
      <x:c r="C18" s="24" t="n">
        <x:v>1</x:v>
      </x:c>
      <x:c r="D18" s="24" t="n">
        <x:v>1</x:v>
      </x:c>
      <x:c r="E18" s="22" t="n">
        <x:v>0.4</x:v>
      </x:c>
      <x:c r="F18" s="22" t="n">
        <x:v>0.4</x:v>
      </x:c>
      <x:c r="G18" s="22" t="n">
        <x:v>0.4</x:v>
      </x:c>
      <x:c r="H18" s="24" t="n">
        <x:v>1</x:v>
      </x:c>
      <x:c r="I18" s="24" t="n">
        <x:v>2</x:v>
      </x:c>
      <x:c r="J18" s="23" t="n">
        <x:f>IF(I18&gt;0,H18/I18,"NA")</x:f>
        <x:v>0.5</x:v>
      </x:c>
      <x:c r="K18" s="23" t="n">
        <x:f>MAX(0,MIN(1,(E18-'总览与权重'!$B$18)/('总览与权重'!$C$18-'总览与权重'!$B$18)))</x:f>
        <x:v>0.03333333333333333</x:v>
      </x:c>
      <x:c r="L18" s="23" t="n">
        <x:f>MAX(0,MIN(1,(F18-'总览与权重'!$B$19)/('总览与权重'!$C$19-'总览与权重'!$B$19)))</x:f>
        <x:v>0.4</x:v>
      </x:c>
      <x:c r="M18" s="23" t="n">
        <x:f>MAX(0,MIN(1,(G18-'总览与权重'!$B$20)/('总览与权重'!$C$20-'总览与权重'!$B$20)))</x:f>
        <x:v>0.4</x:v>
      </x:c>
      <x:c r="N18" s="23" t="n">
        <x:f>J18</x:f>
        <x:v>0.5</x:v>
      </x:c>
      <x:c r="O18" s="22" t="str">
        <x:v>是</x:v>
      </x:c>
      <x:c r="P18" s="22" t="n">
        <x:v>0.2422857142857143</x:v>
      </x:c>
      <x:c r="Q18" s="22" t="n">
        <x:v>0.2422857142857143</x:v>
      </x:c>
      <x:c r="R18" s="22" t="n">
        <x:v>0.2422857142857143</x:v>
      </x:c>
      <x:c r="S18" s="23" t="n">
        <x:f>IF(O18="是",MAX(0,MIN(1,(P18-'总览与权重'!$B$21)/('总览与权重'!$C$21-'总览与权重'!$B$21))),"NA")</x:f>
        <x:v>0.510095238095238</x:v>
      </x:c>
      <x:c r="T18" s="23" t="n">
        <x:f>IF(O18="是",MAX(0,MIN(1,(Q18-'总览与权重'!$B$22)/('总览与权重'!$C$22-'总览与权重'!$B$22))),"NA")</x:f>
        <x:v>0.6211428571428571</x:v>
      </x:c>
      <x:c r="U18" s="23" t="n">
        <x:f>IF(O18="是",MAX(0,MIN(1,(R18-'总览与权重'!$B$23)/('总览与权重'!$C$23-'总览与权重'!$B$23))),"NA")</x:f>
        <x:v>0.6211428571428571</x:v>
      </x:c>
      <x:c r="V18" s="23" t="n">
        <x:f>IF(O18="是",J18,"NA")</x:f>
        <x:v>0.5</x:v>
      </x:c>
      <x:c r="W18" s="22" t="str">
        <x:v>完整</x:v>
      </x:c>
      <x:c r="X18" s="22" t="n">
        <x:v>2</x:v>
      </x:c>
      <x:c r="Y18" s="22" t="n">
        <x:v>0.6321205588285577</x:v>
      </x:c>
      <x:c r="Z18" s="22" t="n">
        <x:v>0.14</x:v>
      </x:c>
      <x:c r="AA18" s="22" t="n">
        <x:v>0.38679245283</x:v>
      </x:c>
      <x:c r="AB18" s="22" t="str">
        <x:v>知识点理解与概念探究；正向评价（不计能力分）</x:v>
      </x:c>
      <x:c r="AC18" s="22" t="str">
        <x:v>NA</x:v>
      </x:c>
      <x:c r="AD18" s="22" t="str">
        <x:v>NA</x:v>
      </x:c>
      <x:c r="AE18" s="22" t="str">
        <x:v>["S0508"]</x:v>
      </x:c>
      <x:c r="AF18" s="22" t="str">
        <x:v>["2025秋:2025秋-数学模型-问答记录导出20260502导出_已标注_已更新.xlsx:问答记录:520"]</x:v>
      </x:c>
      <x:c r="AG18" s="22" t="str">
        <x:v>evidence/student_evidence.jsonl；student_key=2025秋:258504</x:v>
      </x:c>
      <x:c r="AH18" s="27" t="str"/>
    </x:row>
    <x:row r="19" ht="48" customHeight="1">
      <x:c r="A19" s="21" t="str">
        <x:v>2025秋:258524</x:v>
      </x:c>
      <x:c r="B19" s="22" t="str">
        <x:v>s6</x:v>
      </x:c>
      <x:c r="C19" s="24" t="n">
        <x:v>1</x:v>
      </x:c>
      <x:c r="D19" s="24" t="n">
        <x:v>1</x:v>
      </x:c>
      <x:c r="E19" s="22" t="n">
        <x:v>0.8</x:v>
      </x:c>
      <x:c r="F19" s="22" t="n">
        <x:v>0.8</x:v>
      </x:c>
      <x:c r="G19" s="22" t="n">
        <x:v>0.8</x:v>
      </x:c>
      <x:c r="H19" s="24" t="n">
        <x:v>1</x:v>
      </x:c>
      <x:c r="I19" s="24" t="n">
        <x:v>2</x:v>
      </x:c>
      <x:c r="J19" s="23" t="n">
        <x:f>IF(I19&gt;0,H19/I19,"NA")</x:f>
        <x:v>0.5</x:v>
      </x:c>
      <x:c r="K19" s="23" t="n">
        <x:f>MAX(0,MIN(1,(E19-'总览与权重'!$B$18)/('总览与权重'!$C$18-'总览与权重'!$B$18)))</x:f>
        <x:v>0.06666666666666667</x:v>
      </x:c>
      <x:c r="L19" s="23" t="n">
        <x:f>MAX(0,MIN(1,(F19-'总览与权重'!$B$19)/('总览与权重'!$C$19-'总览与权重'!$B$19)))</x:f>
        <x:v>0.8</x:v>
      </x:c>
      <x:c r="M19" s="23" t="n">
        <x:f>MAX(0,MIN(1,(G19-'总览与权重'!$B$20)/('总览与权重'!$C$20-'总览与权重'!$B$20)))</x:f>
        <x:v>0.8</x:v>
      </x:c>
      <x:c r="N19" s="23" t="n">
        <x:f>J19</x:f>
        <x:v>0.5</x:v>
      </x:c>
      <x:c r="O19" s="22" t="str">
        <x:v>是</x:v>
      </x:c>
      <x:c r="P19" s="22" t="n">
        <x:v>0.5296000000000001</x:v>
      </x:c>
      <x:c r="Q19" s="22" t="n">
        <x:v>0.662</x:v>
      </x:c>
      <x:c r="R19" s="22" t="n">
        <x:v>0.662</x:v>
      </x:c>
      <x:c r="S19" s="23" t="n">
        <x:f>IF(O19="是",MAX(0,MIN(1,(P19-'总览与权重'!$B$21)/('总览与权重'!$C$21-'总览与权重'!$B$21))),"NA")</x:f>
        <x:v>0.5220666666666667</x:v>
      </x:c>
      <x:c r="T19" s="23" t="n">
        <x:f>IF(O19="是",MAX(0,MIN(1,(Q19-'总览与权重'!$B$22)/('总览与权重'!$C$22-'总览与权重'!$B$22))),"NA")</x:f>
        <x:v>0.831</x:v>
      </x:c>
      <x:c r="U19" s="23" t="n">
        <x:f>IF(O19="是",MAX(0,MIN(1,(R19-'总览与权重'!$B$23)/('总览与权重'!$C$23-'总览与权重'!$B$23))),"NA")</x:f>
        <x:v>0.831</x:v>
      </x:c>
      <x:c r="V19" s="23" t="n">
        <x:f>IF(O19="是",J19,"NA")</x:f>
        <x:v>0.5</x:v>
      </x:c>
      <x:c r="W19" s="22" t="str">
        <x:v>完整</x:v>
      </x:c>
      <x:c r="X19" s="22" t="n">
        <x:v>2</x:v>
      </x:c>
      <x:c r="Y19" s="22" t="n">
        <x:v>0.6321205588285577</x:v>
      </x:c>
      <x:c r="Z19" s="22" t="n">
        <x:v>0.22</x:v>
      </x:c>
      <x:c r="AA19" s="22" t="n">
        <x:v>0.688679245283</x:v>
      </x:c>
      <x:c r="AB19" s="22" t="str">
        <x:v>知识点理解与概念探究；正向评价（不计能力分）</x:v>
      </x:c>
      <x:c r="AC19" s="22" t="str">
        <x:v>NA</x:v>
      </x:c>
      <x:c r="AD19" s="22" t="str">
        <x:v>NA</x:v>
      </x:c>
      <x:c r="AE19" s="22" t="str">
        <x:v>["S0041"]</x:v>
      </x:c>
      <x:c r="AF19" s="22" t="str">
        <x:v>["2025秋:2025秋-数学模型-问答记录导出20260502导出_已标注_已更新.xlsx:问答记录:43"]</x:v>
      </x:c>
      <x:c r="AG19" s="22" t="str">
        <x:v>evidence/student_evidence.jsonl；student_key=2025秋:258524</x:v>
      </x:c>
      <x:c r="AH19" s="27" t="str">
        <x:v>S0041低起点仅“长得漂亮”，大增量对L1起点敏感；末端为概念解释，知识基础及独立掌握待核。</x:v>
      </x:c>
    </x:row>
    <x:row r="20" ht="23" customHeight="1">
      <x:c r="A20" s="21" t="str">
        <x:v>2025秋:258526</x:v>
      </x:c>
      <x:c r="B20" s="22" t="str">
        <x:v>s3</x:v>
      </x:c>
      <x:c r="C20" s="24" t="n">
        <x:v>1</x:v>
      </x:c>
      <x:c r="D20" s="24" t="n">
        <x:v>1</x:v>
      </x:c>
      <x:c r="E20" s="22" t="n">
        <x:v>0.32883100935845777</x:v>
      </x:c>
      <x:c r="F20" s="22" t="n">
        <x:v>0.32883100935845777</x:v>
      </x:c>
      <x:c r="G20" s="22" t="n">
        <x:v>0.32883100935845777</x:v>
      </x:c>
      <x:c r="H20" s="24" t="n">
        <x:v>1</x:v>
      </x:c>
      <x:c r="I20" s="24" t="n">
        <x:v>1</x:v>
      </x:c>
      <x:c r="J20" s="23" t="n">
        <x:f>IF(I20&gt;0,H20/I20,"NA")</x:f>
        <x:v>1</x:v>
      </x:c>
      <x:c r="K20" s="23" t="n">
        <x:f>MAX(0,MIN(1,(E20-'总览与权重'!$B$18)/('总览与权重'!$C$18-'总览与权重'!$B$18)))</x:f>
        <x:v>0.027402584113204814</x:v>
      </x:c>
      <x:c r="L20" s="23" t="n">
        <x:f>MAX(0,MIN(1,(F20-'总览与权重'!$B$19)/('总览与权重'!$C$19-'总览与权重'!$B$19)))</x:f>
        <x:v>0.32883100935845777</x:v>
      </x:c>
      <x:c r="M20" s="23" t="n">
        <x:f>MAX(0,MIN(1,(G20-'总览与权重'!$B$20)/('总览与权重'!$C$20-'总览与权重'!$B$20)))</x:f>
        <x:v>0.32883100935845777</x:v>
      </x:c>
      <x:c r="N20" s="23" t="n">
        <x:f>J20</x:f>
        <x:v>1</x:v>
      </x:c>
      <x:c r="O20" s="22" t="str">
        <x:v>是</x:v>
      </x:c>
      <x:c r="P20" s="22" t="n">
        <x:v>0.21094602371769783</x:v>
      </x:c>
      <x:c r="Q20" s="22" t="n">
        <x:v>0.21094602371769783</x:v>
      </x:c>
      <x:c r="R20" s="22" t="n">
        <x:v>0.21094602371769783</x:v>
      </x:c>
      <x:c r="S20" s="23" t="n">
        <x:f>IF(O20="是",MAX(0,MIN(1,(P20-'总览与权重'!$B$21)/('总览与权重'!$C$21-'总览与权重'!$B$21))),"NA")</x:f>
        <x:v>0.508789417654904</x:v>
      </x:c>
      <x:c r="T20" s="23" t="n">
        <x:f>IF(O20="是",MAX(0,MIN(1,(Q20-'总览与权重'!$B$22)/('总览与权重'!$C$22-'总览与权重'!$B$22))),"NA")</x:f>
        <x:v>0.6054730118588489</x:v>
      </x:c>
      <x:c r="U20" s="23" t="n">
        <x:f>IF(O20="是",MAX(0,MIN(1,(R20-'总览与权重'!$B$23)/('总览与权重'!$C$23-'总览与权重'!$B$23))),"NA")</x:f>
        <x:v>0.6054730118588489</x:v>
      </x:c>
      <x:c r="V20" s="23" t="n">
        <x:f>IF(O20="是",J20,"NA")</x:f>
        <x:v>1</x:v>
      </x:c>
      <x:c r="W20" s="22" t="str">
        <x:v>完整</x:v>
      </x:c>
      <x:c r="X20" s="22" t="n">
        <x:v>2</x:v>
      </x:c>
      <x:c r="Y20" s="22" t="n">
        <x:v>0.6321205588285577</x:v>
      </x:c>
      <x:c r="Z20" s="22" t="n">
        <x:v>-0.25</x:v>
      </x:c>
      <x:c r="AA20" s="22" t="n">
        <x:v>-0.119047619048</x:v>
      </x:c>
      <x:c r="AB20" s="22" t="str">
        <x:v>知识点理解与概念探究；正负并存或有条件评价（不计能力分）</x:v>
      </x:c>
      <x:c r="AC20" s="22" t="str">
        <x:v>NA</x:v>
      </x:c>
      <x:c r="AD20" s="22" t="str">
        <x:v>NA</x:v>
      </x:c>
      <x:c r="AE20" s="22" t="str">
        <x:v>["S0300"]</x:v>
      </x:c>
      <x:c r="AF20" s="22" t="str">
        <x:v>["2025秋:2025秋-数学模型-问答记录导出20260502导出_已标注_已更新.xlsx:问答记录:308"]</x:v>
      </x:c>
      <x:c r="AG20" s="22" t="str">
        <x:v>evidence/student_evidence.jsonl；student_key=2025秋:258526</x:v>
      </x:c>
      <x:c r="AH20" s="27" t="str"/>
    </x:row>
    <x:row r="21" ht="23" customHeight="1">
      <x:c r="A21" s="21" t="str">
        <x:v>2025秋:258540</x:v>
      </x:c>
      <x:c r="B21" s="22" t="str">
        <x:v>s3</x:v>
      </x:c>
      <x:c r="C21" s="24" t="n">
        <x:v>1</x:v>
      </x:c>
      <x:c r="D21" s="24" t="n">
        <x:v>1</x:v>
      </x:c>
      <x:c r="E21" s="22" t="n">
        <x:v>0.10721531946577315</x:v>
      </x:c>
      <x:c r="F21" s="22" t="n">
        <x:v>0.10721531946577315</x:v>
      </x:c>
      <x:c r="G21" s="22" t="n">
        <x:v>0.10721531946577315</x:v>
      </x:c>
      <x:c r="H21" s="24" t="n">
        <x:v>1</x:v>
      </x:c>
      <x:c r="I21" s="24" t="n">
        <x:v>1</x:v>
      </x:c>
      <x:c r="J21" s="23" t="n">
        <x:f>IF(I21&gt;0,H21/I21,"NA")</x:f>
        <x:v>1</x:v>
      </x:c>
      <x:c r="K21" s="23" t="n">
        <x:f>MAX(0,MIN(1,(E21-'总览与权重'!$B$18)/('总览与权重'!$C$18-'总览与权重'!$B$18)))</x:f>
        <x:v>0.008934609955481095</x:v>
      </x:c>
      <x:c r="L21" s="23" t="n">
        <x:f>MAX(0,MIN(1,(F21-'总览与权重'!$B$19)/('总览与权重'!$C$19-'总览与权重'!$B$19)))</x:f>
        <x:v>0.10721531946577315</x:v>
      </x:c>
      <x:c r="M21" s="23" t="n">
        <x:f>MAX(0,MIN(1,(G21-'总览与权重'!$B$20)/('总览与权重'!$C$20-'总览与权重'!$B$20)))</x:f>
        <x:v>0.10721531946577315</x:v>
      </x:c>
      <x:c r="N21" s="23" t="n">
        <x:f>J21</x:f>
        <x:v>1</x:v>
      </x:c>
      <x:c r="O21" s="22" t="str">
        <x:v>是</x:v>
      </x:c>
      <x:c r="P21" s="22" t="n">
        <x:v>-0.02961696618657711</x:v>
      </x:c>
      <x:c r="Q21" s="22" t="n">
        <x:v>-0.02961696618657711</x:v>
      </x:c>
      <x:c r="R21" s="22" t="n">
        <x:v>-0.02961696618657711</x:v>
      </x:c>
      <x:c r="S21" s="23" t="n">
        <x:f>IF(O21="是",MAX(0,MIN(1,(P21-'总览与权重'!$B$21)/('总览与权重'!$C$21-'总览与权重'!$B$21))),"NA")</x:f>
        <x:v>0.498765959742226</x:v>
      </x:c>
      <x:c r="T21" s="23" t="n">
        <x:f>IF(O21="是",MAX(0,MIN(1,(Q21-'总览与权重'!$B$22)/('总览与权重'!$C$22-'总览与权重'!$B$22))),"NA")</x:f>
        <x:v>0.4851915169067115</x:v>
      </x:c>
      <x:c r="U21" s="23" t="n">
        <x:f>IF(O21="是",MAX(0,MIN(1,(R21-'总览与权重'!$B$23)/('总览与权重'!$C$23-'总览与权重'!$B$23))),"NA")</x:f>
        <x:v>0.4851915169067115</x:v>
      </x:c>
      <x:c r="V21" s="23" t="n">
        <x:f>IF(O21="是",J21,"NA")</x:f>
        <x:v>1</x:v>
      </x:c>
      <x:c r="W21" s="22" t="str">
        <x:v>完整</x:v>
      </x:c>
      <x:c r="X21" s="22" t="n">
        <x:v>1</x:v>
      </x:c>
      <x:c r="Y21" s="22" t="n">
        <x:v>0</x:v>
      </x:c>
      <x:c r="Z21" s="22" t="n">
        <x:v>0.3</x:v>
      </x:c>
      <x:c r="AA21" s="22" t="n">
        <x:v>0.666666666667</x:v>
      </x:c>
      <x:c r="AB21" s="22" t="str">
        <x:v>知识点理解与概念探究；无明确评价（不计能力分）</x:v>
      </x:c>
      <x:c r="AC21" s="22" t="str">
        <x:v>NA</x:v>
      </x:c>
      <x:c r="AD21" s="22" t="str">
        <x:v>NA</x:v>
      </x:c>
      <x:c r="AE21" s="22" t="str">
        <x:v>["S0042"]</x:v>
      </x:c>
      <x:c r="AF21" s="22" t="str">
        <x:v>["2025秋:2025秋-数学模型-问答记录导出20260502导出_已标注_已更新.xlsx:问答记录:44"]</x:v>
      </x:c>
      <x:c r="AG21" s="22" t="str">
        <x:v>evidence/student_evidence.jsonl；student_key=2025秋:258540</x:v>
      </x:c>
      <x:c r="AH21" s="27" t="str"/>
    </x:row>
    <x:row r="22" ht="23" customHeight="1">
      <x:c r="A22" s="21" t="str">
        <x:v>2025秋:258755</x:v>
      </x:c>
      <x:c r="B22" s="22" t="str">
        <x:v>s3</x:v>
      </x:c>
      <x:c r="C22" s="24" t="n">
        <x:v>1</x:v>
      </x:c>
      <x:c r="D22" s="24" t="n">
        <x:v>1</x:v>
      </x:c>
      <x:c r="E22" s="22" t="n">
        <x:v>0.3502220596156387</x:v>
      </x:c>
      <x:c r="F22" s="22" t="n">
        <x:v>0.3502220596156387</x:v>
      </x:c>
      <x:c r="G22" s="22" t="n">
        <x:v>0.3502220596156387</x:v>
      </x:c>
      <x:c r="H22" s="24" t="n">
        <x:v>2</x:v>
      </x:c>
      <x:c r="I22" s="24" t="n">
        <x:v>2</x:v>
      </x:c>
      <x:c r="J22" s="23" t="n">
        <x:f>IF(I22&gt;0,H22/I22,"NA")</x:f>
        <x:v>1</x:v>
      </x:c>
      <x:c r="K22" s="23" t="n">
        <x:f>MAX(0,MIN(1,(E22-'总览与权重'!$B$18)/('总览与权重'!$C$18-'总览与权重'!$B$18)))</x:f>
        <x:v>0.029185171634636558</x:v>
      </x:c>
      <x:c r="L22" s="23" t="n">
        <x:f>MAX(0,MIN(1,(F22-'总览与权重'!$B$19)/('总览与权重'!$C$19-'总览与权重'!$B$19)))</x:f>
        <x:v>0.3502220596156387</x:v>
      </x:c>
      <x:c r="M22" s="23" t="n">
        <x:f>MAX(0,MIN(1,(G22-'总览与权重'!$B$20)/('总览与权重'!$C$20-'总览与权重'!$B$20)))</x:f>
        <x:v>0.3502220596156387</x:v>
      </x:c>
      <x:c r="N22" s="23" t="n">
        <x:f>J22</x:f>
        <x:v>1</x:v>
      </x:c>
      <x:c r="O22" s="22" t="str">
        <x:v>是</x:v>
      </x:c>
      <x:c r="P22" s="22" t="n">
        <x:v>0.21341813285954894</x:v>
      </x:c>
      <x:c r="Q22" s="22" t="n">
        <x:v>0.21341813285954894</x:v>
      </x:c>
      <x:c r="R22" s="22" t="n">
        <x:v>0.21341813285954894</x:v>
      </x:c>
      <x:c r="S22" s="23" t="n">
        <x:f>IF(O22="是",MAX(0,MIN(1,(P22-'总览与权重'!$B$21)/('总览与权重'!$C$21-'总览与权重'!$B$21))),"NA")</x:f>
        <x:v>0.5088924222024812</x:v>
      </x:c>
      <x:c r="T22" s="23" t="n">
        <x:f>IF(O22="是",MAX(0,MIN(1,(Q22-'总览与权重'!$B$22)/('总览与权重'!$C$22-'总览与权重'!$B$22))),"NA")</x:f>
        <x:v>0.6067090664297745</x:v>
      </x:c>
      <x:c r="U22" s="23" t="n">
        <x:f>IF(O22="是",MAX(0,MIN(1,(R22-'总览与权重'!$B$23)/('总览与权重'!$C$23-'总览与权重'!$B$23))),"NA")</x:f>
        <x:v>0.6067090664297745</x:v>
      </x:c>
      <x:c r="V22" s="23" t="n">
        <x:f>IF(O22="是",J22,"NA")</x:f>
        <x:v>1</x:v>
      </x:c>
      <x:c r="W22" s="22" t="str">
        <x:v>完整</x:v>
      </x:c>
      <x:c r="X22" s="22" t="n">
        <x:v>2</x:v>
      </x:c>
      <x:c r="Y22" s="22" t="n">
        <x:v>0.6321205588285577</x:v>
      </x:c>
      <x:c r="Z22" s="22" t="n">
        <x:v>-0.25</x:v>
      </x:c>
      <x:c r="AA22" s="22" t="n">
        <x:v>-0.119047619048</x:v>
      </x:c>
      <x:c r="AB22" s="22" t="str">
        <x:v>知识点理解与概念探究；正向评价（不计能力分）</x:v>
      </x:c>
      <x:c r="AC22" s="22" t="str">
        <x:v>NA</x:v>
      </x:c>
      <x:c r="AD22" s="22" t="str">
        <x:v>NA</x:v>
      </x:c>
      <x:c r="AE22" s="22" t="str">
        <x:v>["S0263"]</x:v>
      </x:c>
      <x:c r="AF22" s="22" t="str">
        <x:v>["2025秋:2025秋-数学模型-问答记录导出20260502导出_已标注_已更新.xlsx:问答记录:271"]</x:v>
      </x:c>
      <x:c r="AG22" s="22" t="str">
        <x:v>evidence/student_evidence.jsonl；student_key=2025秋:258755</x:v>
      </x:c>
      <x:c r="AH22" s="27" t="str"/>
    </x:row>
    <x:row r="23" ht="23" customHeight="1">
      <x:c r="A23" s="21" t="str">
        <x:v>2025秋:258858</x:v>
      </x:c>
      <x:c r="B23" s="22" t="str">
        <x:v>s3</x:v>
      </x:c>
      <x:c r="C23" s="24" t="n">
        <x:v>2</x:v>
      </x:c>
      <x:c r="D23" s="24" t="n">
        <x:v>2</x:v>
      </x:c>
      <x:c r="E23" s="22" t="n">
        <x:v>0.7769729586334251</x:v>
      </x:c>
      <x:c r="F23" s="22" t="n">
        <x:v>0.38848647931671254</x:v>
      </x:c>
      <x:c r="G23" s="22" t="n">
        <x:v>0.39716293421726345</x:v>
      </x:c>
      <x:c r="H23" s="24" t="n">
        <x:v>2</x:v>
      </x:c>
      <x:c r="I23" s="24" t="n">
        <x:v>2</x:v>
      </x:c>
      <x:c r="J23" s="23" t="n">
        <x:f>IF(I23&gt;0,H23/I23,"NA")</x:f>
        <x:v>1</x:v>
      </x:c>
      <x:c r="K23" s="23" t="n">
        <x:f>MAX(0,MIN(1,(E23-'总览与权重'!$B$18)/('总览与权重'!$C$18-'总览与权重'!$B$18)))</x:f>
        <x:v>0.06474774655278542</x:v>
      </x:c>
      <x:c r="L23" s="23" t="n">
        <x:f>MAX(0,MIN(1,(F23-'总览与权重'!$B$19)/('总览与权重'!$C$19-'总览与权重'!$B$19)))</x:f>
        <x:v>0.38848647931671254</x:v>
      </x:c>
      <x:c r="M23" s="23" t="n">
        <x:f>MAX(0,MIN(1,(G23-'总览与权重'!$B$20)/('总览与权重'!$C$20-'总览与权重'!$B$20)))</x:f>
        <x:v>0.39716293421726345</x:v>
      </x:c>
      <x:c r="N23" s="23" t="n">
        <x:f>J23</x:f>
        <x:v>1</x:v>
      </x:c>
      <x:c r="O23" s="22" t="str">
        <x:v>是</x:v>
      </x:c>
      <x:c r="P23" s="22" t="n">
        <x:v>0.48552998372480427</x:v>
      </x:c>
      <x:c r="Q23" s="22" t="n">
        <x:v>0.2697388798471135</x:v>
      </x:c>
      <x:c r="R23" s="22" t="n">
        <x:v>0.3031903062012411</x:v>
      </x:c>
      <x:c r="S23" s="23" t="n">
        <x:f>IF(O23="是",MAX(0,MIN(1,(P23-'总览与权重'!$B$21)/('总览与权重'!$C$21-'总览与权重'!$B$21))),"NA")</x:f>
        <x:v>0.5202304159885335</x:v>
      </x:c>
      <x:c r="T23" s="23" t="n">
        <x:f>IF(O23="是",MAX(0,MIN(1,(Q23-'总览与权重'!$B$22)/('总览与权重'!$C$22-'总览与权重'!$B$22))),"NA")</x:f>
        <x:v>0.6348694399235567</x:v>
      </x:c>
      <x:c r="U23" s="23" t="n">
        <x:f>IF(O23="是",MAX(0,MIN(1,(R23-'总览与权重'!$B$23)/('总览与权重'!$C$23-'总览与权重'!$B$23))),"NA")</x:f>
        <x:v>0.6515951531006205</x:v>
      </x:c>
      <x:c r="V23" s="23" t="n">
        <x:f>IF(O23="是",J23,"NA")</x:f>
        <x:v>1</x:v>
      </x:c>
      <x:c r="W23" s="22" t="str">
        <x:v>完整</x:v>
      </x:c>
      <x:c r="X23" s="22" t="n">
        <x:v>1</x:v>
      </x:c>
      <x:c r="Y23" s="22" t="n">
        <x:v>0</x:v>
      </x:c>
      <x:c r="Z23" s="22" t="n">
        <x:v>-0.2</x:v>
      </x:c>
      <x:c r="AA23" s="22" t="n">
        <x:v>0.071428571429</x:v>
      </x:c>
      <x:c r="AB23" s="22" t="str">
        <x:v>知识点理解与概念探究；正向评价（不计能力分）</x:v>
      </x:c>
      <x:c r="AC23" s="22" t="str">
        <x:v>NA</x:v>
      </x:c>
      <x:c r="AD23" s="22" t="str">
        <x:v>NA</x:v>
      </x:c>
      <x:c r="AE23" s="22" t="str">
        <x:v>["S0103","S0232"]</x:v>
      </x:c>
      <x:c r="AF23" s="22" t="str">
        <x:v>["2025秋:2025秋-数学模型-问答记录导出20260502导出_已标注_已更新.xlsx:问答记录:106","2025秋:2025秋-数学模型-问答记录导出20260502导出_已标注_已更新.xlsx:问答记录:237"]</x:v>
      </x:c>
      <x:c r="AG23" s="22" t="str">
        <x:v>evidence/student_evidence.jsonl；student_key=2025秋:258858</x:v>
      </x:c>
      <x:c r="AH23" s="27" t="str"/>
    </x:row>
    <x:row r="24" ht="23" customHeight="1">
      <x:c r="A24" s="21" t="str">
        <x:v>2025秋:258859</x:v>
      </x:c>
      <x:c r="B24" s="22" t="str">
        <x:v>s3</x:v>
      </x:c>
      <x:c r="C24" s="24" t="n">
        <x:v>1</x:v>
      </x:c>
      <x:c r="D24" s="24" t="n">
        <x:v>1</x:v>
      </x:c>
      <x:c r="E24" s="22" t="n">
        <x:v>0.14374362771928695</x:v>
      </x:c>
      <x:c r="F24" s="22" t="n">
        <x:v>0.14374362771928695</x:v>
      </x:c>
      <x:c r="G24" s="22" t="n">
        <x:v>0.14374362771928695</x:v>
      </x:c>
      <x:c r="H24" s="24" t="n">
        <x:v>1</x:v>
      </x:c>
      <x:c r="I24" s="24" t="n">
        <x:v>1</x:v>
      </x:c>
      <x:c r="J24" s="23" t="n">
        <x:f>IF(I24&gt;0,H24/I24,"NA")</x:f>
        <x:v>1</x:v>
      </x:c>
      <x:c r="K24" s="23" t="n">
        <x:f>MAX(0,MIN(1,(E24-'总览与权重'!$B$18)/('总览与权重'!$C$18-'总览与权重'!$B$18)))</x:f>
        <x:v>0.011978635643273913</x:v>
      </x:c>
      <x:c r="L24" s="23" t="n">
        <x:f>MAX(0,MIN(1,(F24-'总览与权重'!$B$19)/('总览与权重'!$C$19-'总览与权重'!$B$19)))</x:f>
        <x:v>0.14374362771928695</x:v>
      </x:c>
      <x:c r="M24" s="23" t="n">
        <x:f>MAX(0,MIN(1,(G24-'总览与权重'!$B$20)/('总览与权重'!$C$20-'总览与权重'!$B$20)))</x:f>
        <x:v>0.14374362771928695</x:v>
      </x:c>
      <x:c r="N24" s="23" t="n">
        <x:f>J24</x:f>
        <x:v>1</x:v>
      </x:c>
      <x:c r="O24" s="22" t="str">
        <x:v>是</x:v>
      </x:c>
      <x:c r="P24" s="22" t="n">
        <x:v>0.05895981003943654</x:v>
      </x:c>
      <x:c r="Q24" s="22" t="n">
        <x:v>0.09826635006572756</x:v>
      </x:c>
      <x:c r="R24" s="22" t="n">
        <x:v>0.09826635006572756</x:v>
      </x:c>
      <x:c r="S24" s="23" t="n">
        <x:f>IF(O24="是",MAX(0,MIN(1,(P24-'总览与权重'!$B$21)/('总览与权重'!$C$21-'总览与权重'!$B$21))),"NA")</x:f>
        <x:v>0.5024566587516431</x:v>
      </x:c>
      <x:c r="T24" s="23" t="n">
        <x:f>IF(O24="是",MAX(0,MIN(1,(Q24-'总览与权重'!$B$22)/('总览与权重'!$C$22-'总览与权重'!$B$22))),"NA")</x:f>
        <x:v>0.5491331750328637</x:v>
      </x:c>
      <x:c r="U24" s="23" t="n">
        <x:f>IF(O24="是",MAX(0,MIN(1,(R24-'总览与权重'!$B$23)/('总览与权重'!$C$23-'总览与权重'!$B$23))),"NA")</x:f>
        <x:v>0.5491331750328637</x:v>
      </x:c>
      <x:c r="V24" s="23" t="n">
        <x:f>IF(O24="是",J24,"NA")</x:f>
        <x:v>1</x:v>
      </x:c>
      <x:c r="W24" s="22" t="str">
        <x:v>完整</x:v>
      </x:c>
      <x:c r="X24" s="22" t="n">
        <x:v>2</x:v>
      </x:c>
      <x:c r="Y24" s="22" t="n">
        <x:v>0.6321205588285577</x:v>
      </x:c>
      <x:c r="Z24" s="22" t="n">
        <x:v>-0.25</x:v>
      </x:c>
      <x:c r="AA24" s="22" t="n">
        <x:v>-0.119047619048</x:v>
      </x:c>
      <x:c r="AB24" s="22" t="str">
        <x:v>知识点理解与概念探究；正向评价（不计能力分）</x:v>
      </x:c>
      <x:c r="AC24" s="22" t="str">
        <x:v>NA</x:v>
      </x:c>
      <x:c r="AD24" s="22" t="str">
        <x:v>NA</x:v>
      </x:c>
      <x:c r="AE24" s="22" t="str">
        <x:v>["S0091"]</x:v>
      </x:c>
      <x:c r="AF24" s="22" t="str">
        <x:v>["2025秋:2025秋-数学模型-问答记录导出20260502导出_已标注_已更新.xlsx:问答记录:94"]</x:v>
      </x:c>
      <x:c r="AG24" s="22" t="str">
        <x:v>evidence/student_evidence.jsonl；student_key=2025秋:258859</x:v>
      </x:c>
      <x:c r="AH24" s="27" t="str"/>
    </x:row>
    <x:row r="25" ht="23" customHeight="1">
      <x:c r="A25" s="21" t="str">
        <x:v>2025秋:258862</x:v>
      </x:c>
      <x:c r="B25" s="22" t="str">
        <x:v>s3</x:v>
      </x:c>
      <x:c r="C25" s="24" t="n">
        <x:v>1</x:v>
      </x:c>
      <x:c r="D25" s="24" t="n">
        <x:v>1</x:v>
      </x:c>
      <x:c r="E25" s="22" t="n">
        <x:v>0</x:v>
      </x:c>
      <x:c r="F25" s="22" t="n">
        <x:v>0</x:v>
      </x:c>
      <x:c r="G25" s="22" t="n">
        <x:v>0</x:v>
      </x:c>
      <x:c r="H25" s="24" t="n">
        <x:v>1</x:v>
      </x:c>
      <x:c r="I25" s="24" t="n">
        <x:v>2</x:v>
      </x:c>
      <x:c r="J25" s="23" t="n">
        <x:f>IF(I25&gt;0,H25/I25,"NA")</x:f>
        <x:v>0.5</x:v>
      </x:c>
      <x:c r="K25" s="23" t="n">
        <x:f>MAX(0,MIN(1,(E25-'总览与权重'!$B$18)/('总览与权重'!$C$18-'总览与权重'!$B$18)))</x:f>
        <x:v>0</x:v>
      </x:c>
      <x:c r="L25" s="23" t="n">
        <x:f>MAX(0,MIN(1,(F25-'总览与权重'!$B$19)/('总览与权重'!$C$19-'总览与权重'!$B$19)))</x:f>
        <x:v>0</x:v>
      </x:c>
      <x:c r="M25" s="23" t="n">
        <x:f>MAX(0,MIN(1,(G25-'总览与权重'!$B$20)/('总览与权重'!$C$20-'总览与权重'!$B$20)))</x:f>
        <x:v>0</x:v>
      </x:c>
      <x:c r="N25" s="23" t="n">
        <x:f>J25</x:f>
        <x:v>0.5</x:v>
      </x:c>
      <x:c r="O25" s="22" t="str">
        <x:v>否</x:v>
      </x:c>
      <x:c r="P25" s="22" t="str">
        <x:v>NA</x:v>
      </x:c>
      <x:c r="Q25" s="22" t="str">
        <x:v>NA</x:v>
      </x:c>
      <x:c r="R25" s="22" t="str">
        <x:v>NA</x:v>
      </x:c>
      <x:c r="S25" s="23" t="str">
        <x:f>IF(O25="是",MAX(0,MIN(1,(P25-'总览与权重'!$B$21)/('总览与权重'!$C$21-'总览与权重'!$B$21))),"NA")</x:f>
        <x:v>NA</x:v>
      </x:c>
      <x:c r="T25" s="23" t="str">
        <x:f>IF(O25="是",MAX(0,MIN(1,(Q25-'总览与权重'!$B$22)/('总览与权重'!$C$22-'总览与权重'!$B$22))),"NA")</x:f>
        <x:v>NA</x:v>
      </x:c>
      <x:c r="U25" s="23" t="str">
        <x:f>IF(O25="是",MAX(0,MIN(1,(R25-'总览与权重'!$B$23)/('总览与权重'!$C$23-'总览与权重'!$B$23))),"NA")</x:f>
        <x:v>NA</x:v>
      </x:c>
      <x:c r="V25" s="23" t="str">
        <x:f>IF(O25="是",J25,"NA")</x:f>
        <x:v>NA</x:v>
      </x:c>
      <x:c r="W25" s="22" t="str">
        <x:v>无完整领域最早before配对</x:v>
      </x:c>
      <x:c r="X25" s="22" t="n">
        <x:v>2</x:v>
      </x:c>
      <x:c r="Y25" s="22" t="n">
        <x:v>0.6321205588285577</x:v>
      </x:c>
      <x:c r="Z25" s="22" t="n">
        <x:v>0</x:v>
      </x:c>
      <x:c r="AA25" s="22" t="n">
        <x:v>0</x:v>
      </x:c>
      <x:c r="AB25" s="22" t="str">
        <x:v>知识点理解与概念探究；正向评价（不计能力分）</x:v>
      </x:c>
      <x:c r="AC25" s="22" t="str">
        <x:v>NA</x:v>
      </x:c>
      <x:c r="AD25" s="22" t="str">
        <x:v>NA</x:v>
      </x:c>
      <x:c r="AE25" s="22" t="str">
        <x:v>["S0151"]</x:v>
      </x:c>
      <x:c r="AF25" s="22" t="str">
        <x:v>["2025秋:2025秋-数学模型-问答记录导出20260502导出_已标注_已更新.xlsx:问答记录:154"]</x:v>
      </x:c>
      <x:c r="AG25" s="22" t="str">
        <x:v>evidence/student_evidence.jsonl；student_key=2025秋:258862</x:v>
      </x:c>
      <x:c r="AH25" s="27" t="str"/>
    </x:row>
    <x:row r="26" ht="23" customHeight="1">
      <x:c r="A26" s="21" t="str">
        <x:v>2025秋:258868</x:v>
      </x:c>
      <x:c r="B26" s="22" t="str">
        <x:v>s3</x:v>
      </x:c>
      <x:c r="C26" s="24" t="n">
        <x:v>1</x:v>
      </x:c>
      <x:c r="D26" s="24" t="n">
        <x:v>1</x:v>
      </x:c>
      <x:c r="E26" s="22" t="n">
        <x:v>0</x:v>
      </x:c>
      <x:c r="F26" s="22" t="n">
        <x:v>0</x:v>
      </x:c>
      <x:c r="G26" s="22" t="n">
        <x:v>0</x:v>
      </x:c>
      <x:c r="H26" s="24" t="n">
        <x:v>1</x:v>
      </x:c>
      <x:c r="I26" s="24" t="n">
        <x:v>1</x:v>
      </x:c>
      <x:c r="J26" s="23" t="n">
        <x:f>IF(I26&gt;0,H26/I26,"NA")</x:f>
        <x:v>1</x:v>
      </x:c>
      <x:c r="K26" s="23" t="n">
        <x:f>MAX(0,MIN(1,(E26-'总览与权重'!$B$18)/('总览与权重'!$C$18-'总览与权重'!$B$18)))</x:f>
        <x:v>0</x:v>
      </x:c>
      <x:c r="L26" s="23" t="n">
        <x:f>MAX(0,MIN(1,(F26-'总览与权重'!$B$19)/('总览与权重'!$C$19-'总览与权重'!$B$19)))</x:f>
        <x:v>0</x:v>
      </x:c>
      <x:c r="M26" s="23" t="n">
        <x:f>MAX(0,MIN(1,(G26-'总览与权重'!$B$20)/('总览与权重'!$C$20-'总览与权重'!$B$20)))</x:f>
        <x:v>0</x:v>
      </x:c>
      <x:c r="N26" s="23" t="n">
        <x:f>J26</x:f>
        <x:v>1</x:v>
      </x:c>
      <x:c r="O26" s="22" t="str">
        <x:v>是</x:v>
      </x:c>
      <x:c r="P26" s="22" t="n">
        <x:v>-0.13285714285714287</x:v>
      </x:c>
      <x:c r="Q26" s="22" t="n">
        <x:v>-0.13285714285714287</x:v>
      </x:c>
      <x:c r="R26" s="22" t="n">
        <x:v>-0.13285714285714287</x:v>
      </x:c>
      <x:c r="S26" s="23" t="n">
        <x:f>IF(O26="是",MAX(0,MIN(1,(P26-'总览与权重'!$B$21)/('总览与权重'!$C$21-'总览与权重'!$B$21))),"NA")</x:f>
        <x:v>0.49446428571428575</x:v>
      </x:c>
      <x:c r="T26" s="23" t="n">
        <x:f>IF(O26="是",MAX(0,MIN(1,(Q26-'总览与权重'!$B$22)/('总览与权重'!$C$22-'总览与权重'!$B$22))),"NA")</x:f>
        <x:v>0.43357142857142855</x:v>
      </x:c>
      <x:c r="U26" s="23" t="n">
        <x:f>IF(O26="是",MAX(0,MIN(1,(R26-'总览与权重'!$B$23)/('总览与权重'!$C$23-'总览与权重'!$B$23))),"NA")</x:f>
        <x:v>0.43357142857142855</x:v>
      </x:c>
      <x:c r="V26" s="23" t="n">
        <x:f>IF(O26="是",J26,"NA")</x:f>
        <x:v>1</x:v>
      </x:c>
      <x:c r="W26" s="22" t="str">
        <x:v>完整</x:v>
      </x:c>
      <x:c r="X26" s="22" t="n">
        <x:v>2</x:v>
      </x:c>
      <x:c r="Y26" s="22" t="n">
        <x:v>0.6321205588285577</x:v>
      </x:c>
      <x:c r="Z26" s="22" t="n">
        <x:v>0</x:v>
      </x:c>
      <x:c r="AA26" s="22" t="n">
        <x:v>0</x:v>
      </x:c>
      <x:c r="AB26" s="22" t="str">
        <x:v>知识点理解与概念探究；正向评价（不计能力分）</x:v>
      </x:c>
      <x:c r="AC26" s="22" t="str">
        <x:v>NA</x:v>
      </x:c>
      <x:c r="AD26" s="22" t="str">
        <x:v>NA</x:v>
      </x:c>
      <x:c r="AE26" s="22" t="str">
        <x:v>["S0028"]</x:v>
      </x:c>
      <x:c r="AF26" s="22" t="str">
        <x:v>["2025秋:2025秋-数学模型-问答记录导出20260502导出_已标注_已更新.xlsx:问答记录:30"]</x:v>
      </x:c>
      <x:c r="AG26" s="22" t="str">
        <x:v>evidence/student_evidence.jsonl；student_key=2025秋:258868</x:v>
      </x:c>
      <x:c r="AH26" s="27" t="str"/>
    </x:row>
    <x:row r="27" ht="23" customHeight="1">
      <x:c r="A27" s="21" t="str">
        <x:v>2025秋:258878</x:v>
      </x:c>
      <x:c r="B27" s="22" t="str">
        <x:v>s3</x:v>
      </x:c>
      <x:c r="C27" s="24" t="n">
        <x:v>1</x:v>
      </x:c>
      <x:c r="D27" s="24" t="n">
        <x:v>1</x:v>
      </x:c>
      <x:c r="E27" s="22" t="n">
        <x:v>0.48702534388193486</x:v>
      </x:c>
      <x:c r="F27" s="22" t="n">
        <x:v>0.48702534388193486</x:v>
      </x:c>
      <x:c r="G27" s="22" t="n">
        <x:v>0.48702534388193486</x:v>
      </x:c>
      <x:c r="H27" s="24" t="n">
        <x:v>2</x:v>
      </x:c>
      <x:c r="I27" s="24" t="n">
        <x:v>2</x:v>
      </x:c>
      <x:c r="J27" s="23" t="n">
        <x:f>IF(I27&gt;0,H27/I27,"NA")</x:f>
        <x:v>1</x:v>
      </x:c>
      <x:c r="K27" s="23" t="n">
        <x:f>MAX(0,MIN(1,(E27-'总览与权重'!$B$18)/('总览与权重'!$C$18-'总览与权重'!$B$18)))</x:f>
        <x:v>0.04058544532349457</x:v>
      </x:c>
      <x:c r="L27" s="23" t="n">
        <x:f>MAX(0,MIN(1,(F27-'总览与权重'!$B$19)/('总览与权重'!$C$19-'总览与权重'!$B$19)))</x:f>
        <x:v>0.48702534388193486</x:v>
      </x:c>
      <x:c r="M27" s="23" t="n">
        <x:f>MAX(0,MIN(1,(G27-'总览与权重'!$B$20)/('总览与权重'!$C$20-'总览与权重'!$B$20)))</x:f>
        <x:v>0.48702534388193486</x:v>
      </x:c>
      <x:c r="N27" s="23" t="n">
        <x:f>J27</x:f>
        <x:v>1</x:v>
      </x:c>
      <x:c r="O27" s="22" t="str">
        <x:v>是</x:v>
      </x:c>
      <x:c r="P27" s="22" t="n">
        <x:v>0.3501930582295846</x:v>
      </x:c>
      <x:c r="Q27" s="22" t="n">
        <x:v>0.3501930582295846</x:v>
      </x:c>
      <x:c r="R27" s="22" t="n">
        <x:v>0.3501930582295846</x:v>
      </x:c>
      <x:c r="S27" s="23" t="n">
        <x:f>IF(O27="是",MAX(0,MIN(1,(P27-'总览与权重'!$B$21)/('总览与权重'!$C$21-'总览与权重'!$B$21))),"NA")</x:f>
        <x:v>0.5145913774262326</x:v>
      </x:c>
      <x:c r="T27" s="23" t="n">
        <x:f>IF(O27="是",MAX(0,MIN(1,(Q27-'总览与权重'!$B$22)/('总览与权重'!$C$22-'总览与权重'!$B$22))),"NA")</x:f>
        <x:v>0.6750965291147923</x:v>
      </x:c>
      <x:c r="U27" s="23" t="n">
        <x:f>IF(O27="是",MAX(0,MIN(1,(R27-'总览与权重'!$B$23)/('总览与权重'!$C$23-'总览与权重'!$B$23))),"NA")</x:f>
        <x:v>0.6750965291147923</x:v>
      </x:c>
      <x:c r="V27" s="23" t="n">
        <x:f>IF(O27="是",J27,"NA")</x:f>
        <x:v>1</x:v>
      </x:c>
      <x:c r="W27" s="22" t="str">
        <x:v>完整</x:v>
      </x:c>
      <x:c r="X27" s="22" t="n">
        <x:v>1</x:v>
      </x:c>
      <x:c r="Y27" s="22" t="n">
        <x:v>0</x:v>
      </x:c>
      <x:c r="Z27" s="22" t="n">
        <x:v>0.05</x:v>
      </x:c>
      <x:c r="AA27" s="22" t="n">
        <x:v>0.547619047619</x:v>
      </x:c>
      <x:c r="AB27" s="22" t="str">
        <x:v>知识点理解与概念探究；正向评价（不计能力分）</x:v>
      </x:c>
      <x:c r="AC27" s="22" t="str">
        <x:v>NA</x:v>
      </x:c>
      <x:c r="AD27" s="22" t="str">
        <x:v>NA</x:v>
      </x:c>
      <x:c r="AE27" s="22" t="str">
        <x:v>["S0364"]</x:v>
      </x:c>
      <x:c r="AF27" s="22" t="str">
        <x:v>["2025秋:2025秋-数学模型-问答记录导出20260502导出_已标注_已更新.xlsx:问答记录:375"]</x:v>
      </x:c>
      <x:c r="AG27" s="22" t="str">
        <x:v>evidence/student_evidence.jsonl；student_key=2025秋:258878</x:v>
      </x:c>
      <x:c r="AH27" s="27" t="str"/>
    </x:row>
    <x:row r="28" ht="23" customHeight="1">
      <x:c r="A28" s="21" t="str">
        <x:v>2025秋:258880</x:v>
      </x:c>
      <x:c r="B28" s="22" t="str">
        <x:v>s3</x:v>
      </x:c>
      <x:c r="C28" s="24" t="n">
        <x:v>1</x:v>
      </x:c>
      <x:c r="D28" s="24" t="n">
        <x:v>1</x:v>
      </x:c>
      <x:c r="E28" s="22" t="n">
        <x:v>0</x:v>
      </x:c>
      <x:c r="F28" s="22" t="n">
        <x:v>0</x:v>
      </x:c>
      <x:c r="G28" s="22" t="n">
        <x:v>0</x:v>
      </x:c>
      <x:c r="H28" s="24" t="n">
        <x:v>1</x:v>
      </x:c>
      <x:c r="I28" s="24" t="n">
        <x:v>1</x:v>
      </x:c>
      <x:c r="J28" s="23" t="n">
        <x:f>IF(I28&gt;0,H28/I28,"NA")</x:f>
        <x:v>1</x:v>
      </x:c>
      <x:c r="K28" s="23" t="n">
        <x:f>MAX(0,MIN(1,(E28-'总览与权重'!$B$18)/('总览与权重'!$C$18-'总览与权重'!$B$18)))</x:f>
        <x:v>0</x:v>
      </x:c>
      <x:c r="L28" s="23" t="n">
        <x:f>MAX(0,MIN(1,(F28-'总览与权重'!$B$19)/('总览与权重'!$C$19-'总览与权重'!$B$19)))</x:f>
        <x:v>0</x:v>
      </x:c>
      <x:c r="M28" s="23" t="n">
        <x:f>MAX(0,MIN(1,(G28-'总览与权重'!$B$20)/('总览与权重'!$C$20-'总览与权重'!$B$20)))</x:f>
        <x:v>0</x:v>
      </x:c>
      <x:c r="N28" s="23" t="n">
        <x:f>J28</x:f>
        <x:v>1</x:v>
      </x:c>
      <x:c r="O28" s="22" t="str">
        <x:v>是</x:v>
      </x:c>
      <x:c r="P28" s="22" t="n">
        <x:v>-0.07322581601556787</x:v>
      </x:c>
      <x:c r="Q28" s="22" t="n">
        <x:v>-0.09153227001945982</x:v>
      </x:c>
      <x:c r="R28" s="22" t="n">
        <x:v>-0.09153227001945982</x:v>
      </x:c>
      <x:c r="S28" s="23" t="n">
        <x:f>IF(O28="是",MAX(0,MIN(1,(P28-'总览与权重'!$B$21)/('总览与权重'!$C$21-'总览与权重'!$B$21))),"NA")</x:f>
        <x:v>0.4969489243326847</x:v>
      </x:c>
      <x:c r="T28" s="23" t="n">
        <x:f>IF(O28="是",MAX(0,MIN(1,(Q28-'总览与权重'!$B$22)/('总览与权重'!$C$22-'总览与权重'!$B$22))),"NA")</x:f>
        <x:v>0.4542338649902701</x:v>
      </x:c>
      <x:c r="U28" s="23" t="n">
        <x:f>IF(O28="是",MAX(0,MIN(1,(R28-'总览与权重'!$B$23)/('总览与权重'!$C$23-'总览与权重'!$B$23))),"NA")</x:f>
        <x:v>0.4542338649902701</x:v>
      </x:c>
      <x:c r="V28" s="23" t="n">
        <x:f>IF(O28="是",J28,"NA")</x:f>
        <x:v>1</x:v>
      </x:c>
      <x:c r="W28" s="22" t="str">
        <x:v>完整</x:v>
      </x:c>
      <x:c r="X28" s="22" t="n">
        <x:v>3</x:v>
      </x:c>
      <x:c r="Y28" s="22" t="n">
        <x:v>0.8646647167633873</x:v>
      </x:c>
      <x:c r="Z28" s="22" t="n">
        <x:v>0</x:v>
      </x:c>
      <x:c r="AA28" s="22" t="n">
        <x:v>0</x:v>
      </x:c>
      <x:c r="AB28" s="22" t="str">
        <x:v>课程答疑复习与资源使用；正向评价（不计能力分）</x:v>
      </x:c>
      <x:c r="AC28" s="22" t="str">
        <x:v>NA</x:v>
      </x:c>
      <x:c r="AD28" s="22" t="str">
        <x:v>NA</x:v>
      </x:c>
      <x:c r="AE28" s="22" t="str">
        <x:v>["S0063"]</x:v>
      </x:c>
      <x:c r="AF28" s="22" t="str">
        <x:v>["2025秋:2025秋-数学模型-问答记录导出20260502导出_已标注_已更新.xlsx:问答记录:66"]</x:v>
      </x:c>
      <x:c r="AG28" s="22" t="str">
        <x:v>evidence/student_evidence.jsonl；student_key=2025秋:258880</x:v>
      </x:c>
      <x:c r="AH28" s="27" t="str"/>
    </x:row>
    <x:row r="29" ht="48" customHeight="1">
      <x:c r="A29" s="21" t="str">
        <x:v>2025秋:258887</x:v>
      </x:c>
      <x:c r="B29" s="22" t="str">
        <x:v>s3</x:v>
      </x:c>
      <x:c r="C29" s="24" t="n">
        <x:v>1</x:v>
      </x:c>
      <x:c r="D29" s="24" t="n">
        <x:v>1</x:v>
      </x:c>
      <x:c r="E29" s="22" t="n">
        <x:v>0</x:v>
      </x:c>
      <x:c r="F29" s="22" t="n">
        <x:v>0</x:v>
      </x:c>
      <x:c r="G29" s="22" t="n">
        <x:v>0</x:v>
      </x:c>
      <x:c r="H29" s="24" t="n">
        <x:v>1</x:v>
      </x:c>
      <x:c r="I29" s="24" t="n">
        <x:v>1</x:v>
      </x:c>
      <x:c r="J29" s="23" t="n">
        <x:f>IF(I29&gt;0,H29/I29,"NA")</x:f>
        <x:v>1</x:v>
      </x:c>
      <x:c r="K29" s="23" t="n">
        <x:f>MAX(0,MIN(1,(E29-'总览与权重'!$B$18)/('总览与权重'!$C$18-'总览与权重'!$B$18)))</x:f>
        <x:v>0</x:v>
      </x:c>
      <x:c r="L29" s="23" t="n">
        <x:f>MAX(0,MIN(1,(F29-'总览与权重'!$B$19)/('总览与权重'!$C$19-'总览与权重'!$B$19)))</x:f>
        <x:v>0</x:v>
      </x:c>
      <x:c r="M29" s="23" t="n">
        <x:f>MAX(0,MIN(1,(G29-'总览与权重'!$B$20)/('总览与权重'!$C$20-'总览与权重'!$B$20)))</x:f>
        <x:v>0</x:v>
      </x:c>
      <x:c r="N29" s="23" t="n">
        <x:f>J29</x:f>
        <x:v>1</x:v>
      </x:c>
      <x:c r="O29" s="22" t="str">
        <x:v>是</x:v>
      </x:c>
      <x:c r="P29" s="22" t="n">
        <x:v>-0.13683228565235026</x:v>
      </x:c>
      <x:c r="Q29" s="22" t="n">
        <x:v>-0.13683228565235026</x:v>
      </x:c>
      <x:c r="R29" s="22" t="n">
        <x:v>-0.13683228565235026</x:v>
      </x:c>
      <x:c r="S29" s="23" t="n">
        <x:f>IF(O29="是",MAX(0,MIN(1,(P29-'总览与权重'!$B$21)/('总览与权重'!$C$21-'总览与权重'!$B$21))),"NA")</x:f>
        <x:v>0.4942986547644854</x:v>
      </x:c>
      <x:c r="T29" s="23" t="n">
        <x:f>IF(O29="是",MAX(0,MIN(1,(Q29-'总览与权重'!$B$22)/('总览与权重'!$C$22-'总览与权重'!$B$22))),"NA")</x:f>
        <x:v>0.43158385717382486</x:v>
      </x:c>
      <x:c r="U29" s="23" t="n">
        <x:f>IF(O29="是",MAX(0,MIN(1,(R29-'总览与权重'!$B$23)/('总览与权重'!$C$23-'总览与权重'!$B$23))),"NA")</x:f>
        <x:v>0.43158385717382486</x:v>
      </x:c>
      <x:c r="V29" s="23" t="n">
        <x:f>IF(O29="是",J29,"NA")</x:f>
        <x:v>1</x:v>
      </x:c>
      <x:c r="W29" s="22" t="str">
        <x:v>完整</x:v>
      </x:c>
      <x:c r="X29" s="22" t="n">
        <x:v>2</x:v>
      </x:c>
      <x:c r="Y29" s="22" t="n">
        <x:v>0.6321205588285577</x:v>
      </x:c>
      <x:c r="Z29" s="22" t="n">
        <x:v>0</x:v>
      </x:c>
      <x:c r="AA29" s="22" t="n">
        <x:v>0</x:v>
      </x:c>
      <x:c r="AB29" s="22" t="str">
        <x:v>模型方法选择与问题求解；正向评价（不计能力分）</x:v>
      </x:c>
      <x:c r="AC29" s="22" t="str">
        <x:v>NA</x:v>
      </x:c>
      <x:c r="AD29" s="22" t="str">
        <x:v>NA</x:v>
      </x:c>
      <x:c r="AE29" s="22" t="str">
        <x:v>["S0309"]</x:v>
      </x:c>
      <x:c r="AF29" s="22" t="str">
        <x:v>["2025秋:2025秋-数学模型-问答记录导出20260502导出_已标注_已更新.xlsx:问答记录:317"]</x:v>
      </x:c>
      <x:c r="AG29" s="22" t="str">
        <x:v>evidence/student_evidence.jsonl；student_key=2025秋:258887</x:v>
      </x:c>
      <x:c r="AH29" s="27" t="str">
        <x:v>同一锚点起止1条：未形成独立重复测量。</x:v>
      </x:c>
    </x:row>
    <x:row r="30" ht="23" customHeight="1">
      <x:c r="A30" s="21" t="str">
        <x:v>2025秋:258888</x:v>
      </x:c>
      <x:c r="B30" s="22" t="str">
        <x:v>s3</x:v>
      </x:c>
      <x:c r="C30" s="24" t="n">
        <x:v>2</x:v>
      </x:c>
      <x:c r="D30" s="24" t="n">
        <x:v>1</x:v>
      </x:c>
      <x:c r="E30" s="22" t="n">
        <x:v>0.48702534388193486</x:v>
      </x:c>
      <x:c r="F30" s="22" t="n">
        <x:v>0.48702534388193486</x:v>
      </x:c>
      <x:c r="G30" s="22" t="n">
        <x:v>0.48702534388193486</x:v>
      </x:c>
      <x:c r="H30" s="24" t="n">
        <x:v>2</x:v>
      </x:c>
      <x:c r="I30" s="24" t="n">
        <x:v>2</x:v>
      </x:c>
      <x:c r="J30" s="23" t="n">
        <x:f>IF(I30&gt;0,H30/I30,"NA")</x:f>
        <x:v>1</x:v>
      </x:c>
      <x:c r="K30" s="23" t="n">
        <x:f>MAX(0,MIN(1,(E30-'总览与权重'!$B$18)/('总览与权重'!$C$18-'总览与权重'!$B$18)))</x:f>
        <x:v>0.04058544532349457</x:v>
      </x:c>
      <x:c r="L30" s="23" t="n">
        <x:f>MAX(0,MIN(1,(F30-'总览与权重'!$B$19)/('总览与权重'!$C$19-'总览与权重'!$B$19)))</x:f>
        <x:v>0.48702534388193486</x:v>
      </x:c>
      <x:c r="M30" s="23" t="n">
        <x:f>MAX(0,MIN(1,(G30-'总览与权重'!$B$20)/('总览与权重'!$C$20-'总览与权重'!$B$20)))</x:f>
        <x:v>0.48702534388193486</x:v>
      </x:c>
      <x:c r="N30" s="23" t="n">
        <x:f>J30</x:f>
        <x:v>1</x:v>
      </x:c>
      <x:c r="O30" s="22" t="str">
        <x:v>是</x:v>
      </x:c>
      <x:c r="P30" s="22" t="n">
        <x:v>0.3501930582295846</x:v>
      </x:c>
      <x:c r="Q30" s="22" t="n">
        <x:v>0.3501930582295846</x:v>
      </x:c>
      <x:c r="R30" s="22" t="n">
        <x:v>0.3501930582295846</x:v>
      </x:c>
      <x:c r="S30" s="23" t="n">
        <x:f>IF(O30="是",MAX(0,MIN(1,(P30-'总览与权重'!$B$21)/('总览与权重'!$C$21-'总览与权重'!$B$21))),"NA")</x:f>
        <x:v>0.5145913774262326</x:v>
      </x:c>
      <x:c r="T30" s="23" t="n">
        <x:f>IF(O30="是",MAX(0,MIN(1,(Q30-'总览与权重'!$B$22)/('总览与权重'!$C$22-'总览与权重'!$B$22))),"NA")</x:f>
        <x:v>0.6750965291147923</x:v>
      </x:c>
      <x:c r="U30" s="23" t="n">
        <x:f>IF(O30="是",MAX(0,MIN(1,(R30-'总览与权重'!$B$23)/('总览与权重'!$C$23-'总览与权重'!$B$23))),"NA")</x:f>
        <x:v>0.6750965291147923</x:v>
      </x:c>
      <x:c r="V30" s="23" t="n">
        <x:f>IF(O30="是",J30,"NA")</x:f>
        <x:v>1</x:v>
      </x:c>
      <x:c r="W30" s="22" t="str">
        <x:v>完整</x:v>
      </x:c>
      <x:c r="X30" s="22" t="n">
        <x:v>1</x:v>
      </x:c>
      <x:c r="Y30" s="22" t="n">
        <x:v>0</x:v>
      </x:c>
      <x:c r="Z30" s="22" t="n">
        <x:v>0.3</x:v>
      </x:c>
      <x:c r="AA30" s="22" t="n">
        <x:v>0.785714285714</x:v>
      </x:c>
      <x:c r="AB30" s="22" t="str">
        <x:v>知识点理解与概念探究；正向评价（不计能力分）</x:v>
      </x:c>
      <x:c r="AC30" s="22" t="str">
        <x:v>NA</x:v>
      </x:c>
      <x:c r="AD30" s="22" t="str">
        <x:v>NA</x:v>
      </x:c>
      <x:c r="AE30" s="22" t="str">
        <x:v>["S0190","S0365"]</x:v>
      </x:c>
      <x:c r="AF30" s="22" t="str">
        <x:v>["2025秋:2025秋-数学模型-问答记录导出20260502导出_已标注_已更新.xlsx:问答记录:193","2025秋:2025秋-数学模型-问答记录导出20260502导出_已标注_已更新.xlsx:问答记录:376"]</x:v>
      </x:c>
      <x:c r="AG30" s="22" t="str">
        <x:v>evidence/student_evidence.jsonl；student_key=2025秋:258888</x:v>
      </x:c>
      <x:c r="AH30" s="27" t="str"/>
    </x:row>
    <x:row r="31" ht="23" customHeight="1">
      <x:c r="A31" s="21" t="str">
        <x:v>2025秋:258889</x:v>
      </x:c>
      <x:c r="B31" s="22" t="str">
        <x:v>s3</x:v>
      </x:c>
      <x:c r="C31" s="24" t="n">
        <x:v>1</x:v>
      </x:c>
      <x:c r="D31" s="24" t="n">
        <x:v>1</x:v>
      </x:c>
      <x:c r="E31" s="22" t="n">
        <x:v>0.11927287765997448</x:v>
      </x:c>
      <x:c r="F31" s="22" t="n">
        <x:v>0.11927287765997448</x:v>
      </x:c>
      <x:c r="G31" s="22" t="n">
        <x:v>0.11927287765997448</x:v>
      </x:c>
      <x:c r="H31" s="24" t="n">
        <x:v>1</x:v>
      </x:c>
      <x:c r="I31" s="24" t="n">
        <x:v>1</x:v>
      </x:c>
      <x:c r="J31" s="23" t="n">
        <x:f>IF(I31&gt;0,H31/I31,"NA")</x:f>
        <x:v>1</x:v>
      </x:c>
      <x:c r="K31" s="23" t="n">
        <x:f>MAX(0,MIN(1,(E31-'总览与权重'!$B$18)/('总览与权重'!$C$18-'总览与权重'!$B$18)))</x:f>
        <x:v>0.00993940647166454</x:v>
      </x:c>
      <x:c r="L31" s="23" t="n">
        <x:f>MAX(0,MIN(1,(F31-'总览与权重'!$B$19)/('总览与权重'!$C$19-'总览与权重'!$B$19)))</x:f>
        <x:v>0.11927287765997448</x:v>
      </x:c>
      <x:c r="M31" s="23" t="n">
        <x:f>MAX(0,MIN(1,(G31-'总览与权重'!$B$20)/('总览与权重'!$C$20-'总览与权重'!$B$20)))</x:f>
        <x:v>0.11927287765997448</x:v>
      </x:c>
      <x:c r="N31" s="23" t="n">
        <x:f>J31</x:f>
        <x:v>1</x:v>
      </x:c>
      <x:c r="O31" s="22" t="str">
        <x:v>是</x:v>
      </x:c>
      <x:c r="P31" s="22" t="n">
        <x:v>-0.01753104909611526</x:v>
      </x:c>
      <x:c r="Q31" s="22" t="n">
        <x:v>-0.01753104909611526</x:v>
      </x:c>
      <x:c r="R31" s="22" t="n">
        <x:v>-0.01753104909611526</x:v>
      </x:c>
      <x:c r="S31" s="23" t="n">
        <x:f>IF(O31="是",MAX(0,MIN(1,(P31-'总览与权重'!$B$21)/('总览与权重'!$C$21-'总览与权重'!$B$21))),"NA")</x:f>
        <x:v>0.4992695396209952</x:v>
      </x:c>
      <x:c r="T31" s="23" t="n">
        <x:f>IF(O31="是",MAX(0,MIN(1,(Q31-'总览与权重'!$B$22)/('总览与权重'!$C$22-'总览与权重'!$B$22))),"NA")</x:f>
        <x:v>0.4912344754519424</x:v>
      </x:c>
      <x:c r="U31" s="23" t="n">
        <x:f>IF(O31="是",MAX(0,MIN(1,(R31-'总览与权重'!$B$23)/('总览与权重'!$C$23-'总览与权重'!$B$23))),"NA")</x:f>
        <x:v>0.4912344754519424</x:v>
      </x:c>
      <x:c r="V31" s="23" t="n">
        <x:f>IF(O31="是",J31,"NA")</x:f>
        <x:v>1</x:v>
      </x:c>
      <x:c r="W31" s="22" t="str">
        <x:v>完整</x:v>
      </x:c>
      <x:c r="X31" s="22" t="n">
        <x:v>2</x:v>
      </x:c>
      <x:c r="Y31" s="22" t="n">
        <x:v>0.6321205588285577</x:v>
      </x:c>
      <x:c r="Z31" s="22" t="n">
        <x:v>0.3</x:v>
      </x:c>
      <x:c r="AA31" s="22" t="n">
        <x:v>0.666666666667</x:v>
      </x:c>
      <x:c r="AB31" s="22" t="str">
        <x:v>知识点理解与概念探究；正向评价（不计能力分）</x:v>
      </x:c>
      <x:c r="AC31" s="22" t="str">
        <x:v>NA</x:v>
      </x:c>
      <x:c r="AD31" s="22" t="str">
        <x:v>NA</x:v>
      </x:c>
      <x:c r="AE31" s="22" t="str">
        <x:v>["S0040"]</x:v>
      </x:c>
      <x:c r="AF31" s="22" t="str">
        <x:v>["2025秋:2025秋-数学模型-问答记录导出20260502导出_已标注_已更新.xlsx:问答记录:42"]</x:v>
      </x:c>
      <x:c r="AG31" s="22" t="str">
        <x:v>evidence/student_evidence.jsonl；student_key=2025秋:258889</x:v>
      </x:c>
      <x:c r="AH31" s="27" t="str"/>
    </x:row>
    <x:row r="32" ht="23" customHeight="1">
      <x:c r="A32" s="21" t="str">
        <x:v>2025秋:258892</x:v>
      </x:c>
      <x:c r="B32" s="22" t="str">
        <x:v>s3</x:v>
      </x:c>
      <x:c r="C32" s="24" t="n">
        <x:v>2</x:v>
      </x:c>
      <x:c r="D32" s="24" t="n">
        <x:v>2</x:v>
      </x:c>
      <x:c r="E32" s="22" t="n">
        <x:v>0.48702534388193486</x:v>
      </x:c>
      <x:c r="F32" s="22" t="n">
        <x:v>0.24351267194096743</x:v>
      </x:c>
      <x:c r="G32" s="22" t="n">
        <x:v>0.48702534388193486</x:v>
      </x:c>
      <x:c r="H32" s="24" t="n">
        <x:v>2</x:v>
      </x:c>
      <x:c r="I32" s="24" t="n">
        <x:v>4</x:v>
      </x:c>
      <x:c r="J32" s="23" t="n">
        <x:f>IF(I32&gt;0,H32/I32,"NA")</x:f>
        <x:v>0.5</x:v>
      </x:c>
      <x:c r="K32" s="23" t="n">
        <x:f>MAX(0,MIN(1,(E32-'总览与权重'!$B$18)/('总览与权重'!$C$18-'总览与权重'!$B$18)))</x:f>
        <x:v>0.04058544532349457</x:v>
      </x:c>
      <x:c r="L32" s="23" t="n">
        <x:f>MAX(0,MIN(1,(F32-'总览与权重'!$B$19)/('总览与权重'!$C$19-'总览与权重'!$B$19)))</x:f>
        <x:v>0.24351267194096743</x:v>
      </x:c>
      <x:c r="M32" s="23" t="n">
        <x:f>MAX(0,MIN(1,(G32-'总览与权重'!$B$20)/('总览与权重'!$C$20-'总览与权重'!$B$20)))</x:f>
        <x:v>0.48702534388193486</x:v>
      </x:c>
      <x:c r="N32" s="23" t="n">
        <x:f>J32</x:f>
        <x:v>0.5</x:v>
      </x:c>
      <x:c r="O32" s="22" t="str">
        <x:v>是</x:v>
      </x:c>
      <x:c r="P32" s="22" t="n">
        <x:v>-0.0760685021771465</x:v>
      </x:c>
      <x:c r="Q32" s="22" t="n">
        <x:v>-0.09508562772143313</x:v>
      </x:c>
      <x:c r="R32" s="22" t="n">
        <x:v>-0.09508562772143313</x:v>
      </x:c>
      <x:c r="S32" s="23" t="n">
        <x:f>IF(O32="是",MAX(0,MIN(1,(P32-'总览与权重'!$B$21)/('总览与权重'!$C$21-'总览与权重'!$B$21))),"NA")</x:f>
        <x:v>0.4968304790759522</x:v>
      </x:c>
      <x:c r="T32" s="23" t="n">
        <x:f>IF(O32="是",MAX(0,MIN(1,(Q32-'总览与权重'!$B$22)/('总览与权重'!$C$22-'总览与权重'!$B$22))),"NA")</x:f>
        <x:v>0.45245718613928343</x:v>
      </x:c>
      <x:c r="U32" s="23" t="n">
        <x:f>IF(O32="是",MAX(0,MIN(1,(R32-'总览与权重'!$B$23)/('总览与权重'!$C$23-'总览与权重'!$B$23))),"NA")</x:f>
        <x:v>0.45245718613928343</x:v>
      </x:c>
      <x:c r="V32" s="23" t="n">
        <x:f>IF(O32="是",J32,"NA")</x:f>
        <x:v>0.5</x:v>
      </x:c>
      <x:c r="W32" s="22" t="str">
        <x:v>完整</x:v>
      </x:c>
      <x:c r="X32" s="22" t="n">
        <x:v>2</x:v>
      </x:c>
      <x:c r="Y32" s="22" t="n">
        <x:v>0.6321205588285577</x:v>
      </x:c>
      <x:c r="Z32" s="22" t="n">
        <x:v>0.05</x:v>
      </x:c>
      <x:c r="AA32" s="22" t="n">
        <x:v>0.309523809524</x:v>
      </x:c>
      <x:c r="AB32" s="22" t="str">
        <x:v>知识点理解与概念探究；正向评价（不计能力分）</x:v>
      </x:c>
      <x:c r="AC32" s="22" t="str">
        <x:v>NA</x:v>
      </x:c>
      <x:c r="AD32" s="22" t="str">
        <x:v>NA</x:v>
      </x:c>
      <x:c r="AE32" s="22" t="str">
        <x:v>["S0095","S0473"]</x:v>
      </x:c>
      <x:c r="AF32" s="22" t="str">
        <x:v>["2025秋:2025秋-数学模型-问答记录导出20260502导出_已标注_已更新.xlsx:问答记录:98","2025秋:2025秋-数学模型-问答记录导出20260502导出_已标注_已更新.xlsx:问答记录:485"]</x:v>
      </x:c>
      <x:c r="AG32" s="22" t="str">
        <x:v>evidence/student_evidence.jsonl；student_key=2025秋:258892</x:v>
      </x:c>
      <x:c r="AH32" s="27" t="str"/>
    </x:row>
    <x:row r="33" ht="23" customHeight="1">
      <x:c r="A33" s="21" t="str">
        <x:v>2025秋:258900</x:v>
      </x:c>
      <x:c r="B33" s="22" t="str">
        <x:v>s3</x:v>
      </x:c>
      <x:c r="C33" s="24" t="n">
        <x:v>1</x:v>
      </x:c>
      <x:c r="D33" s="24" t="n">
        <x:v>1</x:v>
      </x:c>
      <x:c r="E33" s="22" t="n">
        <x:v>0</x:v>
      </x:c>
      <x:c r="F33" s="22" t="n">
        <x:v>0</x:v>
      </x:c>
      <x:c r="G33" s="22" t="n">
        <x:v>0</x:v>
      </x:c>
      <x:c r="H33" s="24" t="n">
        <x:v>1</x:v>
      </x:c>
      <x:c r="I33" s="24" t="n">
        <x:v>1</x:v>
      </x:c>
      <x:c r="J33" s="23" t="n">
        <x:f>IF(I33&gt;0,H33/I33,"NA")</x:f>
        <x:v>1</x:v>
      </x:c>
      <x:c r="K33" s="23" t="n">
        <x:f>MAX(0,MIN(1,(E33-'总览与权重'!$B$18)/('总览与权重'!$C$18-'总览与权重'!$B$18)))</x:f>
        <x:v>0</x:v>
      </x:c>
      <x:c r="L33" s="23" t="n">
        <x:f>MAX(0,MIN(1,(F33-'总览与权重'!$B$19)/('总览与权重'!$C$19-'总览与权重'!$B$19)))</x:f>
        <x:v>0</x:v>
      </x:c>
      <x:c r="M33" s="23" t="n">
        <x:f>MAX(0,MIN(1,(G33-'总览与权重'!$B$20)/('总览与权重'!$C$20-'总览与权重'!$B$20)))</x:f>
        <x:v>0</x:v>
      </x:c>
      <x:c r="N33" s="23" t="n">
        <x:f>J33</x:f>
        <x:v>1</x:v>
      </x:c>
      <x:c r="O33" s="22" t="str">
        <x:v>是</x:v>
      </x:c>
      <x:c r="P33" s="22" t="n">
        <x:v>-0.13683228565235026</x:v>
      </x:c>
      <x:c r="Q33" s="22" t="n">
        <x:v>-0.13683228565235026</x:v>
      </x:c>
      <x:c r="R33" s="22" t="n">
        <x:v>-0.13683228565235026</x:v>
      </x:c>
      <x:c r="S33" s="23" t="n">
        <x:f>IF(O33="是",MAX(0,MIN(1,(P33-'总览与权重'!$B$21)/('总览与权重'!$C$21-'总览与权重'!$B$21))),"NA")</x:f>
        <x:v>0.4942986547644854</x:v>
      </x:c>
      <x:c r="T33" s="23" t="n">
        <x:f>IF(O33="是",MAX(0,MIN(1,(Q33-'总览与权重'!$B$22)/('总览与权重'!$C$22-'总览与权重'!$B$22))),"NA")</x:f>
        <x:v>0.43158385717382486</x:v>
      </x:c>
      <x:c r="U33" s="23" t="n">
        <x:f>IF(O33="是",MAX(0,MIN(1,(R33-'总览与权重'!$B$23)/('总览与权重'!$C$23-'总览与权重'!$B$23))),"NA")</x:f>
        <x:v>0.43158385717382486</x:v>
      </x:c>
      <x:c r="V33" s="23" t="n">
        <x:f>IF(O33="是",J33,"NA")</x:f>
        <x:v>1</x:v>
      </x:c>
      <x:c r="W33" s="22" t="str">
        <x:v>完整</x:v>
      </x:c>
      <x:c r="X33" s="22" t="n">
        <x:v>1</x:v>
      </x:c>
      <x:c r="Y33" s="22" t="n">
        <x:v>0</x:v>
      </x:c>
      <x:c r="Z33" s="22" t="n">
        <x:v>0</x:v>
      </x:c>
      <x:c r="AA33" s="22" t="n">
        <x:v>0</x:v>
      </x:c>
      <x:c r="AB33" s="22" t="str">
        <x:v>知识点理解与概念探究；无明确评价（不计能力分）</x:v>
      </x:c>
      <x:c r="AC33" s="22" t="str">
        <x:v>NA</x:v>
      </x:c>
      <x:c r="AD33" s="22" t="str">
        <x:v>NA</x:v>
      </x:c>
      <x:c r="AE33" s="22" t="str">
        <x:v>["S0460"]</x:v>
      </x:c>
      <x:c r="AF33" s="22" t="str">
        <x:v>["2025秋:2025秋-数学模型-问答记录导出20260502导出_已标注_已更新.xlsx:问答记录:472"]</x:v>
      </x:c>
      <x:c r="AG33" s="22" t="str">
        <x:v>evidence/student_evidence.jsonl；student_key=2025秋:258900</x:v>
      </x:c>
      <x:c r="AH33" s="27" t="str"/>
    </x:row>
    <x:row r="34" ht="23" customHeight="1">
      <x:c r="A34" s="21" t="str">
        <x:v>2025秋:258902</x:v>
      </x:c>
      <x:c r="B34" s="22" t="str">
        <x:v>s3</x:v>
      </x:c>
      <x:c r="C34" s="24" t="n">
        <x:v>1</x:v>
      </x:c>
      <x:c r="D34" s="24" t="n">
        <x:v>1</x:v>
      </x:c>
      <x:c r="E34" s="22" t="n">
        <x:v>0.5027078986587183</x:v>
      </x:c>
      <x:c r="F34" s="22" t="n">
        <x:v>0.5027078986587183</x:v>
      </x:c>
      <x:c r="G34" s="22" t="n">
        <x:v>0.5027078986587183</x:v>
      </x:c>
      <x:c r="H34" s="24" t="n">
        <x:v>1</x:v>
      </x:c>
      <x:c r="I34" s="24" t="n">
        <x:v>1</x:v>
      </x:c>
      <x:c r="J34" s="23" t="n">
        <x:f>IF(I34&gt;0,H34/I34,"NA")</x:f>
        <x:v>1</x:v>
      </x:c>
      <x:c r="K34" s="23" t="n">
        <x:f>MAX(0,MIN(1,(E34-'总览与权重'!$B$18)/('总览与权重'!$C$18-'总览与权重'!$B$18)))</x:f>
        <x:v>0.04189232488822653</x:v>
      </x:c>
      <x:c r="L34" s="23" t="n">
        <x:f>MAX(0,MIN(1,(F34-'总览与权重'!$B$19)/('总览与权重'!$C$19-'总览与权重'!$B$19)))</x:f>
        <x:v>0.5027078986587183</x:v>
      </x:c>
      <x:c r="M34" s="23" t="n">
        <x:f>MAX(0,MIN(1,(G34-'总览与权重'!$B$20)/('总览与权重'!$C$20-'总览与权重'!$B$20)))</x:f>
        <x:v>0.5027078986587183</x:v>
      </x:c>
      <x:c r="N34" s="23" t="n">
        <x:f>J34</x:f>
        <x:v>1</x:v>
      </x:c>
      <x:c r="O34" s="22" t="str">
        <x:v>是</x:v>
      </x:c>
      <x:c r="P34" s="22" t="n">
        <x:v>0.36587561300636806</x:v>
      </x:c>
      <x:c r="Q34" s="22" t="n">
        <x:v>0.36587561300636806</x:v>
      </x:c>
      <x:c r="R34" s="22" t="n">
        <x:v>0.36587561300636806</x:v>
      </x:c>
      <x:c r="S34" s="23" t="n">
        <x:f>IF(O34="是",MAX(0,MIN(1,(P34-'总览与权重'!$B$21)/('总览与权重'!$C$21-'总览与权重'!$B$21))),"NA")</x:f>
        <x:v>0.5152448172085987</x:v>
      </x:c>
      <x:c r="T34" s="23" t="n">
        <x:f>IF(O34="是",MAX(0,MIN(1,(Q34-'总览与权重'!$B$22)/('总览与权重'!$C$22-'总览与权重'!$B$22))),"NA")</x:f>
        <x:v>0.682937806503184</x:v>
      </x:c>
      <x:c r="U34" s="23" t="n">
        <x:f>IF(O34="是",MAX(0,MIN(1,(R34-'总览与权重'!$B$23)/('总览与权重'!$C$23-'总览与权重'!$B$23))),"NA")</x:f>
        <x:v>0.682937806503184</x:v>
      </x:c>
      <x:c r="V34" s="23" t="n">
        <x:f>IF(O34="是",J34,"NA")</x:f>
        <x:v>1</x:v>
      </x:c>
      <x:c r="W34" s="22" t="str">
        <x:v>完整</x:v>
      </x:c>
      <x:c r="X34" s="22" t="n">
        <x:v>3</x:v>
      </x:c>
      <x:c r="Y34" s="22" t="n">
        <x:v>0.8646647167633873</x:v>
      </x:c>
      <x:c r="Z34" s="22" t="n">
        <x:v>0.05</x:v>
      </x:c>
      <x:c r="AA34" s="22" t="n">
        <x:v>0.547619047619</x:v>
      </x:c>
      <x:c r="AB34" s="22" t="str">
        <x:v>知识点理解与概念探究；正向评价（不计能力分）</x:v>
      </x:c>
      <x:c r="AC34" s="22" t="str">
        <x:v>NA</x:v>
      </x:c>
      <x:c r="AD34" s="22" t="str">
        <x:v>NA</x:v>
      </x:c>
      <x:c r="AE34" s="22" t="str">
        <x:v>["S0149"]</x:v>
      </x:c>
      <x:c r="AF34" s="22" t="str">
        <x:v>["2025秋:2025秋-数学模型-问答记录导出20260502导出_已标注_已更新.xlsx:问答记录:152"]</x:v>
      </x:c>
      <x:c r="AG34" s="22" t="str">
        <x:v>evidence/student_evidence.jsonl；student_key=2025秋:258902</x:v>
      </x:c>
      <x:c r="AH34" s="27" t="str"/>
    </x:row>
    <x:row r="35" ht="23" customHeight="1">
      <x:c r="A35" s="21" t="str">
        <x:v>2025秋:258906</x:v>
      </x:c>
      <x:c r="B35" s="22" t="str">
        <x:v>s3</x:v>
      </x:c>
      <x:c r="C35" s="24" t="n">
        <x:v>1</x:v>
      </x:c>
      <x:c r="D35" s="24" t="n">
        <x:v>1</x:v>
      </x:c>
      <x:c r="E35" s="22" t="n">
        <x:v>0</x:v>
      </x:c>
      <x:c r="F35" s="22" t="n">
        <x:v>0</x:v>
      </x:c>
      <x:c r="G35" s="22" t="n">
        <x:v>0</x:v>
      </x:c>
      <x:c r="H35" s="24" t="n">
        <x:v>1</x:v>
      </x:c>
      <x:c r="I35" s="24" t="n">
        <x:v>1</x:v>
      </x:c>
      <x:c r="J35" s="23" t="n">
        <x:f>IF(I35&gt;0,H35/I35,"NA")</x:f>
        <x:v>1</x:v>
      </x:c>
      <x:c r="K35" s="23" t="n">
        <x:f>MAX(0,MIN(1,(E35-'总览与权重'!$B$18)/('总览与权重'!$C$18-'总览与权重'!$B$18)))</x:f>
        <x:v>0</x:v>
      </x:c>
      <x:c r="L35" s="23" t="n">
        <x:f>MAX(0,MIN(1,(F35-'总览与权重'!$B$19)/('总览与权重'!$C$19-'总览与权重'!$B$19)))</x:f>
        <x:v>0</x:v>
      </x:c>
      <x:c r="M35" s="23" t="n">
        <x:f>MAX(0,MIN(1,(G35-'总览与权重'!$B$20)/('总览与权重'!$C$20-'总览与权重'!$B$20)))</x:f>
        <x:v>0</x:v>
      </x:c>
      <x:c r="N35" s="23" t="n">
        <x:f>J35</x:f>
        <x:v>1</x:v>
      </x:c>
      <x:c r="O35" s="22" t="str">
        <x:v>是</x:v>
      </x:c>
      <x:c r="P35" s="22" t="n">
        <x:v>-0.13680392675608974</x:v>
      </x:c>
      <x:c r="Q35" s="22" t="n">
        <x:v>-0.13680392675608974</x:v>
      </x:c>
      <x:c r="R35" s="22" t="n">
        <x:v>-0.13680392675608974</x:v>
      </x:c>
      <x:c r="S35" s="23" t="n">
        <x:f>IF(O35="是",MAX(0,MIN(1,(P35-'总览与权重'!$B$21)/('总览与权重'!$C$21-'总览与权重'!$B$21))),"NA")</x:f>
        <x:v>0.49429983638516295</x:v>
      </x:c>
      <x:c r="T35" s="23" t="n">
        <x:f>IF(O35="是",MAX(0,MIN(1,(Q35-'总览与权重'!$B$22)/('总览与权重'!$C$22-'总览与权重'!$B$22))),"NA")</x:f>
        <x:v>0.4315980366219551</x:v>
      </x:c>
      <x:c r="U35" s="23" t="n">
        <x:f>IF(O35="是",MAX(0,MIN(1,(R35-'总览与权重'!$B$23)/('总览与权重'!$C$23-'总览与权重'!$B$23))),"NA")</x:f>
        <x:v>0.4315980366219551</x:v>
      </x:c>
      <x:c r="V35" s="23" t="n">
        <x:f>IF(O35="是",J35,"NA")</x:f>
        <x:v>1</x:v>
      </x:c>
      <x:c r="W35" s="22" t="str">
        <x:v>完整</x:v>
      </x:c>
      <x:c r="X35" s="22" t="n">
        <x:v>2</x:v>
      </x:c>
      <x:c r="Y35" s="22" t="n">
        <x:v>0.6321205588285577</x:v>
      </x:c>
      <x:c r="Z35" s="22" t="n">
        <x:v>0</x:v>
      </x:c>
      <x:c r="AA35" s="22" t="n">
        <x:v>0</x:v>
      </x:c>
      <x:c r="AB35" s="22" t="str">
        <x:v>知识点理解与概念探究；正向评价（不计能力分）</x:v>
      </x:c>
      <x:c r="AC35" s="22" t="str">
        <x:v>NA</x:v>
      </x:c>
      <x:c r="AD35" s="22" t="str">
        <x:v>NA</x:v>
      </x:c>
      <x:c r="AE35" s="22" t="str">
        <x:v>["S0207"]</x:v>
      </x:c>
      <x:c r="AF35" s="22" t="str">
        <x:v>["2025秋:2025秋-数学模型-问答记录导出20260502导出_已标注_已更新.xlsx:问答记录:212"]</x:v>
      </x:c>
      <x:c r="AG35" s="22" t="str">
        <x:v>evidence/student_evidence.jsonl；student_key=2025秋:258906</x:v>
      </x:c>
      <x:c r="AH35" s="27" t="str"/>
    </x:row>
    <x:row r="36" ht="23" customHeight="1">
      <x:c r="A36" s="21" t="str">
        <x:v>2025秋:258907</x:v>
      </x:c>
      <x:c r="B36" s="22" t="str">
        <x:v>s3</x:v>
      </x:c>
      <x:c r="C36" s="24" t="n">
        <x:v>1</x:v>
      </x:c>
      <x:c r="D36" s="24" t="n">
        <x:v>1</x:v>
      </x:c>
      <x:c r="E36" s="22" t="n">
        <x:v>0</x:v>
      </x:c>
      <x:c r="F36" s="22" t="n">
        <x:v>0</x:v>
      </x:c>
      <x:c r="G36" s="22" t="n">
        <x:v>0</x:v>
      </x:c>
      <x:c r="H36" s="24" t="n">
        <x:v>2</x:v>
      </x:c>
      <x:c r="I36" s="24" t="n">
        <x:v>4</x:v>
      </x:c>
      <x:c r="J36" s="23" t="n">
        <x:f>IF(I36&gt;0,H36/I36,"NA")</x:f>
        <x:v>0.5</x:v>
      </x:c>
      <x:c r="K36" s="23" t="n">
        <x:f>MAX(0,MIN(1,(E36-'总览与权重'!$B$18)/('总览与权重'!$C$18-'总览与权重'!$B$18)))</x:f>
        <x:v>0</x:v>
      </x:c>
      <x:c r="L36" s="23" t="n">
        <x:f>MAX(0,MIN(1,(F36-'总览与权重'!$B$19)/('总览与权重'!$C$19-'总览与权重'!$B$19)))</x:f>
        <x:v>0</x:v>
      </x:c>
      <x:c r="M36" s="23" t="n">
        <x:f>MAX(0,MIN(1,(G36-'总览与权重'!$B$20)/('总览与权重'!$C$20-'总览与权重'!$B$20)))</x:f>
        <x:v>0</x:v>
      </x:c>
      <x:c r="N36" s="23" t="n">
        <x:f>J36</x:f>
        <x:v>0.5</x:v>
      </x:c>
      <x:c r="O36" s="22" t="str">
        <x:v>否</x:v>
      </x:c>
      <x:c r="P36" s="22" t="str">
        <x:v>NA</x:v>
      </x:c>
      <x:c r="Q36" s="22" t="str">
        <x:v>NA</x:v>
      </x:c>
      <x:c r="R36" s="22" t="str">
        <x:v>NA</x:v>
      </x:c>
      <x:c r="S36" s="23" t="str">
        <x:f>IF(O36="是",MAX(0,MIN(1,(P36-'总览与权重'!$B$21)/('总览与权重'!$C$21-'总览与权重'!$B$21))),"NA")</x:f>
        <x:v>NA</x:v>
      </x:c>
      <x:c r="T36" s="23" t="str">
        <x:f>IF(O36="是",MAX(0,MIN(1,(Q36-'总览与权重'!$B$22)/('总览与权重'!$C$22-'总览与权重'!$B$22))),"NA")</x:f>
        <x:v>NA</x:v>
      </x:c>
      <x:c r="U36" s="23" t="str">
        <x:f>IF(O36="是",MAX(0,MIN(1,(R36-'总览与权重'!$B$23)/('总览与权重'!$C$23-'总览与权重'!$B$23))),"NA")</x:f>
        <x:v>NA</x:v>
      </x:c>
      <x:c r="V36" s="23" t="str">
        <x:f>IF(O36="是",J36,"NA")</x:f>
        <x:v>NA</x:v>
      </x:c>
      <x:c r="W36" s="22" t="str">
        <x:v>无完整领域最早before配对</x:v>
      </x:c>
      <x:c r="X36" s="22" t="n">
        <x:v>2</x:v>
      </x:c>
      <x:c r="Y36" s="22" t="n">
        <x:v>0.6321205588285577</x:v>
      </x:c>
      <x:c r="Z36" s="22" t="n">
        <x:v>0</x:v>
      </x:c>
      <x:c r="AA36" s="22" t="n">
        <x:v>0</x:v>
      </x:c>
      <x:c r="AB36" s="22" t="str">
        <x:v>知识点理解与概念探究；正向评价（不计能力分）</x:v>
      </x:c>
      <x:c r="AC36" s="22" t="str">
        <x:v>NA</x:v>
      </x:c>
      <x:c r="AD36" s="22" t="str">
        <x:v>NA</x:v>
      </x:c>
      <x:c r="AE36" s="22" t="str">
        <x:v>["S0269"]</x:v>
      </x:c>
      <x:c r="AF36" s="22" t="str">
        <x:v>["2025秋:2025秋-数学模型-问答记录导出20260502导出_已标注_已更新.xlsx:问答记录:277"]</x:v>
      </x:c>
      <x:c r="AG36" s="22" t="str">
        <x:v>evidence/student_evidence.jsonl；student_key=2025秋:258907</x:v>
      </x:c>
      <x:c r="AH36" s="27" t="str"/>
    </x:row>
    <x:row r="37" ht="48" customHeight="1">
      <x:c r="A37" s="21" t="str">
        <x:v>2025秋:258908</x:v>
      </x:c>
      <x:c r="B37" s="22" t="str">
        <x:v>s3</x:v>
      </x:c>
      <x:c r="C37" s="24" t="n">
        <x:v>1</x:v>
      </x:c>
      <x:c r="D37" s="24" t="n">
        <x:v>1</x:v>
      </x:c>
      <x:c r="E37" s="22" t="n">
        <x:v>0</x:v>
      </x:c>
      <x:c r="F37" s="22" t="n">
        <x:v>0</x:v>
      </x:c>
      <x:c r="G37" s="22" t="n">
        <x:v>0</x:v>
      </x:c>
      <x:c r="H37" s="24" t="n">
        <x:v>1</x:v>
      </x:c>
      <x:c r="I37" s="24" t="n">
        <x:v>2</x:v>
      </x:c>
      <x:c r="J37" s="23" t="n">
        <x:f>IF(I37&gt;0,H37/I37,"NA")</x:f>
        <x:v>0.5</x:v>
      </x:c>
      <x:c r="K37" s="23" t="n">
        <x:f>MAX(0,MIN(1,(E37-'总览与权重'!$B$18)/('总览与权重'!$C$18-'总览与权重'!$B$18)))</x:f>
        <x:v>0</x:v>
      </x:c>
      <x:c r="L37" s="23" t="n">
        <x:f>MAX(0,MIN(1,(F37-'总览与权重'!$B$19)/('总览与权重'!$C$19-'总览与权重'!$B$19)))</x:f>
        <x:v>0</x:v>
      </x:c>
      <x:c r="M37" s="23" t="n">
        <x:f>MAX(0,MIN(1,(G37-'总览与权重'!$B$20)/('总览与权重'!$C$20-'总览与权重'!$B$20)))</x:f>
        <x:v>0</x:v>
      </x:c>
      <x:c r="N37" s="23" t="n">
        <x:f>J37</x:f>
        <x:v>0.5</x:v>
      </x:c>
      <x:c r="O37" s="22" t="str">
        <x:v>否</x:v>
      </x:c>
      <x:c r="P37" s="22" t="str">
        <x:v>NA</x:v>
      </x:c>
      <x:c r="Q37" s="22" t="str">
        <x:v>NA</x:v>
      </x:c>
      <x:c r="R37" s="22" t="str">
        <x:v>NA</x:v>
      </x:c>
      <x:c r="S37" s="23" t="str">
        <x:f>IF(O37="是",MAX(0,MIN(1,(P37-'总览与权重'!$B$21)/('总览与权重'!$C$21-'总览与权重'!$B$21))),"NA")</x:f>
        <x:v>NA</x:v>
      </x:c>
      <x:c r="T37" s="23" t="str">
        <x:f>IF(O37="是",MAX(0,MIN(1,(Q37-'总览与权重'!$B$22)/('总览与权重'!$C$22-'总览与权重'!$B$22))),"NA")</x:f>
        <x:v>NA</x:v>
      </x:c>
      <x:c r="U37" s="23" t="str">
        <x:f>IF(O37="是",MAX(0,MIN(1,(R37-'总览与权重'!$B$23)/('总览与权重'!$C$23-'总览与权重'!$B$23))),"NA")</x:f>
        <x:v>NA</x:v>
      </x:c>
      <x:c r="V37" s="23" t="str">
        <x:f>IF(O37="是",J37,"NA")</x:f>
        <x:v>NA</x:v>
      </x:c>
      <x:c r="W37" s="22" t="str">
        <x:v>无完整领域最早before配对</x:v>
      </x:c>
      <x:c r="X37" s="22" t="n">
        <x:v>1</x:v>
      </x:c>
      <x:c r="Y37" s="22" t="n">
        <x:v>0</x:v>
      </x:c>
      <x:c r="Z37" s="22" t="n">
        <x:v>0</x:v>
      </x:c>
      <x:c r="AA37" s="22" t="n">
        <x:v>0</x:v>
      </x:c>
      <x:c r="AB37" s="22" t="str">
        <x:v>知识点理解与概念探究；正向评价（不计能力分）</x:v>
      </x:c>
      <x:c r="AC37" s="22" t="str">
        <x:v>NA</x:v>
      </x:c>
      <x:c r="AD37" s="22" t="str">
        <x:v>NA</x:v>
      </x:c>
      <x:c r="AE37" s="22" t="str">
        <x:v>["S0292"]</x:v>
      </x:c>
      <x:c r="AF37" s="22" t="str">
        <x:v>["2025秋:2025秋-数学模型-问答记录导出20260502导出_已标注_已更新.xlsx:问答记录:300"]</x:v>
      </x:c>
      <x:c r="AG37" s="22" t="str">
        <x:v>evidence/student_evidence.jsonl；student_key=2025秋:258908</x:v>
      </x:c>
      <x:c r="AH37" s="27" t="str">
        <x:v>同一锚点起止1条：未形成独立重复测量。</x:v>
      </x:c>
    </x:row>
    <x:row r="38" ht="23" customHeight="1">
      <x:c r="A38" s="21" t="str">
        <x:v>2025秋:258911</x:v>
      </x:c>
      <x:c r="B38" s="22" t="str">
        <x:v>s3</x:v>
      </x:c>
      <x:c r="C38" s="24" t="n">
        <x:v>1</x:v>
      </x:c>
      <x:c r="D38" s="24" t="n">
        <x:v>1</x:v>
      </x:c>
      <x:c r="E38" s="22" t="n">
        <x:v>0</x:v>
      </x:c>
      <x:c r="F38" s="22" t="n">
        <x:v>0</x:v>
      </x:c>
      <x:c r="G38" s="22" t="n">
        <x:v>0</x:v>
      </x:c>
      <x:c r="H38" s="24" t="n">
        <x:v>1</x:v>
      </x:c>
      <x:c r="I38" s="24" t="n">
        <x:v>1</x:v>
      </x:c>
      <x:c r="J38" s="23" t="n">
        <x:f>IF(I38&gt;0,H38/I38,"NA")</x:f>
        <x:v>1</x:v>
      </x:c>
      <x:c r="K38" s="23" t="n">
        <x:f>MAX(0,MIN(1,(E38-'总览与权重'!$B$18)/('总览与权重'!$C$18-'总览与权重'!$B$18)))</x:f>
        <x:v>0</x:v>
      </x:c>
      <x:c r="L38" s="23" t="n">
        <x:f>MAX(0,MIN(1,(F38-'总览与权重'!$B$19)/('总览与权重'!$C$19-'总览与权重'!$B$19)))</x:f>
        <x:v>0</x:v>
      </x:c>
      <x:c r="M38" s="23" t="n">
        <x:f>MAX(0,MIN(1,(G38-'总览与权重'!$B$20)/('总览与权重'!$C$20-'总览与权重'!$B$20)))</x:f>
        <x:v>0</x:v>
      </x:c>
      <x:c r="N38" s="23" t="n">
        <x:f>J38</x:f>
        <x:v>1</x:v>
      </x:c>
      <x:c r="O38" s="22" t="str">
        <x:v>是</x:v>
      </x:c>
      <x:c r="P38" s="22" t="n">
        <x:v>-0.05166897418072275</x:v>
      </x:c>
      <x:c r="Q38" s="22" t="n">
        <x:v>-0.06458621772590344</x:v>
      </x:c>
      <x:c r="R38" s="22" t="n">
        <x:v>-0.06458621772590344</x:v>
      </x:c>
      <x:c r="S38" s="23" t="n">
        <x:f>IF(O38="是",MAX(0,MIN(1,(P38-'总览与权重'!$B$21)/('总览与权重'!$C$21-'总览与权重'!$B$21))),"NA")</x:f>
        <x:v>0.4978471260758032</x:v>
      </x:c>
      <x:c r="T38" s="23" t="n">
        <x:f>IF(O38="是",MAX(0,MIN(1,(Q38-'总览与权重'!$B$22)/('总览与权重'!$C$22-'总览与权重'!$B$22))),"NA")</x:f>
        <x:v>0.4677068911370483</x:v>
      </x:c>
      <x:c r="U38" s="23" t="n">
        <x:f>IF(O38="是",MAX(0,MIN(1,(R38-'总览与权重'!$B$23)/('总览与权重'!$C$23-'总览与权重'!$B$23))),"NA")</x:f>
        <x:v>0.4677068911370483</x:v>
      </x:c>
      <x:c r="V38" s="23" t="n">
        <x:f>IF(O38="是",J38,"NA")</x:f>
        <x:v>1</x:v>
      </x:c>
      <x:c r="W38" s="22" t="str">
        <x:v>完整</x:v>
      </x:c>
      <x:c r="X38" s="22" t="n">
        <x:v>2</x:v>
      </x:c>
      <x:c r="Y38" s="22" t="n">
        <x:v>0.6321205588285577</x:v>
      </x:c>
      <x:c r="Z38" s="22" t="n">
        <x:v>0</x:v>
      </x:c>
      <x:c r="AA38" s="22" t="n">
        <x:v>0</x:v>
      </x:c>
      <x:c r="AB38" s="22" t="str">
        <x:v>知识点理解与概念探究；正向评价（不计能力分）</x:v>
      </x:c>
      <x:c r="AC38" s="22" t="str">
        <x:v>NA</x:v>
      </x:c>
      <x:c r="AD38" s="22" t="str">
        <x:v>NA</x:v>
      </x:c>
      <x:c r="AE38" s="22" t="str">
        <x:v>["S0400"]</x:v>
      </x:c>
      <x:c r="AF38" s="22" t="str">
        <x:v>["2025秋:2025秋-数学模型-问答记录导出20260502导出_已标注_已更新.xlsx:问答记录:411"]</x:v>
      </x:c>
      <x:c r="AG38" s="22" t="str">
        <x:v>evidence/student_evidence.jsonl；student_key=2025秋:258911</x:v>
      </x:c>
      <x:c r="AH38" s="27" t="str"/>
    </x:row>
    <x:row r="39" ht="23" customHeight="1">
      <x:c r="A39" s="21" t="str">
        <x:v>2025秋:258912</x:v>
      </x:c>
      <x:c r="B39" s="22" t="str">
        <x:v>s3</x:v>
      </x:c>
      <x:c r="C39" s="24" t="n">
        <x:v>1</x:v>
      </x:c>
      <x:c r="D39" s="24" t="n">
        <x:v>1</x:v>
      </x:c>
      <x:c r="E39" s="22" t="n">
        <x:v>0</x:v>
      </x:c>
      <x:c r="F39" s="22" t="n">
        <x:v>0</x:v>
      </x:c>
      <x:c r="G39" s="22" t="n">
        <x:v>0</x:v>
      </x:c>
      <x:c r="H39" s="24" t="n">
        <x:v>1</x:v>
      </x:c>
      <x:c r="I39" s="24" t="n">
        <x:v>2</x:v>
      </x:c>
      <x:c r="J39" s="23" t="n">
        <x:f>IF(I39&gt;0,H39/I39,"NA")</x:f>
        <x:v>0.5</x:v>
      </x:c>
      <x:c r="K39" s="23" t="n">
        <x:f>MAX(0,MIN(1,(E39-'总览与权重'!$B$18)/('总览与权重'!$C$18-'总览与权重'!$B$18)))</x:f>
        <x:v>0</x:v>
      </x:c>
      <x:c r="L39" s="23" t="n">
        <x:f>MAX(0,MIN(1,(F39-'总览与权重'!$B$19)/('总览与权重'!$C$19-'总览与权重'!$B$19)))</x:f>
        <x:v>0</x:v>
      </x:c>
      <x:c r="M39" s="23" t="n">
        <x:f>MAX(0,MIN(1,(G39-'总览与权重'!$B$20)/('总览与权重'!$C$20-'总览与权重'!$B$20)))</x:f>
        <x:v>0</x:v>
      </x:c>
      <x:c r="N39" s="23" t="n">
        <x:f>J39</x:f>
        <x:v>0.5</x:v>
      </x:c>
      <x:c r="O39" s="22" t="str">
        <x:v>是</x:v>
      </x:c>
      <x:c r="P39" s="22" t="n">
        <x:v>-0.13683228565235026</x:v>
      </x:c>
      <x:c r="Q39" s="22" t="n">
        <x:v>-0.13683228565235026</x:v>
      </x:c>
      <x:c r="R39" s="22" t="n">
        <x:v>-0.13683228565235026</x:v>
      </x:c>
      <x:c r="S39" s="23" t="n">
        <x:f>IF(O39="是",MAX(0,MIN(1,(P39-'总览与权重'!$B$21)/('总览与权重'!$C$21-'总览与权重'!$B$21))),"NA")</x:f>
        <x:v>0.4942986547644854</x:v>
      </x:c>
      <x:c r="T39" s="23" t="n">
        <x:f>IF(O39="是",MAX(0,MIN(1,(Q39-'总览与权重'!$B$22)/('总览与权重'!$C$22-'总览与权重'!$B$22))),"NA")</x:f>
        <x:v>0.43158385717382486</x:v>
      </x:c>
      <x:c r="U39" s="23" t="n">
        <x:f>IF(O39="是",MAX(0,MIN(1,(R39-'总览与权重'!$B$23)/('总览与权重'!$C$23-'总览与权重'!$B$23))),"NA")</x:f>
        <x:v>0.43158385717382486</x:v>
      </x:c>
      <x:c r="V39" s="23" t="n">
        <x:f>IF(O39="是",J39,"NA")</x:f>
        <x:v>0.5</x:v>
      </x:c>
      <x:c r="W39" s="22" t="str">
        <x:v>完整</x:v>
      </x:c>
      <x:c r="X39" s="22" t="n">
        <x:v>1</x:v>
      </x:c>
      <x:c r="Y39" s="22" t="n">
        <x:v>0</x:v>
      </x:c>
      <x:c r="Z39" s="22" t="n">
        <x:v>0</x:v>
      </x:c>
      <x:c r="AA39" s="22" t="n">
        <x:v>0</x:v>
      </x:c>
      <x:c r="AB39" s="22" t="str">
        <x:v>模型方法选择与问题求解；正向评价（不计能力分）</x:v>
      </x:c>
      <x:c r="AC39" s="22" t="str">
        <x:v>NA</x:v>
      </x:c>
      <x:c r="AD39" s="22" t="str">
        <x:v>NA</x:v>
      </x:c>
      <x:c r="AE39" s="22" t="str">
        <x:v>["S0092"]</x:v>
      </x:c>
      <x:c r="AF39" s="22" t="str">
        <x:v>["2025秋:2025秋-数学模型-问答记录导出20260502导出_已标注_已更新.xlsx:问答记录:95"]</x:v>
      </x:c>
      <x:c r="AG39" s="22" t="str">
        <x:v>evidence/student_evidence.jsonl；student_key=2025秋:258912</x:v>
      </x:c>
      <x:c r="AH39" s="27" t="str"/>
    </x:row>
    <x:row r="40" ht="23" customHeight="1">
      <x:c r="A40" s="21" t="str">
        <x:v>2025秋:258917</x:v>
      </x:c>
      <x:c r="B40" s="22" t="str">
        <x:v>s3</x:v>
      </x:c>
      <x:c r="C40" s="24" t="n">
        <x:v>1</x:v>
      </x:c>
      <x:c r="D40" s="24" t="n">
        <x:v>1</x:v>
      </x:c>
      <x:c r="E40" s="22" t="n">
        <x:v>0.1232623857623858</x:v>
      </x:c>
      <x:c r="F40" s="22" t="n">
        <x:v>0.1232623857623858</x:v>
      </x:c>
      <x:c r="G40" s="22" t="n">
        <x:v>0.1232623857623858</x:v>
      </x:c>
      <x:c r="H40" s="24" t="n">
        <x:v>3</x:v>
      </x:c>
      <x:c r="I40" s="24" t="n">
        <x:v>3</x:v>
      </x:c>
      <x:c r="J40" s="23" t="n">
        <x:f>IF(I40&gt;0,H40/I40,"NA")</x:f>
        <x:v>1</x:v>
      </x:c>
      <x:c r="K40" s="23" t="n">
        <x:f>MAX(0,MIN(1,(E40-'总览与权重'!$B$18)/('总览与权重'!$C$18-'总览与权重'!$B$18)))</x:f>
        <x:v>0.010271865480198816</x:v>
      </x:c>
      <x:c r="L40" s="23" t="n">
        <x:f>MAX(0,MIN(1,(F40-'总览与权重'!$B$19)/('总览与权重'!$C$19-'总览与权重'!$B$19)))</x:f>
        <x:v>0.1232623857623858</x:v>
      </x:c>
      <x:c r="M40" s="23" t="n">
        <x:f>MAX(0,MIN(1,(G40-'总览与权重'!$B$20)/('总览与权重'!$C$20-'总览与权重'!$B$20)))</x:f>
        <x:v>0.1232623857623858</x:v>
      </x:c>
      <x:c r="N40" s="23" t="n">
        <x:f>J40</x:f>
        <x:v>1</x:v>
      </x:c>
      <x:c r="O40" s="22" t="str">
        <x:v>是</x:v>
      </x:c>
      <x:c r="P40" s="22" t="n">
        <x:v>-0.01356989988996446</x:v>
      </x:c>
      <x:c r="Q40" s="22" t="n">
        <x:v>-0.01356989988996446</x:v>
      </x:c>
      <x:c r="R40" s="22" t="n">
        <x:v>-0.01356989988996446</x:v>
      </x:c>
      <x:c r="S40" s="23" t="n">
        <x:f>IF(O40="是",MAX(0,MIN(1,(P40-'总览与权重'!$B$21)/('总览与权重'!$C$21-'总览与权重'!$B$21))),"NA")</x:f>
        <x:v>0.49943458750458486</x:v>
      </x:c>
      <x:c r="T40" s="23" t="n">
        <x:f>IF(O40="是",MAX(0,MIN(1,(Q40-'总览与权重'!$B$22)/('总览与权重'!$C$22-'总览与权重'!$B$22))),"NA")</x:f>
        <x:v>0.49321505005501776</x:v>
      </x:c>
      <x:c r="U40" s="23" t="n">
        <x:f>IF(O40="是",MAX(0,MIN(1,(R40-'总览与权重'!$B$23)/('总览与权重'!$C$23-'总览与权重'!$B$23))),"NA")</x:f>
        <x:v>0.49321505005501776</x:v>
      </x:c>
      <x:c r="V40" s="23" t="n">
        <x:f>IF(O40="是",J40,"NA")</x:f>
        <x:v>1</x:v>
      </x:c>
      <x:c r="W40" s="22" t="str">
        <x:v>完整</x:v>
      </x:c>
      <x:c r="X40" s="22" t="n">
        <x:v>2</x:v>
      </x:c>
      <x:c r="Y40" s="22" t="n">
        <x:v>0.6321205588285577</x:v>
      </x:c>
      <x:c r="Z40" s="22" t="n">
        <x:v>0.3</x:v>
      </x:c>
      <x:c r="AA40" s="22" t="n">
        <x:v>0.666666666667</x:v>
      </x:c>
      <x:c r="AB40" s="22" t="str">
        <x:v>知识点理解与概念探究；正向评价（不计能力分）</x:v>
      </x:c>
      <x:c r="AC40" s="22" t="str">
        <x:v>NA</x:v>
      </x:c>
      <x:c r="AD40" s="22" t="str">
        <x:v>NA</x:v>
      </x:c>
      <x:c r="AE40" s="22" t="str">
        <x:v>["S0021"]</x:v>
      </x:c>
      <x:c r="AF40" s="22" t="str">
        <x:v>["2025秋:2025秋-数学模型-问答记录导出20260502导出_已标注_已更新.xlsx:问答记录:23"]</x:v>
      </x:c>
      <x:c r="AG40" s="22" t="str">
        <x:v>evidence/student_evidence.jsonl；student_key=2025秋:258917</x:v>
      </x:c>
      <x:c r="AH40" s="27" t="str"/>
    </x:row>
    <x:row r="41" ht="48" customHeight="1">
      <x:c r="A41" s="21" t="str">
        <x:v>2025秋:258918</x:v>
      </x:c>
      <x:c r="B41" s="22" t="str">
        <x:v>s3</x:v>
      </x:c>
      <x:c r="C41" s="24" t="n">
        <x:v>1</x:v>
      </x:c>
      <x:c r="D41" s="24" t="n">
        <x:v>1</x:v>
      </x:c>
      <x:c r="E41" s="22" t="n">
        <x:v>0</x:v>
      </x:c>
      <x:c r="F41" s="22" t="n">
        <x:v>0</x:v>
      </x:c>
      <x:c r="G41" s="22" t="n">
        <x:v>0</x:v>
      </x:c>
      <x:c r="H41" s="24" t="n">
        <x:v>1</x:v>
      </x:c>
      <x:c r="I41" s="24" t="n">
        <x:v>2</x:v>
      </x:c>
      <x:c r="J41" s="23" t="n">
        <x:f>IF(I41&gt;0,H41/I41,"NA")</x:f>
        <x:v>0.5</x:v>
      </x:c>
      <x:c r="K41" s="23" t="n">
        <x:f>MAX(0,MIN(1,(E41-'总览与权重'!$B$18)/('总览与权重'!$C$18-'总览与权重'!$B$18)))</x:f>
        <x:v>0</x:v>
      </x:c>
      <x:c r="L41" s="23" t="n">
        <x:f>MAX(0,MIN(1,(F41-'总览与权重'!$B$19)/('总览与权重'!$C$19-'总览与权重'!$B$19)))</x:f>
        <x:v>0</x:v>
      </x:c>
      <x:c r="M41" s="23" t="n">
        <x:f>MAX(0,MIN(1,(G41-'总览与权重'!$B$20)/('总览与权重'!$C$20-'总览与权重'!$B$20)))</x:f>
        <x:v>0</x:v>
      </x:c>
      <x:c r="N41" s="23" t="n">
        <x:f>J41</x:f>
        <x:v>0.5</x:v>
      </x:c>
      <x:c r="O41" s="22" t="str">
        <x:v>否</x:v>
      </x:c>
      <x:c r="P41" s="22" t="str">
        <x:v>NA</x:v>
      </x:c>
      <x:c r="Q41" s="22" t="str">
        <x:v>NA</x:v>
      </x:c>
      <x:c r="R41" s="22" t="str">
        <x:v>NA</x:v>
      </x:c>
      <x:c r="S41" s="23" t="str">
        <x:f>IF(O41="是",MAX(0,MIN(1,(P41-'总览与权重'!$B$21)/('总览与权重'!$C$21-'总览与权重'!$B$21))),"NA")</x:f>
        <x:v>NA</x:v>
      </x:c>
      <x:c r="T41" s="23" t="str">
        <x:f>IF(O41="是",MAX(0,MIN(1,(Q41-'总览与权重'!$B$22)/('总览与权重'!$C$22-'总览与权重'!$B$22))),"NA")</x:f>
        <x:v>NA</x:v>
      </x:c>
      <x:c r="U41" s="23" t="str">
        <x:f>IF(O41="是",MAX(0,MIN(1,(R41-'总览与权重'!$B$23)/('总览与权重'!$C$23-'总览与权重'!$B$23))),"NA")</x:f>
        <x:v>NA</x:v>
      </x:c>
      <x:c r="V41" s="23" t="str">
        <x:f>IF(O41="是",J41,"NA")</x:f>
        <x:v>NA</x:v>
      </x:c>
      <x:c r="W41" s="22" t="str">
        <x:v>无完整领域最早before配对</x:v>
      </x:c>
      <x:c r="X41" s="22" t="n">
        <x:v>1</x:v>
      </x:c>
      <x:c r="Y41" s="22" t="n">
        <x:v>0</x:v>
      </x:c>
      <x:c r="Z41" s="22" t="n">
        <x:v>0</x:v>
      </x:c>
      <x:c r="AA41" s="22" t="n">
        <x:v>0</x:v>
      </x:c>
      <x:c r="AB41" s="22" t="str">
        <x:v>课程答疑复习与资源使用；正向评价（不计能力分）</x:v>
      </x:c>
      <x:c r="AC41" s="22" t="str">
        <x:v>NA</x:v>
      </x:c>
      <x:c r="AD41" s="22" t="str">
        <x:v>NA</x:v>
      </x:c>
      <x:c r="AE41" s="22" t="str">
        <x:v>["S0287"]</x:v>
      </x:c>
      <x:c r="AF41" s="22" t="str">
        <x:v>["2025秋:2025秋-数学模型-问答记录导出20260502导出_已标注_已更新.xlsx:问答记录:295"]</x:v>
      </x:c>
      <x:c r="AG41" s="22" t="str">
        <x:v>evidence/student_evidence.jsonl；student_key=2025秋:258918</x:v>
      </x:c>
      <x:c r="AH41" s="27" t="str">
        <x:v>同一锚点起止1条：未形成独立重复测量。</x:v>
      </x:c>
    </x:row>
    <x:row r="42" ht="23" customHeight="1">
      <x:c r="A42" s="21" t="str">
        <x:v>2025秋:258922</x:v>
      </x:c>
      <x:c r="B42" s="22" t="str">
        <x:v>s3</x:v>
      </x:c>
      <x:c r="C42" s="24" t="n">
        <x:v>1</x:v>
      </x:c>
      <x:c r="D42" s="24" t="n">
        <x:v>1</x:v>
      </x:c>
      <x:c r="E42" s="22" t="n">
        <x:v>0.3810004146110808</x:v>
      </x:c>
      <x:c r="F42" s="22" t="n">
        <x:v>0.3810004146110808</x:v>
      </x:c>
      <x:c r="G42" s="22" t="n">
        <x:v>0.3810004146110808</x:v>
      </x:c>
      <x:c r="H42" s="24" t="n">
        <x:v>1</x:v>
      </x:c>
      <x:c r="I42" s="24" t="n">
        <x:v>1</x:v>
      </x:c>
      <x:c r="J42" s="23" t="n">
        <x:f>IF(I42&gt;0,H42/I42,"NA")</x:f>
        <x:v>1</x:v>
      </x:c>
      <x:c r="K42" s="23" t="n">
        <x:f>MAX(0,MIN(1,(E42-'总览与权重'!$B$18)/('总览与权重'!$C$18-'总览与权重'!$B$18)))</x:f>
        <x:v>0.0317500345509234</x:v>
      </x:c>
      <x:c r="L42" s="23" t="n">
        <x:f>MAX(0,MIN(1,(F42-'总览与权重'!$B$19)/('总览与权重'!$C$19-'总览与权重'!$B$19)))</x:f>
        <x:v>0.3810004146110808</x:v>
      </x:c>
      <x:c r="M42" s="23" t="n">
        <x:f>MAX(0,MIN(1,(G42-'总览与权重'!$B$20)/('总览与权重'!$C$20-'总览与权重'!$B$20)))</x:f>
        <x:v>0.3810004146110808</x:v>
      </x:c>
      <x:c r="N42" s="23" t="n">
        <x:f>J42</x:f>
        <x:v>1</x:v>
      </x:c>
      <x:c r="O42" s="22" t="str">
        <x:v>是</x:v>
      </x:c>
      <x:c r="P42" s="22" t="n">
        <x:v>0.24416812895873055</x:v>
      </x:c>
      <x:c r="Q42" s="22" t="n">
        <x:v>0.24416812895873055</x:v>
      </x:c>
      <x:c r="R42" s="22" t="n">
        <x:v>0.24416812895873055</x:v>
      </x:c>
      <x:c r="S42" s="23" t="n">
        <x:f>IF(O42="是",MAX(0,MIN(1,(P42-'总览与权重'!$B$21)/('总览与权重'!$C$21-'总览与权重'!$B$21))),"NA")</x:f>
        <x:v>0.5101736720399471</x:v>
      </x:c>
      <x:c r="T42" s="23" t="n">
        <x:f>IF(O42="是",MAX(0,MIN(1,(Q42-'总览与权重'!$B$22)/('总览与权重'!$C$22-'总览与权重'!$B$22))),"NA")</x:f>
        <x:v>0.6220840644793653</x:v>
      </x:c>
      <x:c r="U42" s="23" t="n">
        <x:f>IF(O42="是",MAX(0,MIN(1,(R42-'总览与权重'!$B$23)/('总览与权重'!$C$23-'总览与权重'!$B$23))),"NA")</x:f>
        <x:v>0.6220840644793653</x:v>
      </x:c>
      <x:c r="V42" s="23" t="n">
        <x:f>IF(O42="是",J42,"NA")</x:f>
        <x:v>1</x:v>
      </x:c>
      <x:c r="W42" s="22" t="str">
        <x:v>完整</x:v>
      </x:c>
      <x:c r="X42" s="22" t="n">
        <x:v>2</x:v>
      </x:c>
      <x:c r="Y42" s="22" t="n">
        <x:v>0.6321205588285577</x:v>
      </x:c>
      <x:c r="Z42" s="22" t="n">
        <x:v>-0.25</x:v>
      </x:c>
      <x:c r="AA42" s="22" t="n">
        <x:v>-0.119047619048</x:v>
      </x:c>
      <x:c r="AB42" s="22" t="str">
        <x:v>知识点理解与概念探究；无明确评价（不计能力分）</x:v>
      </x:c>
      <x:c r="AC42" s="22" t="str">
        <x:v>NA</x:v>
      </x:c>
      <x:c r="AD42" s="22" t="str">
        <x:v>NA</x:v>
      </x:c>
      <x:c r="AE42" s="22" t="str">
        <x:v>["S0351"]</x:v>
      </x:c>
      <x:c r="AF42" s="22" t="str">
        <x:v>["2025秋:2025秋-数学模型-问答记录导出20260502导出_已标注_已更新.xlsx:问答记录:360"]</x:v>
      </x:c>
      <x:c r="AG42" s="22" t="str">
        <x:v>evidence/student_evidence.jsonl；student_key=2025秋:258922</x:v>
      </x:c>
      <x:c r="AH42" s="27" t="str"/>
    </x:row>
    <x:row r="43" ht="48" customHeight="1">
      <x:c r="A43" s="21" t="str">
        <x:v>2025秋:258923</x:v>
      </x:c>
      <x:c r="B43" s="22" t="str">
        <x:v>s3</x:v>
      </x:c>
      <x:c r="C43" s="24" t="n">
        <x:v>1</x:v>
      </x:c>
      <x:c r="D43" s="24" t="n">
        <x:v>1</x:v>
      </x:c>
      <x:c r="E43" s="22" t="n">
        <x:v>0</x:v>
      </x:c>
      <x:c r="F43" s="22" t="n">
        <x:v>0</x:v>
      </x:c>
      <x:c r="G43" s="22" t="n">
        <x:v>0</x:v>
      </x:c>
      <x:c r="H43" s="24" t="n">
        <x:v>1</x:v>
      </x:c>
      <x:c r="I43" s="24" t="n">
        <x:v>2</x:v>
      </x:c>
      <x:c r="J43" s="23" t="n">
        <x:f>IF(I43&gt;0,H43/I43,"NA")</x:f>
        <x:v>0.5</x:v>
      </x:c>
      <x:c r="K43" s="23" t="n">
        <x:f>MAX(0,MIN(1,(E43-'总览与权重'!$B$18)/('总览与权重'!$C$18-'总览与权重'!$B$18)))</x:f>
        <x:v>0</x:v>
      </x:c>
      <x:c r="L43" s="23" t="n">
        <x:f>MAX(0,MIN(1,(F43-'总览与权重'!$B$19)/('总览与权重'!$C$19-'总览与权重'!$B$19)))</x:f>
        <x:v>0</x:v>
      </x:c>
      <x:c r="M43" s="23" t="n">
        <x:f>MAX(0,MIN(1,(G43-'总览与权重'!$B$20)/('总览与权重'!$C$20-'总览与权重'!$B$20)))</x:f>
        <x:v>0</x:v>
      </x:c>
      <x:c r="N43" s="23" t="n">
        <x:f>J43</x:f>
        <x:v>0.5</x:v>
      </x:c>
      <x:c r="O43" s="22" t="str">
        <x:v>是</x:v>
      </x:c>
      <x:c r="P43" s="22" t="n">
        <x:v>-0.13683228565235026</x:v>
      </x:c>
      <x:c r="Q43" s="22" t="n">
        <x:v>-0.13683228565235026</x:v>
      </x:c>
      <x:c r="R43" s="22" t="n">
        <x:v>-0.13683228565235026</x:v>
      </x:c>
      <x:c r="S43" s="23" t="n">
        <x:f>IF(O43="是",MAX(0,MIN(1,(P43-'总览与权重'!$B$21)/('总览与权重'!$C$21-'总览与权重'!$B$21))),"NA")</x:f>
        <x:v>0.4942986547644854</x:v>
      </x:c>
      <x:c r="T43" s="23" t="n">
        <x:f>IF(O43="是",MAX(0,MIN(1,(Q43-'总览与权重'!$B$22)/('总览与权重'!$C$22-'总览与权重'!$B$22))),"NA")</x:f>
        <x:v>0.43158385717382486</x:v>
      </x:c>
      <x:c r="U43" s="23" t="n">
        <x:f>IF(O43="是",MAX(0,MIN(1,(R43-'总览与权重'!$B$23)/('总览与权重'!$C$23-'总览与权重'!$B$23))),"NA")</x:f>
        <x:v>0.43158385717382486</x:v>
      </x:c>
      <x:c r="V43" s="23" t="n">
        <x:f>IF(O43="是",J43,"NA")</x:f>
        <x:v>0.5</x:v>
      </x:c>
      <x:c r="W43" s="22" t="str">
        <x:v>完整</x:v>
      </x:c>
      <x:c r="X43" s="22" t="n">
        <x:v>2</x:v>
      </x:c>
      <x:c r="Y43" s="22" t="n">
        <x:v>0.6321205588285577</x:v>
      </x:c>
      <x:c r="Z43" s="22" t="n">
        <x:v>0</x:v>
      </x:c>
      <x:c r="AA43" s="22" t="n">
        <x:v>0</x:v>
      </x:c>
      <x:c r="AB43" s="22" t="str">
        <x:v>知识点理解与概念探究；无明确评价（不计能力分）</x:v>
      </x:c>
      <x:c r="AC43" s="22" t="str">
        <x:v>NA</x:v>
      </x:c>
      <x:c r="AD43" s="22" t="str">
        <x:v>NA</x:v>
      </x:c>
      <x:c r="AE43" s="22" t="str">
        <x:v>["S0120"]</x:v>
      </x:c>
      <x:c r="AF43" s="22" t="str">
        <x:v>["2025秋:2025秋-数学模型-问答记录导出20260502导出_已标注_已更新.xlsx:问答记录:123"]</x:v>
      </x:c>
      <x:c r="AG43" s="22" t="str">
        <x:v>evidence/student_evidence.jsonl；student_key=2025秋:258923</x:v>
      </x:c>
      <x:c r="AH43" s="27" t="str">
        <x:v>同一锚点起止1条：未形成独立重复测量。</x:v>
      </x:c>
    </x:row>
    <x:row r="44" ht="23" customHeight="1">
      <x:c r="A44" s="21" t="str">
        <x:v>2025秋:258924</x:v>
      </x:c>
      <x:c r="B44" s="22" t="str">
        <x:v>s3</x:v>
      </x:c>
      <x:c r="C44" s="24" t="n">
        <x:v>1</x:v>
      </x:c>
      <x:c r="D44" s="24" t="n">
        <x:v>1</x:v>
      </x:c>
      <x:c r="E44" s="22" t="n">
        <x:v>0.3523822742847367</x:v>
      </x:c>
      <x:c r="F44" s="22" t="n">
        <x:v>0.3523822742847367</x:v>
      </x:c>
      <x:c r="G44" s="22" t="n">
        <x:v>0.3523822742847367</x:v>
      </x:c>
      <x:c r="H44" s="24" t="n">
        <x:v>1</x:v>
      </x:c>
      <x:c r="I44" s="24" t="n">
        <x:v>1</x:v>
      </x:c>
      <x:c r="J44" s="23" t="n">
        <x:f>IF(I44&gt;0,H44/I44,"NA")</x:f>
        <x:v>1</x:v>
      </x:c>
      <x:c r="K44" s="23" t="n">
        <x:f>MAX(0,MIN(1,(E44-'总览与权重'!$B$18)/('总览与权重'!$C$18-'总览与权重'!$B$18)))</x:f>
        <x:v>0.029365189523728057</x:v>
      </x:c>
      <x:c r="L44" s="23" t="n">
        <x:f>MAX(0,MIN(1,(F44-'总览与权重'!$B$19)/('总览与权重'!$C$19-'总览与权重'!$B$19)))</x:f>
        <x:v>0.3523822742847367</x:v>
      </x:c>
      <x:c r="M44" s="23" t="n">
        <x:f>MAX(0,MIN(1,(G44-'总览与权重'!$B$20)/('总览与权重'!$C$20-'总览与权重'!$B$20)))</x:f>
        <x:v>0.3523822742847367</x:v>
      </x:c>
      <x:c r="N44" s="23" t="n">
        <x:f>J44</x:f>
        <x:v>1</x:v>
      </x:c>
      <x:c r="O44" s="22" t="str">
        <x:v>是</x:v>
      </x:c>
      <x:c r="P44" s="22" t="n">
        <x:v>0.21557834752864694</x:v>
      </x:c>
      <x:c r="Q44" s="22" t="n">
        <x:v>0.21557834752864694</x:v>
      </x:c>
      <x:c r="R44" s="22" t="n">
        <x:v>0.21557834752864694</x:v>
      </x:c>
      <x:c r="S44" s="23" t="n">
        <x:f>IF(O44="是",MAX(0,MIN(1,(P44-'总览与权重'!$B$21)/('总览与权重'!$C$21-'总览与权重'!$B$21))),"NA")</x:f>
        <x:v>0.5089824311470269</x:v>
      </x:c>
      <x:c r="T44" s="23" t="n">
        <x:f>IF(O44="是",MAX(0,MIN(1,(Q44-'总览与权重'!$B$22)/('总览与权重'!$C$22-'总览与权重'!$B$22))),"NA")</x:f>
        <x:v>0.6077891737643235</x:v>
      </x:c>
      <x:c r="U44" s="23" t="n">
        <x:f>IF(O44="是",MAX(0,MIN(1,(R44-'总览与权重'!$B$23)/('总览与权重'!$C$23-'总览与权重'!$B$23))),"NA")</x:f>
        <x:v>0.6077891737643235</x:v>
      </x:c>
      <x:c r="V44" s="23" t="n">
        <x:f>IF(O44="是",J44,"NA")</x:f>
        <x:v>1</x:v>
      </x:c>
      <x:c r="W44" s="22" t="str">
        <x:v>完整</x:v>
      </x:c>
      <x:c r="X44" s="22" t="n">
        <x:v>2</x:v>
      </x:c>
      <x:c r="Y44" s="22" t="n">
        <x:v>0.6321205588285577</x:v>
      </x:c>
      <x:c r="Z44" s="22" t="n">
        <x:v>-0.25</x:v>
      </x:c>
      <x:c r="AA44" s="22" t="n">
        <x:v>-0.119047619048</x:v>
      </x:c>
      <x:c r="AB44" s="22" t="str">
        <x:v>课程答疑复习与资源使用；无明确评价（不计能力分）</x:v>
      </x:c>
      <x:c r="AC44" s="22" t="str">
        <x:v>NA</x:v>
      </x:c>
      <x:c r="AD44" s="22" t="str">
        <x:v>NA</x:v>
      </x:c>
      <x:c r="AE44" s="22" t="str">
        <x:v>["S0075"]</x:v>
      </x:c>
      <x:c r="AF44" s="22" t="str">
        <x:v>["2025秋:2025秋-数学模型-问答记录导出20260502导出_已标注_已更新.xlsx:问答记录:78"]</x:v>
      </x:c>
      <x:c r="AG44" s="22" t="str">
        <x:v>evidence/student_evidence.jsonl；student_key=2025秋:258924</x:v>
      </x:c>
      <x:c r="AH44" s="27" t="str"/>
    </x:row>
    <x:row r="45" ht="48" customHeight="1">
      <x:c r="A45" s="21" t="str">
        <x:v>2025秋:258927</x:v>
      </x:c>
      <x:c r="B45" s="22" t="str">
        <x:v>s3</x:v>
      </x:c>
      <x:c r="C45" s="24" t="n">
        <x:v>1</x:v>
      </x:c>
      <x:c r="D45" s="24" t="n">
        <x:v>1</x:v>
      </x:c>
      <x:c r="E45" s="22" t="n">
        <x:v>0</x:v>
      </x:c>
      <x:c r="F45" s="22" t="n">
        <x:v>0</x:v>
      </x:c>
      <x:c r="G45" s="22" t="n">
        <x:v>0</x:v>
      </x:c>
      <x:c r="H45" s="24" t="n">
        <x:v>1</x:v>
      </x:c>
      <x:c r="I45" s="24" t="n">
        <x:v>1</x:v>
      </x:c>
      <x:c r="J45" s="23" t="n">
        <x:f>IF(I45&gt;0,H45/I45,"NA")</x:f>
        <x:v>1</x:v>
      </x:c>
      <x:c r="K45" s="23" t="n">
        <x:f>MAX(0,MIN(1,(E45-'总览与权重'!$B$18)/('总览与权重'!$C$18-'总览与权重'!$B$18)))</x:f>
        <x:v>0</x:v>
      </x:c>
      <x:c r="L45" s="23" t="n">
        <x:f>MAX(0,MIN(1,(F45-'总览与权重'!$B$19)/('总览与权重'!$C$19-'总览与权重'!$B$19)))</x:f>
        <x:v>0</x:v>
      </x:c>
      <x:c r="M45" s="23" t="n">
        <x:f>MAX(0,MIN(1,(G45-'总览与权重'!$B$20)/('总览与权重'!$C$20-'总览与权重'!$B$20)))</x:f>
        <x:v>0</x:v>
      </x:c>
      <x:c r="N45" s="23" t="n">
        <x:f>J45</x:f>
        <x:v>1</x:v>
      </x:c>
      <x:c r="O45" s="22" t="str">
        <x:v>是</x:v>
      </x:c>
      <x:c r="P45" s="22" t="n">
        <x:v>-0.13680392675608974</x:v>
      </x:c>
      <x:c r="Q45" s="22" t="n">
        <x:v>-0.13680392675608974</x:v>
      </x:c>
      <x:c r="R45" s="22" t="n">
        <x:v>-0.13680392675608974</x:v>
      </x:c>
      <x:c r="S45" s="23" t="n">
        <x:f>IF(O45="是",MAX(0,MIN(1,(P45-'总览与权重'!$B$21)/('总览与权重'!$C$21-'总览与权重'!$B$21))),"NA")</x:f>
        <x:v>0.49429983638516295</x:v>
      </x:c>
      <x:c r="T45" s="23" t="n">
        <x:f>IF(O45="是",MAX(0,MIN(1,(Q45-'总览与权重'!$B$22)/('总览与权重'!$C$22-'总览与权重'!$B$22))),"NA")</x:f>
        <x:v>0.4315980366219551</x:v>
      </x:c>
      <x:c r="U45" s="23" t="n">
        <x:f>IF(O45="是",MAX(0,MIN(1,(R45-'总览与权重'!$B$23)/('总览与权重'!$C$23-'总览与权重'!$B$23))),"NA")</x:f>
        <x:v>0.4315980366219551</x:v>
      </x:c>
      <x:c r="V45" s="23" t="n">
        <x:f>IF(O45="是",J45,"NA")</x:f>
        <x:v>1</x:v>
      </x:c>
      <x:c r="W45" s="22" t="str">
        <x:v>完整</x:v>
      </x:c>
      <x:c r="X45" s="22" t="n">
        <x:v>1</x:v>
      </x:c>
      <x:c r="Y45" s="22" t="n">
        <x:v>0</x:v>
      </x:c>
      <x:c r="Z45" s="22" t="n">
        <x:v>0</x:v>
      </x:c>
      <x:c r="AA45" s="22" t="n">
        <x:v>0</x:v>
      </x:c>
      <x:c r="AB45" s="22" t="str">
        <x:v>知识点理解与概念探究；正向评价（不计能力分）</x:v>
      </x:c>
      <x:c r="AC45" s="22" t="str">
        <x:v>NA</x:v>
      </x:c>
      <x:c r="AD45" s="22" t="str">
        <x:v>NA</x:v>
      </x:c>
      <x:c r="AE45" s="22" t="str">
        <x:v>["S0295"]</x:v>
      </x:c>
      <x:c r="AF45" s="22" t="str">
        <x:v>["2025秋:2025秋-数学模型-问答记录导出20260502导出_已标注_已更新.xlsx:问答记录:303"]</x:v>
      </x:c>
      <x:c r="AG45" s="22" t="str">
        <x:v>evidence/student_evidence.jsonl；student_key=2025秋:258927</x:v>
      </x:c>
      <x:c r="AH45" s="27" t="str">
        <x:v>同一锚点起止1条：未形成独立重复测量。</x:v>
      </x:c>
    </x:row>
    <x:row r="46" ht="48" customHeight="1">
      <x:c r="A46" s="21" t="str">
        <x:v>2025秋:258932</x:v>
      </x:c>
      <x:c r="B46" s="22" t="str">
        <x:v>s3</x:v>
      </x:c>
      <x:c r="C46" s="24" t="n">
        <x:v>2</x:v>
      </x:c>
      <x:c r="D46" s="24" t="n">
        <x:v>2</x:v>
      </x:c>
      <x:c r="E46" s="22" t="n">
        <x:v>0.3208216619981326</x:v>
      </x:c>
      <x:c r="F46" s="22" t="n">
        <x:v>0.1604108309990663</x:v>
      </x:c>
      <x:c r="G46" s="22" t="n">
        <x:v>0.3208216619981326</x:v>
      </x:c>
      <x:c r="H46" s="24" t="n">
        <x:v>2</x:v>
      </x:c>
      <x:c r="I46" s="24" t="n">
        <x:v>3</x:v>
      </x:c>
      <x:c r="J46" s="23" t="n">
        <x:f>IF(I46&gt;0,H46/I46,"NA")</x:f>
        <x:v>0.6666666666666666</x:v>
      </x:c>
      <x:c r="K46" s="23" t="n">
        <x:f>MAX(0,MIN(1,(E46-'总览与权重'!$B$18)/('总览与权重'!$C$18-'总览与权重'!$B$18)))</x:f>
        <x:v>0.026735138499844383</x:v>
      </x:c>
      <x:c r="L46" s="23" t="n">
        <x:f>MAX(0,MIN(1,(F46-'总览与权重'!$B$19)/('总览与权重'!$C$19-'总览与权重'!$B$19)))</x:f>
        <x:v>0.1604108309990663</x:v>
      </x:c>
      <x:c r="M46" s="23" t="n">
        <x:f>MAX(0,MIN(1,(G46-'总览与权重'!$B$20)/('总览与权重'!$C$20-'总览与权重'!$B$20)))</x:f>
        <x:v>0.3208216619981326</x:v>
      </x:c>
      <x:c r="N46" s="23" t="n">
        <x:f>J46</x:f>
        <x:v>0.6666666666666666</x:v>
      </x:c>
      <x:c r="O46" s="22" t="str">
        <x:v>是</x:v>
      </x:c>
      <x:c r="P46" s="22" t="n">
        <x:v>0.04378490066526988</x:v>
      </x:c>
      <x:c r="Q46" s="22" t="n">
        <x:v>0.024324944814038824</x:v>
      </x:c>
      <x:c r="R46" s="22" t="n">
        <x:v>0.22573603427669947</x:v>
      </x:c>
      <x:c r="S46" s="23" t="n">
        <x:f>IF(O46="是",MAX(0,MIN(1,(P46-'总览与权重'!$B$21)/('总览与权重'!$C$21-'总览与权重'!$B$21))),"NA")</x:f>
        <x:v>0.5018243708610529</x:v>
      </x:c>
      <x:c r="T46" s="23" t="n">
        <x:f>IF(O46="是",MAX(0,MIN(1,(Q46-'总览与权重'!$B$22)/('总览与权重'!$C$22-'总览与权重'!$B$22))),"NA")</x:f>
        <x:v>0.5121624724070194</x:v>
      </x:c>
      <x:c r="U46" s="23" t="n">
        <x:f>IF(O46="是",MAX(0,MIN(1,(R46-'总览与权重'!$B$23)/('总览与权重'!$C$23-'总览与权重'!$B$23))),"NA")</x:f>
        <x:v>0.6128680171383497</x:v>
      </x:c>
      <x:c r="V46" s="23" t="n">
        <x:f>IF(O46="是",J46,"NA")</x:f>
        <x:v>0.6666666666666666</x:v>
      </x:c>
      <x:c r="W46" s="22" t="str">
        <x:v>完整</x:v>
      </x:c>
      <x:c r="X46" s="22" t="n">
        <x:v>2</x:v>
      </x:c>
      <x:c r="Y46" s="22" t="n">
        <x:v>0.6321205588285577</x:v>
      </x:c>
      <x:c r="Z46" s="22" t="n">
        <x:v>0</x:v>
      </x:c>
      <x:c r="AA46" s="22" t="n">
        <x:v>0.119047619048</x:v>
      </x:c>
      <x:c r="AB46" s="22" t="str">
        <x:v>知识点理解与概念探究；正向评价（不计能力分）</x:v>
      </x:c>
      <x:c r="AC46" s="22" t="str">
        <x:v>NA</x:v>
      </x:c>
      <x:c r="AD46" s="22" t="str">
        <x:v>NA</x:v>
      </x:c>
      <x:c r="AE46" s="22" t="str">
        <x:v>["S0059","S0409"]</x:v>
      </x:c>
      <x:c r="AF46" s="22" t="str">
        <x:v>["2025秋:2025秋-数学模型-问答记录导出20260502导出_已标注_已更新.xlsx:问答记录:62","2025秋:2025秋-数学模型-问答记录导出20260502导出_已标注_已更新.xlsx:问答记录:420"]</x:v>
      </x:c>
      <x:c r="AG46" s="22" t="str">
        <x:v>evidence/student_evidence.jsonl；student_key=2025秋:258932</x:v>
      </x:c>
      <x:c r="AH46" s="27" t="str">
        <x:v>同一锚点起止1条：未形成独立重复测量。</x:v>
      </x:c>
    </x:row>
    <x:row r="47" ht="23" customHeight="1">
      <x:c r="A47" s="21" t="str">
        <x:v>2025秋:258937</x:v>
      </x:c>
      <x:c r="B47" s="22" t="str">
        <x:v>s3</x:v>
      </x:c>
      <x:c r="C47" s="24" t="n">
        <x:v>1</x:v>
      </x:c>
      <x:c r="D47" s="24" t="n">
        <x:v>1</x:v>
      </x:c>
      <x:c r="E47" s="22" t="n">
        <x:v>0</x:v>
      </x:c>
      <x:c r="F47" s="22" t="n">
        <x:v>0</x:v>
      </x:c>
      <x:c r="G47" s="22" t="n">
        <x:v>0</x:v>
      </x:c>
      <x:c r="H47" s="24" t="n">
        <x:v>1</x:v>
      </x:c>
      <x:c r="I47" s="24" t="n">
        <x:v>1</x:v>
      </x:c>
      <x:c r="J47" s="23" t="n">
        <x:f>IF(I47&gt;0,H47/I47,"NA")</x:f>
        <x:v>1</x:v>
      </x:c>
      <x:c r="K47" s="23" t="n">
        <x:f>MAX(0,MIN(1,(E47-'总览与权重'!$B$18)/('总览与权重'!$C$18-'总览与权重'!$B$18)))</x:f>
        <x:v>0</x:v>
      </x:c>
      <x:c r="L47" s="23" t="n">
        <x:f>MAX(0,MIN(1,(F47-'总览与权重'!$B$19)/('总览与权重'!$C$19-'总览与权重'!$B$19)))</x:f>
        <x:v>0</x:v>
      </x:c>
      <x:c r="M47" s="23" t="n">
        <x:f>MAX(0,MIN(1,(G47-'总览与权重'!$B$20)/('总览与权重'!$C$20-'总览与权重'!$B$20)))</x:f>
        <x:v>0</x:v>
      </x:c>
      <x:c r="N47" s="23" t="n">
        <x:f>J47</x:f>
        <x:v>1</x:v>
      </x:c>
      <x:c r="O47" s="22" t="str">
        <x:v>是</x:v>
      </x:c>
      <x:c r="P47" s="22" t="n">
        <x:v>-0.027286366592135628</x:v>
      </x:c>
      <x:c r="Q47" s="22" t="n">
        <x:v>-0.045477277653559384</x:v>
      </x:c>
      <x:c r="R47" s="22" t="n">
        <x:v>-0.045477277653559384</x:v>
      </x:c>
      <x:c r="S47" s="23" t="n">
        <x:f>IF(O47="是",MAX(0,MIN(1,(P47-'总览与权重'!$B$21)/('总览与权重'!$C$21-'总览与权重'!$B$21))),"NA")</x:f>
        <x:v>0.498863068058661</x:v>
      </x:c>
      <x:c r="T47" s="23" t="n">
        <x:f>IF(O47="是",MAX(0,MIN(1,(Q47-'总览与权重'!$B$22)/('总览与权重'!$C$22-'总览与权重'!$B$22))),"NA")</x:f>
        <x:v>0.4772613611732203</x:v>
      </x:c>
      <x:c r="U47" s="23" t="n">
        <x:f>IF(O47="是",MAX(0,MIN(1,(R47-'总览与权重'!$B$23)/('总览与权重'!$C$23-'总览与权重'!$B$23))),"NA")</x:f>
        <x:v>0.4772613611732203</x:v>
      </x:c>
      <x:c r="V47" s="23" t="n">
        <x:f>IF(O47="是",J47,"NA")</x:f>
        <x:v>1</x:v>
      </x:c>
      <x:c r="W47" s="22" t="str">
        <x:v>完整</x:v>
      </x:c>
      <x:c r="X47" s="22" t="n">
        <x:v>2</x:v>
      </x:c>
      <x:c r="Y47" s="22" t="n">
        <x:v>0.6321205588285577</x:v>
      </x:c>
      <x:c r="Z47" s="22" t="n">
        <x:v>0</x:v>
      </x:c>
      <x:c r="AA47" s="22" t="n">
        <x:v>0</x:v>
      </x:c>
      <x:c r="AB47" s="22" t="str">
        <x:v>知识点理解与概念探究；正负并存或有条件评价（不计能力分）</x:v>
      </x:c>
      <x:c r="AC47" s="22" t="str">
        <x:v>NA</x:v>
      </x:c>
      <x:c r="AD47" s="22" t="str">
        <x:v>NA</x:v>
      </x:c>
      <x:c r="AE47" s="22" t="str">
        <x:v>["S0196"]</x:v>
      </x:c>
      <x:c r="AF47" s="22" t="str">
        <x:v>["2025秋:2025秋-数学模型-问答记录导出20260502导出_已标注_已更新.xlsx:问答记录:201"]</x:v>
      </x:c>
      <x:c r="AG47" s="22" t="str">
        <x:v>evidence/student_evidence.jsonl；student_key=2025秋:258937</x:v>
      </x:c>
      <x:c r="AH47" s="27" t="str"/>
    </x:row>
    <x:row r="48" ht="23" customHeight="1">
      <x:c r="A48" s="21" t="str">
        <x:v>2025秋:258938</x:v>
      </x:c>
      <x:c r="B48" s="22" t="str">
        <x:v>s3</x:v>
      </x:c>
      <x:c r="C48" s="24" t="n">
        <x:v>2</x:v>
      </x:c>
      <x:c r="D48" s="24" t="n">
        <x:v>2</x:v>
      </x:c>
      <x:c r="E48" s="22" t="n">
        <x:v>0.4309882698792403</x:v>
      </x:c>
      <x:c r="F48" s="22" t="n">
        <x:v>0.21549413493962016</x:v>
      </x:c>
      <x:c r="G48" s="22" t="n">
        <x:v>0.4309882698792403</x:v>
      </x:c>
      <x:c r="H48" s="24" t="n">
        <x:v>2</x:v>
      </x:c>
      <x:c r="I48" s="24" t="n">
        <x:v>2</x:v>
      </x:c>
      <x:c r="J48" s="23" t="n">
        <x:f>IF(I48&gt;0,H48/I48,"NA")</x:f>
        <x:v>1</x:v>
      </x:c>
      <x:c r="K48" s="23" t="n">
        <x:f>MAX(0,MIN(1,(E48-'总览与权重'!$B$18)/('总览与权重'!$C$18-'总览与权重'!$B$18)))</x:f>
        <x:v>0.03591568915660336</x:v>
      </x:c>
      <x:c r="L48" s="23" t="n">
        <x:f>MAX(0,MIN(1,(F48-'总览与权重'!$B$19)/('总览与权重'!$C$19-'总览与权重'!$B$19)))</x:f>
        <x:v>0.21549413493962016</x:v>
      </x:c>
      <x:c r="M48" s="23" t="n">
        <x:f>MAX(0,MIN(1,(G48-'总览与权重'!$B$20)/('总览与权重'!$C$20-'总览与权重'!$B$20)))</x:f>
        <x:v>0.4309882698792403</x:v>
      </x:c>
      <x:c r="N48" s="23" t="n">
        <x:f>J48</x:f>
        <x:v>1</x:v>
      </x:c>
      <x:c r="O48" s="22" t="str">
        <x:v>是</x:v>
      </x:c>
      <x:c r="P48" s="22" t="n">
        <x:v>0.13473251423547417</x:v>
      </x:c>
      <x:c r="Q48" s="22" t="n">
        <x:v>0.07485139679748565</x:v>
      </x:c>
      <x:c r="R48" s="22" t="n">
        <x:v>0.3394559998597805</x:v>
      </x:c>
      <x:c r="S48" s="23" t="n">
        <x:f>IF(O48="是",MAX(0,MIN(1,(P48-'总览与权重'!$B$21)/('总览与权重'!$C$21-'总览与权重'!$B$21))),"NA")</x:f>
        <x:v>0.5056138547598114</x:v>
      </x:c>
      <x:c r="T48" s="23" t="n">
        <x:f>IF(O48="是",MAX(0,MIN(1,(Q48-'总览与权重'!$B$22)/('总览与权重'!$C$22-'总览与权重'!$B$22))),"NA")</x:f>
        <x:v>0.5374256983987429</x:v>
      </x:c>
      <x:c r="U48" s="23" t="n">
        <x:f>IF(O48="是",MAX(0,MIN(1,(R48-'总览与权重'!$B$23)/('总览与权重'!$C$23-'总览与权重'!$B$23))),"NA")</x:f>
        <x:v>0.6697279999298902</x:v>
      </x:c>
      <x:c r="V48" s="23" t="n">
        <x:f>IF(O48="是",J48,"NA")</x:f>
        <x:v>1</x:v>
      </x:c>
      <x:c r="W48" s="22" t="str">
        <x:v>完整</x:v>
      </x:c>
      <x:c r="X48" s="22" t="n">
        <x:v>2</x:v>
      </x:c>
      <x:c r="Y48" s="22" t="n">
        <x:v>0.6321205588285577</x:v>
      </x:c>
      <x:c r="Z48" s="22" t="n">
        <x:v>-0.2</x:v>
      </x:c>
      <x:c r="AA48" s="22" t="n">
        <x:v>-0.047619047619</x:v>
      </x:c>
      <x:c r="AB48" s="22" t="str">
        <x:v>知识点理解与概念探究；负向或质疑（不计能力分）</x:v>
      </x:c>
      <x:c r="AC48" s="22" t="str">
        <x:v>NA</x:v>
      </x:c>
      <x:c r="AD48" s="22" t="str">
        <x:v>NA</x:v>
      </x:c>
      <x:c r="AE48" s="22" t="str">
        <x:v>["S0073","S0374"]</x:v>
      </x:c>
      <x:c r="AF48" s="22" t="str">
        <x:v>["2025秋:2025秋-数学模型-问答记录导出20260502导出_已标注_已更新.xlsx:问答记录:76","2025秋:2025秋-数学模型-问答记录导出20260502导出_已标注_已更新.xlsx:问答记录:385"]</x:v>
      </x:c>
      <x:c r="AG48" s="22" t="str">
        <x:v>evidence/student_evidence.jsonl；student_key=2025秋:258938</x:v>
      </x:c>
      <x:c r="AH48" s="27" t="str"/>
    </x:row>
    <x:row r="49" ht="23" customHeight="1">
      <x:c r="A49" s="21" t="str">
        <x:v>2025秋:258939</x:v>
      </x:c>
      <x:c r="B49" s="22" t="str">
        <x:v>s3</x:v>
      </x:c>
      <x:c r="C49" s="24" t="n">
        <x:v>1</x:v>
      </x:c>
      <x:c r="D49" s="24" t="n">
        <x:v>1</x:v>
      </x:c>
      <x:c r="E49" s="22" t="n">
        <x:v>0.3328126174365395</x:v>
      </x:c>
      <x:c r="F49" s="22" t="n">
        <x:v>0.3328126174365395</x:v>
      </x:c>
      <x:c r="G49" s="22" t="n">
        <x:v>0.3328126174365395</x:v>
      </x:c>
      <x:c r="H49" s="24" t="n">
        <x:v>1</x:v>
      </x:c>
      <x:c r="I49" s="24" t="n">
        <x:v>3</x:v>
      </x:c>
      <x:c r="J49" s="23" t="n">
        <x:f>IF(I49&gt;0,H49/I49,"NA")</x:f>
        <x:v>0.3333333333333333</x:v>
      </x:c>
      <x:c r="K49" s="23" t="n">
        <x:f>MAX(0,MIN(1,(E49-'总览与权重'!$B$18)/('总览与权重'!$C$18-'总览与权重'!$B$18)))</x:f>
        <x:v>0.027734384786378293</x:v>
      </x:c>
      <x:c r="L49" s="23" t="n">
        <x:f>MAX(0,MIN(1,(F49-'总览与权重'!$B$19)/('总览与权重'!$C$19-'总览与权重'!$B$19)))</x:f>
        <x:v>0.3328126174365395</x:v>
      </x:c>
      <x:c r="M49" s="23" t="n">
        <x:f>MAX(0,MIN(1,(G49-'总览与权重'!$B$20)/('总览与权重'!$C$20-'总览与权重'!$B$20)))</x:f>
        <x:v>0.3328126174365395</x:v>
      </x:c>
      <x:c r="N49" s="23" t="n">
        <x:f>J49</x:f>
        <x:v>0.3333333333333333</x:v>
      </x:c>
      <x:c r="O49" s="22" t="str">
        <x:v>是</x:v>
      </x:c>
      <x:c r="P49" s="22" t="n">
        <x:v>0.19302427793366372</x:v>
      </x:c>
      <x:c r="Q49" s="22" t="n">
        <x:v>0.24128034741707965</x:v>
      </x:c>
      <x:c r="R49" s="22" t="n">
        <x:v>0.24128034741707968</x:v>
      </x:c>
      <x:c r="S49" s="23" t="n">
        <x:f>IF(O49="是",MAX(0,MIN(1,(P49-'总览与权重'!$B$21)/('总览与权重'!$C$21-'总览与权重'!$B$21))),"NA")</x:f>
        <x:v>0.5080426782472359</x:v>
      </x:c>
      <x:c r="T49" s="23" t="n">
        <x:f>IF(O49="是",MAX(0,MIN(1,(Q49-'总览与权重'!$B$22)/('总览与权重'!$C$22-'总览与权重'!$B$22))),"NA")</x:f>
        <x:v>0.6206401737085399</x:v>
      </x:c>
      <x:c r="U49" s="23" t="n">
        <x:f>IF(O49="是",MAX(0,MIN(1,(R49-'总览与权重'!$B$23)/('总览与权重'!$C$23-'总览与权重'!$B$23))),"NA")</x:f>
        <x:v>0.6206401737085399</x:v>
      </x:c>
      <x:c r="V49" s="23" t="n">
        <x:f>IF(O49="是",J49,"NA")</x:f>
        <x:v>0.3333333333333333</x:v>
      </x:c>
      <x:c r="W49" s="22" t="str">
        <x:v>完整</x:v>
      </x:c>
      <x:c r="X49" s="22" t="n">
        <x:v>2</x:v>
      </x:c>
      <x:c r="Y49" s="22" t="n">
        <x:v>0.6321205588285577</x:v>
      </x:c>
      <x:c r="Z49" s="22" t="n">
        <x:v>-0.25</x:v>
      </x:c>
      <x:c r="AA49" s="22" t="n">
        <x:v>-0.119047619048</x:v>
      </x:c>
      <x:c r="AB49" s="22" t="str">
        <x:v>代码数据与工具实现；正向评价（不计能力分）</x:v>
      </x:c>
      <x:c r="AC49" s="22" t="str">
        <x:v>NA</x:v>
      </x:c>
      <x:c r="AD49" s="22" t="str">
        <x:v>NA</x:v>
      </x:c>
      <x:c r="AE49" s="22" t="str">
        <x:v>["S0367"]</x:v>
      </x:c>
      <x:c r="AF49" s="22" t="str">
        <x:v>["2025秋:2025秋-数学模型-问答记录导出20260502导出_已标注_已更新.xlsx:问答记录:378"]</x:v>
      </x:c>
      <x:c r="AG49" s="22" t="str">
        <x:v>evidence/student_evidence.jsonl；student_key=2025秋:258939</x:v>
      </x:c>
      <x:c r="AH49" s="27" t="str"/>
    </x:row>
    <x:row r="50" ht="23" customHeight="1">
      <x:c r="A50" s="21" t="str">
        <x:v>2025秋:258942</x:v>
      </x:c>
      <x:c r="B50" s="22" t="str">
        <x:v>s3</x:v>
      </x:c>
      <x:c r="C50" s="24" t="n">
        <x:v>1</x:v>
      </x:c>
      <x:c r="D50" s="24" t="n">
        <x:v>1</x:v>
      </x:c>
      <x:c r="E50" s="22" t="n">
        <x:v>0.11426104293930624</x:v>
      </x:c>
      <x:c r="F50" s="22" t="n">
        <x:v>0.11426104293930624</x:v>
      </x:c>
      <x:c r="G50" s="22" t="n">
        <x:v>0.11426104293930624</x:v>
      </x:c>
      <x:c r="H50" s="24" t="n">
        <x:v>1</x:v>
      </x:c>
      <x:c r="I50" s="24" t="n">
        <x:v>1</x:v>
      </x:c>
      <x:c r="J50" s="23" t="n">
        <x:f>IF(I50&gt;0,H50/I50,"NA")</x:f>
        <x:v>1</x:v>
      </x:c>
      <x:c r="K50" s="23" t="n">
        <x:f>MAX(0,MIN(1,(E50-'总览与权重'!$B$18)/('总览与权重'!$C$18-'总览与权重'!$B$18)))</x:f>
        <x:v>0.00952175357827552</x:v>
      </x:c>
      <x:c r="L50" s="23" t="n">
        <x:f>MAX(0,MIN(1,(F50-'总览与权重'!$B$19)/('总览与权重'!$C$19-'总览与权重'!$B$19)))</x:f>
        <x:v>0.11426104293930624</x:v>
      </x:c>
      <x:c r="M50" s="23" t="n">
        <x:f>MAX(0,MIN(1,(G50-'总览与权重'!$B$20)/('总览与权重'!$C$20-'总览与权重'!$B$20)))</x:f>
        <x:v>0.11426104293930624</x:v>
      </x:c>
      <x:c r="N50" s="23" t="n">
        <x:f>J50</x:f>
        <x:v>1</x:v>
      </x:c>
      <x:c r="O50" s="22" t="str">
        <x:v>是</x:v>
      </x:c>
      <x:c r="P50" s="22" t="n">
        <x:v>-0.022571242713044018</x:v>
      </x:c>
      <x:c r="Q50" s="22" t="n">
        <x:v>-0.022571242713044018</x:v>
      </x:c>
      <x:c r="R50" s="22" t="n">
        <x:v>-0.022571242713044018</x:v>
      </x:c>
      <x:c r="S50" s="23" t="n">
        <x:f>IF(O50="是",MAX(0,MIN(1,(P50-'总览与权重'!$B$21)/('总览与权重'!$C$21-'总览与权重'!$B$21))),"NA")</x:f>
        <x:v>0.4990595315536232</x:v>
      </x:c>
      <x:c r="T50" s="23" t="n">
        <x:f>IF(O50="是",MAX(0,MIN(1,(Q50-'总览与权重'!$B$22)/('总览与权重'!$C$22-'总览与权重'!$B$22))),"NA")</x:f>
        <x:v>0.488714378643478</x:v>
      </x:c>
      <x:c r="U50" s="23" t="n">
        <x:f>IF(O50="是",MAX(0,MIN(1,(R50-'总览与权重'!$B$23)/('总览与权重'!$C$23-'总览与权重'!$B$23))),"NA")</x:f>
        <x:v>0.488714378643478</x:v>
      </x:c>
      <x:c r="V50" s="23" t="n">
        <x:f>IF(O50="是",J50,"NA")</x:f>
        <x:v>1</x:v>
      </x:c>
      <x:c r="W50" s="22" t="str">
        <x:v>完整</x:v>
      </x:c>
      <x:c r="X50" s="22" t="n">
        <x:v>1</x:v>
      </x:c>
      <x:c r="Y50" s="22" t="n">
        <x:v>0</x:v>
      </x:c>
      <x:c r="Z50" s="22" t="n">
        <x:v>0.3</x:v>
      </x:c>
      <x:c r="AA50" s="22" t="n">
        <x:v>0.666666666667</x:v>
      </x:c>
      <x:c r="AB50" s="22" t="str">
        <x:v>知识点理解与概念探究；正向评价（不计能力分）</x:v>
      </x:c>
      <x:c r="AC50" s="22" t="str">
        <x:v>NA</x:v>
      </x:c>
      <x:c r="AD50" s="22" t="str">
        <x:v>NA</x:v>
      </x:c>
      <x:c r="AE50" s="22" t="str">
        <x:v>["S0158"]</x:v>
      </x:c>
      <x:c r="AF50" s="22" t="str">
        <x:v>["2025秋:2025秋-数学模型-问答记录导出20260502导出_已标注_已更新.xlsx:问答记录:161"]</x:v>
      </x:c>
      <x:c r="AG50" s="22" t="str">
        <x:v>evidence/student_evidence.jsonl；student_key=2025秋:258942</x:v>
      </x:c>
      <x:c r="AH50" s="27" t="str"/>
    </x:row>
    <x:row r="51" ht="48" customHeight="1">
      <x:c r="A51" s="21" t="str">
        <x:v>2025秋:258945</x:v>
      </x:c>
      <x:c r="B51" s="22" t="str">
        <x:v>s3</x:v>
      </x:c>
      <x:c r="C51" s="24" t="n">
        <x:v>1</x:v>
      </x:c>
      <x:c r="D51" s="24" t="n">
        <x:v>1</x:v>
      </x:c>
      <x:c r="E51" s="22" t="n">
        <x:v>0</x:v>
      </x:c>
      <x:c r="F51" s="22" t="n">
        <x:v>0</x:v>
      </x:c>
      <x:c r="G51" s="22" t="n">
        <x:v>0</x:v>
      </x:c>
      <x:c r="H51" s="24" t="n">
        <x:v>1</x:v>
      </x:c>
      <x:c r="I51" s="24" t="n">
        <x:v>2</x:v>
      </x:c>
      <x:c r="J51" s="23" t="n">
        <x:f>IF(I51&gt;0,H51/I51,"NA")</x:f>
        <x:v>0.5</x:v>
      </x:c>
      <x:c r="K51" s="23" t="n">
        <x:f>MAX(0,MIN(1,(E51-'总览与权重'!$B$18)/('总览与权重'!$C$18-'总览与权重'!$B$18)))</x:f>
        <x:v>0</x:v>
      </x:c>
      <x:c r="L51" s="23" t="n">
        <x:f>MAX(0,MIN(1,(F51-'总览与权重'!$B$19)/('总览与权重'!$C$19-'总览与权重'!$B$19)))</x:f>
        <x:v>0</x:v>
      </x:c>
      <x:c r="M51" s="23" t="n">
        <x:f>MAX(0,MIN(1,(G51-'总览与权重'!$B$20)/('总览与权重'!$C$20-'总览与权重'!$B$20)))</x:f>
        <x:v>0</x:v>
      </x:c>
      <x:c r="N51" s="23" t="n">
        <x:f>J51</x:f>
        <x:v>0.5</x:v>
      </x:c>
      <x:c r="O51" s="22" t="str">
        <x:v>否</x:v>
      </x:c>
      <x:c r="P51" s="22" t="str">
        <x:v>NA</x:v>
      </x:c>
      <x:c r="Q51" s="22" t="str">
        <x:v>NA</x:v>
      </x:c>
      <x:c r="R51" s="22" t="str">
        <x:v>NA</x:v>
      </x:c>
      <x:c r="S51" s="23" t="str">
        <x:f>IF(O51="是",MAX(0,MIN(1,(P51-'总览与权重'!$B$21)/('总览与权重'!$C$21-'总览与权重'!$B$21))),"NA")</x:f>
        <x:v>NA</x:v>
      </x:c>
      <x:c r="T51" s="23" t="str">
        <x:f>IF(O51="是",MAX(0,MIN(1,(Q51-'总览与权重'!$B$22)/('总览与权重'!$C$22-'总览与权重'!$B$22))),"NA")</x:f>
        <x:v>NA</x:v>
      </x:c>
      <x:c r="U51" s="23" t="str">
        <x:f>IF(O51="是",MAX(0,MIN(1,(R51-'总览与权重'!$B$23)/('总览与权重'!$C$23-'总览与权重'!$B$23))),"NA")</x:f>
        <x:v>NA</x:v>
      </x:c>
      <x:c r="V51" s="23" t="str">
        <x:f>IF(O51="是",J51,"NA")</x:f>
        <x:v>NA</x:v>
      </x:c>
      <x:c r="W51" s="22" t="str">
        <x:v>无完整领域最早before配对</x:v>
      </x:c>
      <x:c r="X51" s="22" t="n">
        <x:v>2</x:v>
      </x:c>
      <x:c r="Y51" s="22" t="n">
        <x:v>0.6321205588285577</x:v>
      </x:c>
      <x:c r="Z51" s="22" t="n">
        <x:v>0</x:v>
      </x:c>
      <x:c r="AA51" s="22" t="n">
        <x:v>0</x:v>
      </x:c>
      <x:c r="AB51" s="22" t="str">
        <x:v>代码数据与工具实现；正向评价（不计能力分）</x:v>
      </x:c>
      <x:c r="AC51" s="22" t="str">
        <x:v>NA</x:v>
      </x:c>
      <x:c r="AD51" s="22" t="str">
        <x:v>NA</x:v>
      </x:c>
      <x:c r="AE51" s="22" t="str">
        <x:v>["S0048"]</x:v>
      </x:c>
      <x:c r="AF51" s="22" t="str">
        <x:v>["2025秋:2025秋-数学模型-问答记录导出20260502导出_已标注_已更新.xlsx:问答记录:50"]</x:v>
      </x:c>
      <x:c r="AG51" s="22" t="str">
        <x:v>evidence/student_evidence.jsonl；student_key=2025秋:258945</x:v>
      </x:c>
      <x:c r="AH51" s="27" t="str">
        <x:v>同一锚点起止1条：未形成独立重复测量。</x:v>
      </x:c>
    </x:row>
    <x:row r="52" ht="23" customHeight="1">
      <x:c r="A52" s="21" t="str">
        <x:v>2025秋:258951</x:v>
      </x:c>
      <x:c r="B52" s="22" t="str">
        <x:v>s3</x:v>
      </x:c>
      <x:c r="C52" s="24" t="n">
        <x:v>1</x:v>
      </x:c>
      <x:c r="D52" s="24" t="n">
        <x:v>1</x:v>
      </x:c>
      <x:c r="E52" s="22" t="n">
        <x:v>0.10721531946577315</x:v>
      </x:c>
      <x:c r="F52" s="22" t="n">
        <x:v>0.10721531946577315</x:v>
      </x:c>
      <x:c r="G52" s="22" t="n">
        <x:v>0.10721531946577315</x:v>
      </x:c>
      <x:c r="H52" s="24" t="n">
        <x:v>1</x:v>
      </x:c>
      <x:c r="I52" s="24" t="n">
        <x:v>1</x:v>
      </x:c>
      <x:c r="J52" s="23" t="n">
        <x:f>IF(I52&gt;0,H52/I52,"NA")</x:f>
        <x:v>1</x:v>
      </x:c>
      <x:c r="K52" s="23" t="n">
        <x:f>MAX(0,MIN(1,(E52-'总览与权重'!$B$18)/('总览与权重'!$C$18-'总览与权重'!$B$18)))</x:f>
        <x:v>0.008934609955481095</x:v>
      </x:c>
      <x:c r="L52" s="23" t="n">
        <x:f>MAX(0,MIN(1,(F52-'总览与权重'!$B$19)/('总览与权重'!$C$19-'总览与权重'!$B$19)))</x:f>
        <x:v>0.10721531946577315</x:v>
      </x:c>
      <x:c r="M52" s="23" t="n">
        <x:f>MAX(0,MIN(1,(G52-'总览与权重'!$B$20)/('总览与权重'!$C$20-'总览与权重'!$B$20)))</x:f>
        <x:v>0.10721531946577315</x:v>
      </x:c>
      <x:c r="N52" s="23" t="n">
        <x:f>J52</x:f>
        <x:v>1</x:v>
      </x:c>
      <x:c r="O52" s="22" t="str">
        <x:v>是</x:v>
      </x:c>
      <x:c r="P52" s="22" t="n">
        <x:v>-0.02961696618657711</x:v>
      </x:c>
      <x:c r="Q52" s="22" t="n">
        <x:v>-0.02961696618657711</x:v>
      </x:c>
      <x:c r="R52" s="22" t="n">
        <x:v>-0.02961696618657711</x:v>
      </x:c>
      <x:c r="S52" s="23" t="n">
        <x:f>IF(O52="是",MAX(0,MIN(1,(P52-'总览与权重'!$B$21)/('总览与权重'!$C$21-'总览与权重'!$B$21))),"NA")</x:f>
        <x:v>0.498765959742226</x:v>
      </x:c>
      <x:c r="T52" s="23" t="n">
        <x:f>IF(O52="是",MAX(0,MIN(1,(Q52-'总览与权重'!$B$22)/('总览与权重'!$C$22-'总览与权重'!$B$22))),"NA")</x:f>
        <x:v>0.4851915169067115</x:v>
      </x:c>
      <x:c r="U52" s="23" t="n">
        <x:f>IF(O52="是",MAX(0,MIN(1,(R52-'总览与权重'!$B$23)/('总览与权重'!$C$23-'总览与权重'!$B$23))),"NA")</x:f>
        <x:v>0.4851915169067115</x:v>
      </x:c>
      <x:c r="V52" s="23" t="n">
        <x:f>IF(O52="是",J52,"NA")</x:f>
        <x:v>1</x:v>
      </x:c>
      <x:c r="W52" s="22" t="str">
        <x:v>完整</x:v>
      </x:c>
      <x:c r="X52" s="22" t="n">
        <x:v>1</x:v>
      </x:c>
      <x:c r="Y52" s="22" t="n">
        <x:v>0</x:v>
      </x:c>
      <x:c r="Z52" s="22" t="n">
        <x:v>0.3</x:v>
      </x:c>
      <x:c r="AA52" s="22" t="n">
        <x:v>0.666666666667</x:v>
      </x:c>
      <x:c r="AB52" s="22" t="str">
        <x:v>知识点理解与概念探究；正向评价（不计能力分）</x:v>
      </x:c>
      <x:c r="AC52" s="22" t="str">
        <x:v>NA</x:v>
      </x:c>
      <x:c r="AD52" s="22" t="str">
        <x:v>NA</x:v>
      </x:c>
      <x:c r="AE52" s="22" t="str">
        <x:v>["S0431"]</x:v>
      </x:c>
      <x:c r="AF52" s="22" t="str">
        <x:v>["2025秋:2025秋-数学模型-问答记录导出20260502导出_已标注_已更新.xlsx:问答记录:443"]</x:v>
      </x:c>
      <x:c r="AG52" s="22" t="str">
        <x:v>evidence/student_evidence.jsonl；student_key=2025秋:258951</x:v>
      </x:c>
      <x:c r="AH52" s="27" t="str"/>
    </x:row>
    <x:row r="53" ht="48" customHeight="1">
      <x:c r="A53" s="21" t="str">
        <x:v>2025秋:258953</x:v>
      </x:c>
      <x:c r="B53" s="22" t="str">
        <x:v>s3</x:v>
      </x:c>
      <x:c r="C53" s="24" t="n">
        <x:v>1</x:v>
      </x:c>
      <x:c r="D53" s="24" t="n">
        <x:v>1</x:v>
      </x:c>
      <x:c r="E53" s="22" t="n">
        <x:v>0</x:v>
      </x:c>
      <x:c r="F53" s="22" t="n">
        <x:v>0</x:v>
      </x:c>
      <x:c r="G53" s="22" t="n">
        <x:v>0</x:v>
      </x:c>
      <x:c r="H53" s="24" t="n">
        <x:v>1</x:v>
      </x:c>
      <x:c r="I53" s="24" t="n">
        <x:v>1</x:v>
      </x:c>
      <x:c r="J53" s="23" t="n">
        <x:f>IF(I53&gt;0,H53/I53,"NA")</x:f>
        <x:v>1</x:v>
      </x:c>
      <x:c r="K53" s="23" t="n">
        <x:f>MAX(0,MIN(1,(E53-'总览与权重'!$B$18)/('总览与权重'!$C$18-'总览与权重'!$B$18)))</x:f>
        <x:v>0</x:v>
      </x:c>
      <x:c r="L53" s="23" t="n">
        <x:f>MAX(0,MIN(1,(F53-'总览与权重'!$B$19)/('总览与权重'!$C$19-'总览与权重'!$B$19)))</x:f>
        <x:v>0</x:v>
      </x:c>
      <x:c r="M53" s="23" t="n">
        <x:f>MAX(0,MIN(1,(G53-'总览与权重'!$B$20)/('总览与权重'!$C$20-'总览与权重'!$B$20)))</x:f>
        <x:v>0</x:v>
      </x:c>
      <x:c r="N53" s="23" t="n">
        <x:f>J53</x:f>
        <x:v>1</x:v>
      </x:c>
      <x:c r="O53" s="22" t="str">
        <x:v>是</x:v>
      </x:c>
      <x:c r="P53" s="22" t="n">
        <x:v>-0.07322581601556787</x:v>
      </x:c>
      <x:c r="Q53" s="22" t="n">
        <x:v>-0.09153227001945982</x:v>
      </x:c>
      <x:c r="R53" s="22" t="n">
        <x:v>-0.09153227001945982</x:v>
      </x:c>
      <x:c r="S53" s="23" t="n">
        <x:f>IF(O53="是",MAX(0,MIN(1,(P53-'总览与权重'!$B$21)/('总览与权重'!$C$21-'总览与权重'!$B$21))),"NA")</x:f>
        <x:v>0.4969489243326847</x:v>
      </x:c>
      <x:c r="T53" s="23" t="n">
        <x:f>IF(O53="是",MAX(0,MIN(1,(Q53-'总览与权重'!$B$22)/('总览与权重'!$C$22-'总览与权重'!$B$22))),"NA")</x:f>
        <x:v>0.4542338649902701</x:v>
      </x:c>
      <x:c r="U53" s="23" t="n">
        <x:f>IF(O53="是",MAX(0,MIN(1,(R53-'总览与权重'!$B$23)/('总览与权重'!$C$23-'总览与权重'!$B$23))),"NA")</x:f>
        <x:v>0.4542338649902701</x:v>
      </x:c>
      <x:c r="V53" s="23" t="n">
        <x:f>IF(O53="是",J53,"NA")</x:f>
        <x:v>1</x:v>
      </x:c>
      <x:c r="W53" s="22" t="str">
        <x:v>完整</x:v>
      </x:c>
      <x:c r="X53" s="22" t="n">
        <x:v>2</x:v>
      </x:c>
      <x:c r="Y53" s="22" t="n">
        <x:v>0.6321205588285577</x:v>
      </x:c>
      <x:c r="Z53" s="22" t="n">
        <x:v>0</x:v>
      </x:c>
      <x:c r="AA53" s="22" t="n">
        <x:v>0</x:v>
      </x:c>
      <x:c r="AB53" s="22" t="str">
        <x:v>知识点理解与概念探究；正向评价（不计能力分）</x:v>
      </x:c>
      <x:c r="AC53" s="22" t="str">
        <x:v>NA</x:v>
      </x:c>
      <x:c r="AD53" s="22" t="str">
        <x:v>NA</x:v>
      </x:c>
      <x:c r="AE53" s="22" t="str">
        <x:v>["S0015"]</x:v>
      </x:c>
      <x:c r="AF53" s="22" t="str">
        <x:v>["2025秋:2025秋-数学模型-问答记录导出20260502导出_已标注_已更新.xlsx:问答记录:17"]</x:v>
      </x:c>
      <x:c r="AG53" s="22" t="str">
        <x:v>evidence/student_evidence.jsonl；student_key=2025秋:258953</x:v>
      </x:c>
      <x:c r="AH53" s="27" t="str">
        <x:v>同一锚点起止1条：未形成独立重复测量。</x:v>
      </x:c>
    </x:row>
    <x:row r="54" ht="48" customHeight="1">
      <x:c r="A54" s="21" t="str">
        <x:v>2025秋:258958</x:v>
      </x:c>
      <x:c r="B54" s="22" t="str">
        <x:v>s3</x:v>
      </x:c>
      <x:c r="C54" s="24" t="n">
        <x:v>1</x:v>
      </x:c>
      <x:c r="D54" s="24" t="n">
        <x:v>1</x:v>
      </x:c>
      <x:c r="E54" s="22" t="n">
        <x:v>0</x:v>
      </x:c>
      <x:c r="F54" s="22" t="n">
        <x:v>0</x:v>
      </x:c>
      <x:c r="G54" s="22" t="n">
        <x:v>0</x:v>
      </x:c>
      <x:c r="H54" s="24" t="n">
        <x:v>1</x:v>
      </x:c>
      <x:c r="I54" s="24" t="n">
        <x:v>1</x:v>
      </x:c>
      <x:c r="J54" s="23" t="n">
        <x:f>IF(I54&gt;0,H54/I54,"NA")</x:f>
        <x:v>1</x:v>
      </x:c>
      <x:c r="K54" s="23" t="n">
        <x:f>MAX(0,MIN(1,(E54-'总览与权重'!$B$18)/('总览与权重'!$C$18-'总览与权重'!$B$18)))</x:f>
        <x:v>0</x:v>
      </x:c>
      <x:c r="L54" s="23" t="n">
        <x:f>MAX(0,MIN(1,(F54-'总览与权重'!$B$19)/('总览与权重'!$C$19-'总览与权重'!$B$19)))</x:f>
        <x:v>0</x:v>
      </x:c>
      <x:c r="M54" s="23" t="n">
        <x:f>MAX(0,MIN(1,(G54-'总览与权重'!$B$20)/('总览与权重'!$C$20-'总览与权重'!$B$20)))</x:f>
        <x:v>0</x:v>
      </x:c>
      <x:c r="N54" s="23" t="n">
        <x:f>J54</x:f>
        <x:v>1</x:v>
      </x:c>
      <x:c r="O54" s="22" t="str">
        <x:v>是</x:v>
      </x:c>
      <x:c r="P54" s="22" t="n">
        <x:v>-0.13683228565235026</x:v>
      </x:c>
      <x:c r="Q54" s="22" t="n">
        <x:v>-0.13683228565235026</x:v>
      </x:c>
      <x:c r="R54" s="22" t="n">
        <x:v>-0.13683228565235026</x:v>
      </x:c>
      <x:c r="S54" s="23" t="n">
        <x:f>IF(O54="是",MAX(0,MIN(1,(P54-'总览与权重'!$B$21)/('总览与权重'!$C$21-'总览与权重'!$B$21))),"NA")</x:f>
        <x:v>0.4942986547644854</x:v>
      </x:c>
      <x:c r="T54" s="23" t="n">
        <x:f>IF(O54="是",MAX(0,MIN(1,(Q54-'总览与权重'!$B$22)/('总览与权重'!$C$22-'总览与权重'!$B$22))),"NA")</x:f>
        <x:v>0.43158385717382486</x:v>
      </x:c>
      <x:c r="U54" s="23" t="n">
        <x:f>IF(O54="是",MAX(0,MIN(1,(R54-'总览与权重'!$B$23)/('总览与权重'!$C$23-'总览与权重'!$B$23))),"NA")</x:f>
        <x:v>0.43158385717382486</x:v>
      </x:c>
      <x:c r="V54" s="23" t="n">
        <x:f>IF(O54="是",J54,"NA")</x:f>
        <x:v>1</x:v>
      </x:c>
      <x:c r="W54" s="22" t="str">
        <x:v>完整</x:v>
      </x:c>
      <x:c r="X54" s="22" t="n">
        <x:v>1</x:v>
      </x:c>
      <x:c r="Y54" s="22" t="n">
        <x:v>0</x:v>
      </x:c>
      <x:c r="Z54" s="22" t="n">
        <x:v>0</x:v>
      </x:c>
      <x:c r="AA54" s="22" t="n">
        <x:v>0</x:v>
      </x:c>
      <x:c r="AB54" s="22" t="str">
        <x:v>知识点理解与概念探究；正向评价（不计能力分）</x:v>
      </x:c>
      <x:c r="AC54" s="22" t="str">
        <x:v>NA</x:v>
      </x:c>
      <x:c r="AD54" s="22" t="str">
        <x:v>NA</x:v>
      </x:c>
      <x:c r="AE54" s="22" t="str">
        <x:v>["S0185"]</x:v>
      </x:c>
      <x:c r="AF54" s="22" t="str">
        <x:v>["2025秋:2025秋-数学模型-问答记录导出20260502导出_已标注_已更新.xlsx:问答记录:188"]</x:v>
      </x:c>
      <x:c r="AG54" s="22" t="str">
        <x:v>evidence/student_evidence.jsonl；student_key=2025秋:258958</x:v>
      </x:c>
      <x:c r="AH54" s="27" t="str">
        <x:v>同一锚点起止1条：未形成独立重复测量。</x:v>
      </x:c>
    </x:row>
    <x:row r="55" ht="23" customHeight="1">
      <x:c r="A55" s="21" t="str">
        <x:v>2025秋:258959</x:v>
      </x:c>
      <x:c r="B55" s="22" t="str">
        <x:v>s3</x:v>
      </x:c>
      <x:c r="C55" s="24" t="n">
        <x:v>1</x:v>
      </x:c>
      <x:c r="D55" s="24" t="n">
        <x:v>1</x:v>
      </x:c>
      <x:c r="E55" s="22" t="n">
        <x:v>0.11426104293930624</x:v>
      </x:c>
      <x:c r="F55" s="22" t="n">
        <x:v>0.11426104293930624</x:v>
      </x:c>
      <x:c r="G55" s="22" t="n">
        <x:v>0.11426104293930624</x:v>
      </x:c>
      <x:c r="H55" s="24" t="n">
        <x:v>1</x:v>
      </x:c>
      <x:c r="I55" s="24" t="n">
        <x:v>1</x:v>
      </x:c>
      <x:c r="J55" s="23" t="n">
        <x:f>IF(I55&gt;0,H55/I55,"NA")</x:f>
        <x:v>1</x:v>
      </x:c>
      <x:c r="K55" s="23" t="n">
        <x:f>MAX(0,MIN(1,(E55-'总览与权重'!$B$18)/('总览与权重'!$C$18-'总览与权重'!$B$18)))</x:f>
        <x:v>0.00952175357827552</x:v>
      </x:c>
      <x:c r="L55" s="23" t="n">
        <x:f>MAX(0,MIN(1,(F55-'总览与权重'!$B$19)/('总览与权重'!$C$19-'总览与权重'!$B$19)))</x:f>
        <x:v>0.11426104293930624</x:v>
      </x:c>
      <x:c r="M55" s="23" t="n">
        <x:f>MAX(0,MIN(1,(G55-'总览与权重'!$B$20)/('总览与权重'!$C$20-'总览与权重'!$B$20)))</x:f>
        <x:v>0.11426104293930624</x:v>
      </x:c>
      <x:c r="N55" s="23" t="n">
        <x:f>J55</x:f>
        <x:v>1</x:v>
      </x:c>
      <x:c r="O55" s="22" t="str">
        <x:v>是</x:v>
      </x:c>
      <x:c r="P55" s="22" t="n">
        <x:v>-0.022571242713044018</x:v>
      </x:c>
      <x:c r="Q55" s="22" t="n">
        <x:v>-0.022571242713044018</x:v>
      </x:c>
      <x:c r="R55" s="22" t="n">
        <x:v>-0.022571242713044018</x:v>
      </x:c>
      <x:c r="S55" s="23" t="n">
        <x:f>IF(O55="是",MAX(0,MIN(1,(P55-'总览与权重'!$B$21)/('总览与权重'!$C$21-'总览与权重'!$B$21))),"NA")</x:f>
        <x:v>0.4990595315536232</x:v>
      </x:c>
      <x:c r="T55" s="23" t="n">
        <x:f>IF(O55="是",MAX(0,MIN(1,(Q55-'总览与权重'!$B$22)/('总览与权重'!$C$22-'总览与权重'!$B$22))),"NA")</x:f>
        <x:v>0.488714378643478</x:v>
      </x:c>
      <x:c r="U55" s="23" t="n">
        <x:f>IF(O55="是",MAX(0,MIN(1,(R55-'总览与权重'!$B$23)/('总览与权重'!$C$23-'总览与权重'!$B$23))),"NA")</x:f>
        <x:v>0.488714378643478</x:v>
      </x:c>
      <x:c r="V55" s="23" t="n">
        <x:f>IF(O55="是",J55,"NA")</x:f>
        <x:v>1</x:v>
      </x:c>
      <x:c r="W55" s="22" t="str">
        <x:v>完整</x:v>
      </x:c>
      <x:c r="X55" s="22" t="n">
        <x:v>1</x:v>
      </x:c>
      <x:c r="Y55" s="22" t="n">
        <x:v>0</x:v>
      </x:c>
      <x:c r="Z55" s="22" t="n">
        <x:v>0.3</x:v>
      </x:c>
      <x:c r="AA55" s="22" t="n">
        <x:v>0.666666666667</x:v>
      </x:c>
      <x:c r="AB55" s="22" t="str">
        <x:v>知识点理解与概念探究；无明确评价（不计能力分）</x:v>
      </x:c>
      <x:c r="AC55" s="22" t="str">
        <x:v>NA</x:v>
      </x:c>
      <x:c r="AD55" s="22" t="str">
        <x:v>NA</x:v>
      </x:c>
      <x:c r="AE55" s="22" t="str">
        <x:v>["S0018"]</x:v>
      </x:c>
      <x:c r="AF55" s="22" t="str">
        <x:v>["2025秋:2025秋-数学模型-问答记录导出20260502导出_已标注_已更新.xlsx:问答记录:20"]</x:v>
      </x:c>
      <x:c r="AG55" s="22" t="str">
        <x:v>evidence/student_evidence.jsonl；student_key=2025秋:258959</x:v>
      </x:c>
      <x:c r="AH55" s="27" t="str"/>
    </x:row>
    <x:row r="56" ht="23" customHeight="1">
      <x:c r="A56" s="21" t="str">
        <x:v>2025秋:258976</x:v>
      </x:c>
      <x:c r="B56" s="22" t="str">
        <x:v>s3</x:v>
      </x:c>
      <x:c r="C56" s="24" t="n">
        <x:v>1</x:v>
      </x:c>
      <x:c r="D56" s="24" t="n">
        <x:v>1</x:v>
      </x:c>
      <x:c r="E56" s="22" t="n">
        <x:v>0.34944574708586496</x:v>
      </x:c>
      <x:c r="F56" s="22" t="n">
        <x:v>0.34944574708586496</x:v>
      </x:c>
      <x:c r="G56" s="22" t="n">
        <x:v>0.34944574708586496</x:v>
      </x:c>
      <x:c r="H56" s="24" t="n">
        <x:v>1</x:v>
      </x:c>
      <x:c r="I56" s="24" t="n">
        <x:v>2</x:v>
      </x:c>
      <x:c r="J56" s="23" t="n">
        <x:f>IF(I56&gt;0,H56/I56,"NA")</x:f>
        <x:v>0.5</x:v>
      </x:c>
      <x:c r="K56" s="23" t="n">
        <x:f>MAX(0,MIN(1,(E56-'总览与权重'!$B$18)/('总览与权重'!$C$18-'总览与权重'!$B$18)))</x:f>
        <x:v>0.02912047892382208</x:v>
      </x:c>
      <x:c r="L56" s="23" t="n">
        <x:f>MAX(0,MIN(1,(F56-'总览与权重'!$B$19)/('总览与权重'!$C$19-'总览与权重'!$B$19)))</x:f>
        <x:v>0.34944574708586496</x:v>
      </x:c>
      <x:c r="M56" s="23" t="n">
        <x:f>MAX(0,MIN(1,(G56-'总览与权重'!$B$20)/('总览与权重'!$C$20-'总览与权重'!$B$20)))</x:f>
        <x:v>0.34944574708586496</x:v>
      </x:c>
      <x:c r="N56" s="23" t="n">
        <x:f>J56</x:f>
        <x:v>0.5</x:v>
      </x:c>
      <x:c r="O56" s="22" t="str">
        <x:v>是</x:v>
      </x:c>
      <x:c r="P56" s="22" t="n">
        <x:v>0.231560761445105</x:v>
      </x:c>
      <x:c r="Q56" s="22" t="n">
        <x:v>0.231560761445105</x:v>
      </x:c>
      <x:c r="R56" s="22" t="n">
        <x:v>0.231560761445105</x:v>
      </x:c>
      <x:c r="S56" s="23" t="n">
        <x:f>IF(O56="是",MAX(0,MIN(1,(P56-'总览与权重'!$B$21)/('总览与权重'!$C$21-'总览与权重'!$B$21))),"NA")</x:f>
        <x:v>0.5096483650602127</x:v>
      </x:c>
      <x:c r="T56" s="23" t="n">
        <x:f>IF(O56="是",MAX(0,MIN(1,(Q56-'总览与权重'!$B$22)/('总览与权重'!$C$22-'总览与权重'!$B$22))),"NA")</x:f>
        <x:v>0.6157803807225525</x:v>
      </x:c>
      <x:c r="U56" s="23" t="n">
        <x:f>IF(O56="是",MAX(0,MIN(1,(R56-'总览与权重'!$B$23)/('总览与权重'!$C$23-'总览与权重'!$B$23))),"NA")</x:f>
        <x:v>0.6157803807225525</x:v>
      </x:c>
      <x:c r="V56" s="23" t="n">
        <x:f>IF(O56="是",J56,"NA")</x:f>
        <x:v>0.5</x:v>
      </x:c>
      <x:c r="W56" s="22" t="str">
        <x:v>完整</x:v>
      </x:c>
      <x:c r="X56" s="22" t="n">
        <x:v>1</x:v>
      </x:c>
      <x:c r="Y56" s="22" t="n">
        <x:v>0</x:v>
      </x:c>
      <x:c r="Z56" s="22" t="n">
        <x:v>-0.25</x:v>
      </x:c>
      <x:c r="AA56" s="22" t="n">
        <x:v>-0.119047619048</x:v>
      </x:c>
      <x:c r="AB56" s="22" t="str">
        <x:v>知识点理解与概念探究；正向评价（不计能力分）</x:v>
      </x:c>
      <x:c r="AC56" s="22" t="str">
        <x:v>NA</x:v>
      </x:c>
      <x:c r="AD56" s="22" t="str">
        <x:v>NA</x:v>
      </x:c>
      <x:c r="AE56" s="22" t="str">
        <x:v>["S0486"]</x:v>
      </x:c>
      <x:c r="AF56" s="22" t="str">
        <x:v>["2025秋:2025秋-数学模型-问答记录导出20260502导出_已标注_已更新.xlsx:问答记录:498"]</x:v>
      </x:c>
      <x:c r="AG56" s="22" t="str">
        <x:v>evidence/student_evidence.jsonl；student_key=2025秋:258976</x:v>
      </x:c>
      <x:c r="AH56" s="27" t="str"/>
    </x:row>
    <x:row r="57" ht="23" customHeight="1">
      <x:c r="A57" s="21" t="str">
        <x:v>2025秋:258988</x:v>
      </x:c>
      <x:c r="B57" s="22" t="str">
        <x:v>s3</x:v>
      </x:c>
      <x:c r="C57" s="24" t="n">
        <x:v>1</x:v>
      </x:c>
      <x:c r="D57" s="24" t="n">
        <x:v>1</x:v>
      </x:c>
      <x:c r="E57" s="22" t="n">
        <x:v>0.48317308171089984</x:v>
      </x:c>
      <x:c r="F57" s="22" t="n">
        <x:v>0.48317308171089984</x:v>
      </x:c>
      <x:c r="G57" s="22" t="n">
        <x:v>0.48317308171089984</x:v>
      </x:c>
      <x:c r="H57" s="24" t="n">
        <x:v>1</x:v>
      </x:c>
      <x:c r="I57" s="24" t="n">
        <x:v>1</x:v>
      </x:c>
      <x:c r="J57" s="23" t="n">
        <x:f>IF(I57&gt;0,H57/I57,"NA")</x:f>
        <x:v>1</x:v>
      </x:c>
      <x:c r="K57" s="23" t="n">
        <x:f>MAX(0,MIN(1,(E57-'总览与权重'!$B$18)/('总览与权重'!$C$18-'总览与权重'!$B$18)))</x:f>
        <x:v>0.04026442347590832</x:v>
      </x:c>
      <x:c r="L57" s="23" t="n">
        <x:f>MAX(0,MIN(1,(F57-'总览与权重'!$B$19)/('总览与权重'!$C$19-'总览与权重'!$B$19)))</x:f>
        <x:v>0.48317308171089984</x:v>
      </x:c>
      <x:c r="M57" s="23" t="n">
        <x:f>MAX(0,MIN(1,(G57-'总览与权重'!$B$20)/('总览与权重'!$C$20-'总览与权重'!$B$20)))</x:f>
        <x:v>0.48317308171089984</x:v>
      </x:c>
      <x:c r="N57" s="23" t="n">
        <x:f>J57</x:f>
        <x:v>1</x:v>
      </x:c>
      <x:c r="O57" s="22" t="str">
        <x:v>是</x:v>
      </x:c>
      <x:c r="P57" s="22" t="n">
        <x:v>0.34636915495481013</x:v>
      </x:c>
      <x:c r="Q57" s="22" t="n">
        <x:v>0.34636915495481013</x:v>
      </x:c>
      <x:c r="R57" s="22" t="n">
        <x:v>0.34636915495481013</x:v>
      </x:c>
      <x:c r="S57" s="23" t="n">
        <x:f>IF(O57="是",MAX(0,MIN(1,(P57-'总览与权重'!$B$21)/('总览与权重'!$C$21-'总览与权重'!$B$21))),"NA")</x:f>
        <x:v>0.5144320481231172</x:v>
      </x:c>
      <x:c r="T57" s="23" t="n">
        <x:f>IF(O57="是",MAX(0,MIN(1,(Q57-'总览与权重'!$B$22)/('总览与权重'!$C$22-'总览与权重'!$B$22))),"NA")</x:f>
        <x:v>0.673184577477405</x:v>
      </x:c>
      <x:c r="U57" s="23" t="n">
        <x:f>IF(O57="是",MAX(0,MIN(1,(R57-'总览与权重'!$B$23)/('总览与权重'!$C$23-'总览与权重'!$B$23))),"NA")</x:f>
        <x:v>0.673184577477405</x:v>
      </x:c>
      <x:c r="V57" s="23" t="n">
        <x:f>IF(O57="是",J57,"NA")</x:f>
        <x:v>1</x:v>
      </x:c>
      <x:c r="W57" s="22" t="str">
        <x:v>完整</x:v>
      </x:c>
      <x:c r="X57" s="22" t="n">
        <x:v>2</x:v>
      </x:c>
      <x:c r="Y57" s="22" t="n">
        <x:v>0.6321205588285577</x:v>
      </x:c>
      <x:c r="Z57" s="22" t="n">
        <x:v>0.05</x:v>
      </x:c>
      <x:c r="AA57" s="22" t="n">
        <x:v>0.547619047619</x:v>
      </x:c>
      <x:c r="AB57" s="22" t="str">
        <x:v>知识点理解与概念探究；正向评价（不计能力分）</x:v>
      </x:c>
      <x:c r="AC57" s="22" t="str">
        <x:v>NA</x:v>
      </x:c>
      <x:c r="AD57" s="22" t="str">
        <x:v>NA</x:v>
      </x:c>
      <x:c r="AE57" s="22" t="str">
        <x:v>["S0315"]</x:v>
      </x:c>
      <x:c r="AF57" s="22" t="str">
        <x:v>["2025秋:2025秋-数学模型-问答记录导出20260502导出_已标注_已更新.xlsx:问答记录:323"]</x:v>
      </x:c>
      <x:c r="AG57" s="22" t="str">
        <x:v>evidence/student_evidence.jsonl；student_key=2025秋:258988</x:v>
      </x:c>
      <x:c r="AH57" s="27" t="str"/>
    </x:row>
    <x:row r="58" ht="23" customHeight="1">
      <x:c r="A58" s="21" t="str">
        <x:v>2025秋:258990</x:v>
      </x:c>
      <x:c r="B58" s="22" t="str">
        <x:v>s3</x:v>
      </x:c>
      <x:c r="C58" s="24" t="n">
        <x:v>1</x:v>
      </x:c>
      <x:c r="D58" s="24" t="n">
        <x:v>1</x:v>
      </x:c>
      <x:c r="E58" s="22" t="n">
        <x:v>0.3523822742847367</x:v>
      </x:c>
      <x:c r="F58" s="22" t="n">
        <x:v>0.3523822742847367</x:v>
      </x:c>
      <x:c r="G58" s="22" t="n">
        <x:v>0.3523822742847367</x:v>
      </x:c>
      <x:c r="H58" s="24" t="n">
        <x:v>1</x:v>
      </x:c>
      <x:c r="I58" s="24" t="n">
        <x:v>3</x:v>
      </x:c>
      <x:c r="J58" s="23" t="n">
        <x:f>IF(I58&gt;0,H58/I58,"NA")</x:f>
        <x:v>0.3333333333333333</x:v>
      </x:c>
      <x:c r="K58" s="23" t="n">
        <x:f>MAX(0,MIN(1,(E58-'总览与权重'!$B$18)/('总览与权重'!$C$18-'总览与权重'!$B$18)))</x:f>
        <x:v>0.029365189523728057</x:v>
      </x:c>
      <x:c r="L58" s="23" t="n">
        <x:f>MAX(0,MIN(1,(F58-'总览与权重'!$B$19)/('总览与权重'!$C$19-'总览与权重'!$B$19)))</x:f>
        <x:v>0.3523822742847367</x:v>
      </x:c>
      <x:c r="M58" s="23" t="n">
        <x:f>MAX(0,MIN(1,(G58-'总览与权重'!$B$20)/('总览与权重'!$C$20-'总览与权重'!$B$20)))</x:f>
        <x:v>0.3523822742847367</x:v>
      </x:c>
      <x:c r="N58" s="23" t="n">
        <x:f>J58</x:f>
        <x:v>0.3333333333333333</x:v>
      </x:c>
      <x:c r="O58" s="22" t="str">
        <x:v>是</x:v>
      </x:c>
      <x:c r="P58" s="22" t="n">
        <x:v>0.21557834752864694</x:v>
      </x:c>
      <x:c r="Q58" s="22" t="n">
        <x:v>0.21557834752864694</x:v>
      </x:c>
      <x:c r="R58" s="22" t="n">
        <x:v>0.21557834752864694</x:v>
      </x:c>
      <x:c r="S58" s="23" t="n">
        <x:f>IF(O58="是",MAX(0,MIN(1,(P58-'总览与权重'!$B$21)/('总览与权重'!$C$21-'总览与权重'!$B$21))),"NA")</x:f>
        <x:v>0.5089824311470269</x:v>
      </x:c>
      <x:c r="T58" s="23" t="n">
        <x:f>IF(O58="是",MAX(0,MIN(1,(Q58-'总览与权重'!$B$22)/('总览与权重'!$C$22-'总览与权重'!$B$22))),"NA")</x:f>
        <x:v>0.6077891737643235</x:v>
      </x:c>
      <x:c r="U58" s="23" t="n">
        <x:f>IF(O58="是",MAX(0,MIN(1,(R58-'总览与权重'!$B$23)/('总览与权重'!$C$23-'总览与权重'!$B$23))),"NA")</x:f>
        <x:v>0.6077891737643235</x:v>
      </x:c>
      <x:c r="V58" s="23" t="n">
        <x:f>IF(O58="是",J58,"NA")</x:f>
        <x:v>0.3333333333333333</x:v>
      </x:c>
      <x:c r="W58" s="22" t="str">
        <x:v>完整</x:v>
      </x:c>
      <x:c r="X58" s="22" t="n">
        <x:v>1</x:v>
      </x:c>
      <x:c r="Y58" s="22" t="n">
        <x:v>0</x:v>
      </x:c>
      <x:c r="Z58" s="22" t="n">
        <x:v>-0.25</x:v>
      </x:c>
      <x:c r="AA58" s="22" t="n">
        <x:v>-0.119047619048</x:v>
      </x:c>
      <x:c r="AB58" s="22" t="str">
        <x:v>知识点理解与概念探究；正向评价（不计能力分）</x:v>
      </x:c>
      <x:c r="AC58" s="22" t="str">
        <x:v>NA</x:v>
      </x:c>
      <x:c r="AD58" s="22" t="str">
        <x:v>NA</x:v>
      </x:c>
      <x:c r="AE58" s="22" t="str">
        <x:v>["S0491"]</x:v>
      </x:c>
      <x:c r="AF58" s="22" t="str">
        <x:v>["2025秋:2025秋-数学模型-问答记录导出20260502导出_已标注_已更新.xlsx:问答记录:503"]</x:v>
      </x:c>
      <x:c r="AG58" s="22" t="str">
        <x:v>evidence/student_evidence.jsonl；student_key=2025秋:258990</x:v>
      </x:c>
      <x:c r="AH58" s="27" t="str"/>
    </x:row>
    <x:row r="59" ht="48" customHeight="1">
      <x:c r="A59" s="21" t="str">
        <x:v>2025秋:258995</x:v>
      </x:c>
      <x:c r="B59" s="22" t="str">
        <x:v>s3</x:v>
      </x:c>
      <x:c r="C59" s="24" t="n">
        <x:v>1</x:v>
      </x:c>
      <x:c r="D59" s="24" t="n">
        <x:v>1</x:v>
      </x:c>
      <x:c r="E59" s="22" t="n">
        <x:v>0</x:v>
      </x:c>
      <x:c r="F59" s="22" t="n">
        <x:v>0</x:v>
      </x:c>
      <x:c r="G59" s="22" t="n">
        <x:v>0</x:v>
      </x:c>
      <x:c r="H59" s="24" t="n">
        <x:v>1</x:v>
      </x:c>
      <x:c r="I59" s="24" t="n">
        <x:v>1</x:v>
      </x:c>
      <x:c r="J59" s="23" t="n">
        <x:f>IF(I59&gt;0,H59/I59,"NA")</x:f>
        <x:v>1</x:v>
      </x:c>
      <x:c r="K59" s="23" t="n">
        <x:f>MAX(0,MIN(1,(E59-'总览与权重'!$B$18)/('总览与权重'!$C$18-'总览与权重'!$B$18)))</x:f>
        <x:v>0</x:v>
      </x:c>
      <x:c r="L59" s="23" t="n">
        <x:f>MAX(0,MIN(1,(F59-'总览与权重'!$B$19)/('总览与权重'!$C$19-'总览与权重'!$B$19)))</x:f>
        <x:v>0</x:v>
      </x:c>
      <x:c r="M59" s="23" t="n">
        <x:f>MAX(0,MIN(1,(G59-'总览与权重'!$B$20)/('总览与权重'!$C$20-'总览与权重'!$B$20)))</x:f>
        <x:v>0</x:v>
      </x:c>
      <x:c r="N59" s="23" t="n">
        <x:f>J59</x:f>
        <x:v>1</x:v>
      </x:c>
      <x:c r="O59" s="22" t="str">
        <x:v>是</x:v>
      </x:c>
      <x:c r="P59" s="22" t="n">
        <x:v>-0.11788498564075993</x:v>
      </x:c>
      <x:c r="Q59" s="22" t="n">
        <x:v>-0.11788498564075993</x:v>
      </x:c>
      <x:c r="R59" s="22" t="n">
        <x:v>-0.11788498564075993</x:v>
      </x:c>
      <x:c r="S59" s="23" t="n">
        <x:f>IF(O59="是",MAX(0,MIN(1,(P59-'总览与权重'!$B$21)/('总览与权重'!$C$21-'总览与权重'!$B$21))),"NA")</x:f>
        <x:v>0.4950881255983017</x:v>
      </x:c>
      <x:c r="T59" s="23" t="n">
        <x:f>IF(O59="是",MAX(0,MIN(1,(Q59-'总览与权重'!$B$22)/('总览与权重'!$C$22-'总览与权重'!$B$22))),"NA")</x:f>
        <x:v>0.44105750717962006</x:v>
      </x:c>
      <x:c r="U59" s="23" t="n">
        <x:f>IF(O59="是",MAX(0,MIN(1,(R59-'总览与权重'!$B$23)/('总览与权重'!$C$23-'总览与权重'!$B$23))),"NA")</x:f>
        <x:v>0.44105750717962006</x:v>
      </x:c>
      <x:c r="V59" s="23" t="n">
        <x:f>IF(O59="是",J59,"NA")</x:f>
        <x:v>1</x:v>
      </x:c>
      <x:c r="W59" s="22" t="str">
        <x:v>完整</x:v>
      </x:c>
      <x:c r="X59" s="22" t="n">
        <x:v>1</x:v>
      </x:c>
      <x:c r="Y59" s="22" t="n">
        <x:v>0</x:v>
      </x:c>
      <x:c r="Z59" s="22" t="n">
        <x:v>0</x:v>
      </x:c>
      <x:c r="AA59" s="22" t="n">
        <x:v>0</x:v>
      </x:c>
      <x:c r="AB59" s="22" t="str">
        <x:v>知识点理解与概念探究；无明确评价（不计能力分）</x:v>
      </x:c>
      <x:c r="AC59" s="22" t="str">
        <x:v>NA</x:v>
      </x:c>
      <x:c r="AD59" s="22" t="str">
        <x:v>NA</x:v>
      </x:c>
      <x:c r="AE59" s="22" t="str">
        <x:v>["S0408"]</x:v>
      </x:c>
      <x:c r="AF59" s="22" t="str">
        <x:v>["2025秋:2025秋-数学模型-问答记录导出20260502导出_已标注_已更新.xlsx:问答记录:419"]</x:v>
      </x:c>
      <x:c r="AG59" s="22" t="str">
        <x:v>evidence/student_evidence.jsonl；student_key=2025秋:258995</x:v>
      </x:c>
      <x:c r="AH59" s="27" t="str">
        <x:v>同一锚点起止1条：未形成独立重复测量。</x:v>
      </x:c>
    </x:row>
    <x:row r="60" ht="23" customHeight="1">
      <x:c r="A60" s="21" t="str">
        <x:v>2025秋:259001</x:v>
      </x:c>
      <x:c r="B60" s="22" t="str">
        <x:v>s3</x:v>
      </x:c>
      <x:c r="C60" s="24" t="n">
        <x:v>1</x:v>
      </x:c>
      <x:c r="D60" s="24" t="n">
        <x:v>1</x:v>
      </x:c>
      <x:c r="E60" s="22" t="n">
        <x:v>0</x:v>
      </x:c>
      <x:c r="F60" s="22" t="n">
        <x:v>0</x:v>
      </x:c>
      <x:c r="G60" s="22" t="n">
        <x:v>0</x:v>
      </x:c>
      <x:c r="H60" s="24" t="n">
        <x:v>1</x:v>
      </x:c>
      <x:c r="I60" s="24" t="n">
        <x:v>3</x:v>
      </x:c>
      <x:c r="J60" s="23" t="n">
        <x:f>IF(I60&gt;0,H60/I60,"NA")</x:f>
        <x:v>0.3333333333333333</x:v>
      </x:c>
      <x:c r="K60" s="23" t="n">
        <x:f>MAX(0,MIN(1,(E60-'总览与权重'!$B$18)/('总览与权重'!$C$18-'总览与权重'!$B$18)))</x:f>
        <x:v>0</x:v>
      </x:c>
      <x:c r="L60" s="23" t="n">
        <x:f>MAX(0,MIN(1,(F60-'总览与权重'!$B$19)/('总览与权重'!$C$19-'总览与权重'!$B$19)))</x:f>
        <x:v>0</x:v>
      </x:c>
      <x:c r="M60" s="23" t="n">
        <x:f>MAX(0,MIN(1,(G60-'总览与权重'!$B$20)/('总览与权重'!$C$20-'总览与权重'!$B$20)))</x:f>
        <x:v>0</x:v>
      </x:c>
      <x:c r="N60" s="23" t="n">
        <x:f>J60</x:f>
        <x:v>0.3333333333333333</x:v>
      </x:c>
      <x:c r="O60" s="22" t="str">
        <x:v>否</x:v>
      </x:c>
      <x:c r="P60" s="22" t="str">
        <x:v>NA</x:v>
      </x:c>
      <x:c r="Q60" s="22" t="str">
        <x:v>NA</x:v>
      </x:c>
      <x:c r="R60" s="22" t="str">
        <x:v>NA</x:v>
      </x:c>
      <x:c r="S60" s="23" t="str">
        <x:f>IF(O60="是",MAX(0,MIN(1,(P60-'总览与权重'!$B$21)/('总览与权重'!$C$21-'总览与权重'!$B$21))),"NA")</x:f>
        <x:v>NA</x:v>
      </x:c>
      <x:c r="T60" s="23" t="str">
        <x:f>IF(O60="是",MAX(0,MIN(1,(Q60-'总览与权重'!$B$22)/('总览与权重'!$C$22-'总览与权重'!$B$22))),"NA")</x:f>
        <x:v>NA</x:v>
      </x:c>
      <x:c r="U60" s="23" t="str">
        <x:f>IF(O60="是",MAX(0,MIN(1,(R60-'总览与权重'!$B$23)/('总览与权重'!$C$23-'总览与权重'!$B$23))),"NA")</x:f>
        <x:v>NA</x:v>
      </x:c>
      <x:c r="V60" s="23" t="str">
        <x:f>IF(O60="是",J60,"NA")</x:f>
        <x:v>NA</x:v>
      </x:c>
      <x:c r="W60" s="22" t="str">
        <x:v>无完整领域最早before配对</x:v>
      </x:c>
      <x:c r="X60" s="22" t="n">
        <x:v>2</x:v>
      </x:c>
      <x:c r="Y60" s="22" t="n">
        <x:v>0.6321205588285577</x:v>
      </x:c>
      <x:c r="Z60" s="22" t="n">
        <x:v>0</x:v>
      </x:c>
      <x:c r="AA60" s="22" t="n">
        <x:v>0</x:v>
      </x:c>
      <x:c r="AB60" s="22" t="str">
        <x:v>知识点理解与概念探究；正向评价（不计能力分）</x:v>
      </x:c>
      <x:c r="AC60" s="22" t="str">
        <x:v>NA</x:v>
      </x:c>
      <x:c r="AD60" s="22" t="str">
        <x:v>NA</x:v>
      </x:c>
      <x:c r="AE60" s="22" t="str">
        <x:v>["S0159"]</x:v>
      </x:c>
      <x:c r="AF60" s="22" t="str">
        <x:v>["2025秋:2025秋-数学模型-问答记录导出20260502导出_已标注_已更新.xlsx:问答记录:162"]</x:v>
      </x:c>
      <x:c r="AG60" s="22" t="str">
        <x:v>evidence/student_evidence.jsonl；student_key=2025秋:259001</x:v>
      </x:c>
      <x:c r="AH60" s="27" t="str"/>
    </x:row>
    <x:row r="61" ht="48" customHeight="1">
      <x:c r="A61" s="21" t="str">
        <x:v>2025秋:259004</x:v>
      </x:c>
      <x:c r="B61" s="22" t="str">
        <x:v>s3</x:v>
      </x:c>
      <x:c r="C61" s="24" t="n">
        <x:v>3</x:v>
      </x:c>
      <x:c r="D61" s="24" t="n">
        <x:v>1</x:v>
      </x:c>
      <x:c r="E61" s="22" t="n">
        <x:v>0</x:v>
      </x:c>
      <x:c r="F61" s="22" t="n">
        <x:v>0</x:v>
      </x:c>
      <x:c r="G61" s="22" t="n">
        <x:v>0</x:v>
      </x:c>
      <x:c r="H61" s="24" t="n">
        <x:v>3</x:v>
      </x:c>
      <x:c r="I61" s="24" t="n">
        <x:v>3</x:v>
      </x:c>
      <x:c r="J61" s="23" t="n">
        <x:f>IF(I61&gt;0,H61/I61,"NA")</x:f>
        <x:v>1</x:v>
      </x:c>
      <x:c r="K61" s="23" t="n">
        <x:f>MAX(0,MIN(1,(E61-'总览与权重'!$B$18)/('总览与权重'!$C$18-'总览与权重'!$B$18)))</x:f>
        <x:v>0</x:v>
      </x:c>
      <x:c r="L61" s="23" t="n">
        <x:f>MAX(0,MIN(1,(F61-'总览与权重'!$B$19)/('总览与权重'!$C$19-'总览与权重'!$B$19)))</x:f>
        <x:v>0</x:v>
      </x:c>
      <x:c r="M61" s="23" t="n">
        <x:f>MAX(0,MIN(1,(G61-'总览与权重'!$B$20)/('总览与权重'!$C$20-'总览与权重'!$B$20)))</x:f>
        <x:v>0</x:v>
      </x:c>
      <x:c r="N61" s="23" t="n">
        <x:f>J61</x:f>
        <x:v>1</x:v>
      </x:c>
      <x:c r="O61" s="22" t="str">
        <x:v>是</x:v>
      </x:c>
      <x:c r="P61" s="22" t="n">
        <x:v>-0.13683228565235026</x:v>
      </x:c>
      <x:c r="Q61" s="22" t="n">
        <x:v>-0.13683228565235026</x:v>
      </x:c>
      <x:c r="R61" s="22" t="n">
        <x:v>-0.13683228565235026</x:v>
      </x:c>
      <x:c r="S61" s="23" t="n">
        <x:f>IF(O61="是",MAX(0,MIN(1,(P61-'总览与权重'!$B$21)/('总览与权重'!$C$21-'总览与权重'!$B$21))),"NA")</x:f>
        <x:v>0.4942986547644854</x:v>
      </x:c>
      <x:c r="T61" s="23" t="n">
        <x:f>IF(O61="是",MAX(0,MIN(1,(Q61-'总览与权重'!$B$22)/('总览与权重'!$C$22-'总览与权重'!$B$22))),"NA")</x:f>
        <x:v>0.43158385717382486</x:v>
      </x:c>
      <x:c r="U61" s="23" t="n">
        <x:f>IF(O61="是",MAX(0,MIN(1,(R61-'总览与权重'!$B$23)/('总览与权重'!$C$23-'总览与权重'!$B$23))),"NA")</x:f>
        <x:v>0.43158385717382486</x:v>
      </x:c>
      <x:c r="V61" s="23" t="n">
        <x:f>IF(O61="是",J61,"NA")</x:f>
        <x:v>1</x:v>
      </x:c>
      <x:c r="W61" s="22" t="str">
        <x:v>完整</x:v>
      </x:c>
      <x:c r="X61" s="22" t="n">
        <x:v>1</x:v>
      </x:c>
      <x:c r="Y61" s="22" t="n">
        <x:v>0</x:v>
      </x:c>
      <x:c r="Z61" s="22" t="n">
        <x:v>0</x:v>
      </x:c>
      <x:c r="AA61" s="22" t="n">
        <x:v>0</x:v>
      </x:c>
      <x:c r="AB61" s="22" t="str">
        <x:v>知识点理解与概念探究；正向评价（不计能力分）</x:v>
      </x:c>
      <x:c r="AC61" s="22" t="str">
        <x:v>NA</x:v>
      </x:c>
      <x:c r="AD61" s="22" t="str">
        <x:v>NA</x:v>
      </x:c>
      <x:c r="AE61" s="22" t="str">
        <x:v>["S0172","S0224","S0391"]</x:v>
      </x:c>
      <x:c r="AF61" s="22" t="str">
        <x:v>["2025秋:2025秋-数学模型-问答记录导出20260502导出_已标注_已更新.xlsx:问答记录:175","2025秋:2025秋-数学模型-问答记录导出20260502导出_已标注_已更新.xlsx:问答记录:229","2025秋:2025秋-数学模型-问答记录导出20260502导出_已标注_已更新.xlsx:问答记录:402"]</x:v>
      </x:c>
      <x:c r="AG61" s="22" t="str">
        <x:v>evidence/student_evidence.jsonl；student_key=2025秋:259004</x:v>
      </x:c>
      <x:c r="AH61" s="27" t="str">
        <x:v>同一锚点起止2条：未形成独立重复测量。</x:v>
      </x:c>
    </x:row>
    <x:row r="62" ht="48" customHeight="1">
      <x:c r="A62" s="21" t="str">
        <x:v>2025秋:259015</x:v>
      </x:c>
      <x:c r="B62" s="22" t="str">
        <x:v>s3</x:v>
      </x:c>
      <x:c r="C62" s="24" t="n">
        <x:v>1</x:v>
      </x:c>
      <x:c r="D62" s="24" t="n">
        <x:v>1</x:v>
      </x:c>
      <x:c r="E62" s="22" t="n">
        <x:v>0</x:v>
      </x:c>
      <x:c r="F62" s="22" t="n">
        <x:v>0</x:v>
      </x:c>
      <x:c r="G62" s="22" t="n">
        <x:v>0</x:v>
      </x:c>
      <x:c r="H62" s="24" t="n">
        <x:v>1</x:v>
      </x:c>
      <x:c r="I62" s="24" t="n">
        <x:v>1</x:v>
      </x:c>
      <x:c r="J62" s="23" t="n">
        <x:f>IF(I62&gt;0,H62/I62,"NA")</x:f>
        <x:v>1</x:v>
      </x:c>
      <x:c r="K62" s="23" t="n">
        <x:f>MAX(0,MIN(1,(E62-'总览与权重'!$B$18)/('总览与权重'!$C$18-'总览与权重'!$B$18)))</x:f>
        <x:v>0</x:v>
      </x:c>
      <x:c r="L62" s="23" t="n">
        <x:f>MAX(0,MIN(1,(F62-'总览与权重'!$B$19)/('总览与权重'!$C$19-'总览与权重'!$B$19)))</x:f>
        <x:v>0</x:v>
      </x:c>
      <x:c r="M62" s="23" t="n">
        <x:f>MAX(0,MIN(1,(G62-'总览与权重'!$B$20)/('总览与权重'!$C$20-'总览与权重'!$B$20)))</x:f>
        <x:v>0</x:v>
      </x:c>
      <x:c r="N62" s="23" t="n">
        <x:f>J62</x:f>
        <x:v>1</x:v>
      </x:c>
      <x:c r="O62" s="22" t="str">
        <x:v>是</x:v>
      </x:c>
      <x:c r="P62" s="22" t="n">
        <x:v>-0.0760685021771465</x:v>
      </x:c>
      <x:c r="Q62" s="22" t="n">
        <x:v>-0.09508562772143313</x:v>
      </x:c>
      <x:c r="R62" s="22" t="n">
        <x:v>-0.09508562772143313</x:v>
      </x:c>
      <x:c r="S62" s="23" t="n">
        <x:f>IF(O62="是",MAX(0,MIN(1,(P62-'总览与权重'!$B$21)/('总览与权重'!$C$21-'总览与权重'!$B$21))),"NA")</x:f>
        <x:v>0.4968304790759522</x:v>
      </x:c>
      <x:c r="T62" s="23" t="n">
        <x:f>IF(O62="是",MAX(0,MIN(1,(Q62-'总览与权重'!$B$22)/('总览与权重'!$C$22-'总览与权重'!$B$22))),"NA")</x:f>
        <x:v>0.45245718613928343</x:v>
      </x:c>
      <x:c r="U62" s="23" t="n">
        <x:f>IF(O62="是",MAX(0,MIN(1,(R62-'总览与权重'!$B$23)/('总览与权重'!$C$23-'总览与权重'!$B$23))),"NA")</x:f>
        <x:v>0.45245718613928343</x:v>
      </x:c>
      <x:c r="V62" s="23" t="n">
        <x:f>IF(O62="是",J62,"NA")</x:f>
        <x:v>1</x:v>
      </x:c>
      <x:c r="W62" s="22" t="str">
        <x:v>完整</x:v>
      </x:c>
      <x:c r="X62" s="22" t="n">
        <x:v>2</x:v>
      </x:c>
      <x:c r="Y62" s="22" t="n">
        <x:v>0.6321205588285577</x:v>
      </x:c>
      <x:c r="Z62" s="22" t="n">
        <x:v>0</x:v>
      </x:c>
      <x:c r="AA62" s="22" t="n">
        <x:v>0</x:v>
      </x:c>
      <x:c r="AB62" s="22" t="str">
        <x:v>知识点理解与概念探究；正向评价（不计能力分）</x:v>
      </x:c>
      <x:c r="AC62" s="22" t="str">
        <x:v>NA</x:v>
      </x:c>
      <x:c r="AD62" s="22" t="str">
        <x:v>NA</x:v>
      </x:c>
      <x:c r="AE62" s="22" t="str">
        <x:v>["S0371"]</x:v>
      </x:c>
      <x:c r="AF62" s="22" t="str">
        <x:v>["2025秋:2025秋-数学模型-问答记录导出20260502导出_已标注_已更新.xlsx:问答记录:382"]</x:v>
      </x:c>
      <x:c r="AG62" s="22" t="str">
        <x:v>evidence/student_evidence.jsonl；student_key=2025秋:259015</x:v>
      </x:c>
      <x:c r="AH62" s="27" t="str">
        <x:v>同一锚点起止1条：未形成独立重复测量。</x:v>
      </x:c>
    </x:row>
    <x:row r="63" ht="23" customHeight="1">
      <x:c r="A63" s="21" t="str">
        <x:v>2025秋:259016</x:v>
      </x:c>
      <x:c r="B63" s="22" t="str">
        <x:v>s3</x:v>
      </x:c>
      <x:c r="C63" s="24" t="n">
        <x:v>1</x:v>
      </x:c>
      <x:c r="D63" s="24" t="n">
        <x:v>1</x:v>
      </x:c>
      <x:c r="E63" s="22" t="n">
        <x:v>0.3145844846642719</x:v>
      </x:c>
      <x:c r="F63" s="22" t="n">
        <x:v>0.3145844846642719</x:v>
      </x:c>
      <x:c r="G63" s="22" t="n">
        <x:v>0.3145844846642719</x:v>
      </x:c>
      <x:c r="H63" s="24" t="n">
        <x:v>1</x:v>
      </x:c>
      <x:c r="I63" s="24" t="n">
        <x:v>1</x:v>
      </x:c>
      <x:c r="J63" s="23" t="n">
        <x:f>IF(I63&gt;0,H63/I63,"NA")</x:f>
        <x:v>1</x:v>
      </x:c>
      <x:c r="K63" s="23" t="n">
        <x:f>MAX(0,MIN(1,(E63-'总览与权重'!$B$18)/('总览与权重'!$C$18-'总览与权重'!$B$18)))</x:f>
        <x:v>0.02621537372202266</x:v>
      </x:c>
      <x:c r="L63" s="23" t="n">
        <x:f>MAX(0,MIN(1,(F63-'总览与权重'!$B$19)/('总览与权重'!$C$19-'总览与权重'!$B$19)))</x:f>
        <x:v>0.3145844846642719</x:v>
      </x:c>
      <x:c r="M63" s="23" t="n">
        <x:f>MAX(0,MIN(1,(G63-'总览与权重'!$B$20)/('总览与权重'!$C$20-'总览与权重'!$B$20)))</x:f>
        <x:v>0.3145844846642719</x:v>
      </x:c>
      <x:c r="N63" s="23" t="n">
        <x:f>J63</x:f>
        <x:v>1</x:v>
      </x:c>
      <x:c r="O63" s="22" t="str">
        <x:v>是</x:v>
      </x:c>
      <x:c r="P63" s="22" t="n">
        <x:v>0.17844177171584968</x:v>
      </x:c>
      <x:c r="Q63" s="22" t="n">
        <x:v>0.2230522146448121</x:v>
      </x:c>
      <x:c r="R63" s="22" t="n">
        <x:v>0.2230522146448121</x:v>
      </x:c>
      <x:c r="S63" s="23" t="n">
        <x:f>IF(O63="是",MAX(0,MIN(1,(P63-'总览与权重'!$B$21)/('总览与权重'!$C$21-'总览与权重'!$B$21))),"NA")</x:f>
        <x:v>0.5074350738214938</x:v>
      </x:c>
      <x:c r="T63" s="23" t="n">
        <x:f>IF(O63="是",MAX(0,MIN(1,(Q63-'总览与权重'!$B$22)/('总览与权重'!$C$22-'总览与权重'!$B$22))),"NA")</x:f>
        <x:v>0.6115261073224061</x:v>
      </x:c>
      <x:c r="U63" s="23" t="n">
        <x:f>IF(O63="是",MAX(0,MIN(1,(R63-'总览与权重'!$B$23)/('总览与权重'!$C$23-'总览与权重'!$B$23))),"NA")</x:f>
        <x:v>0.6115261073224061</x:v>
      </x:c>
      <x:c r="V63" s="23" t="n">
        <x:f>IF(O63="是",J63,"NA")</x:f>
        <x:v>1</x:v>
      </x:c>
      <x:c r="W63" s="22" t="str">
        <x:v>完整</x:v>
      </x:c>
      <x:c r="X63" s="22" t="n">
        <x:v>2</x:v>
      </x:c>
      <x:c r="Y63" s="22" t="n">
        <x:v>0.6321205588285577</x:v>
      </x:c>
      <x:c r="Z63" s="22" t="n">
        <x:v>-0.25</x:v>
      </x:c>
      <x:c r="AA63" s="22" t="n">
        <x:v>-0.119047619048</x:v>
      </x:c>
      <x:c r="AB63" s="22" t="str">
        <x:v>知识点理解与概念探究；正向评价（不计能力分）</x:v>
      </x:c>
      <x:c r="AC63" s="22" t="str">
        <x:v>NA</x:v>
      </x:c>
      <x:c r="AD63" s="22" t="str">
        <x:v>NA</x:v>
      </x:c>
      <x:c r="AE63" s="22" t="str">
        <x:v>["S0203"]</x:v>
      </x:c>
      <x:c r="AF63" s="22" t="str">
        <x:v>["2025秋:2025秋-数学模型-问答记录导出20260502导出_已标注_已更新.xlsx:问答记录:208"]</x:v>
      </x:c>
      <x:c r="AG63" s="22" t="str">
        <x:v>evidence/student_evidence.jsonl；student_key=2025秋:259016</x:v>
      </x:c>
      <x:c r="AH63" s="27" t="str"/>
    </x:row>
    <x:row r="64" ht="23" customHeight="1">
      <x:c r="A64" s="21" t="str">
        <x:v>2025秋:259021</x:v>
      </x:c>
      <x:c r="B64" s="22" t="str">
        <x:v>s3</x:v>
      </x:c>
      <x:c r="C64" s="24" t="n">
        <x:v>1</x:v>
      </x:c>
      <x:c r="D64" s="24" t="n">
        <x:v>1</x:v>
      </x:c>
      <x:c r="E64" s="22" t="n">
        <x:v>0.4961454191060238</x:v>
      </x:c>
      <x:c r="F64" s="22" t="n">
        <x:v>0.4961454191060238</x:v>
      </x:c>
      <x:c r="G64" s="22" t="n">
        <x:v>0.4961454191060238</x:v>
      </x:c>
      <x:c r="H64" s="24" t="n">
        <x:v>1</x:v>
      </x:c>
      <x:c r="I64" s="24" t="n">
        <x:v>1</x:v>
      </x:c>
      <x:c r="J64" s="23" t="n">
        <x:f>IF(I64&gt;0,H64/I64,"NA")</x:f>
        <x:v>1</x:v>
      </x:c>
      <x:c r="K64" s="23" t="n">
        <x:f>MAX(0,MIN(1,(E64-'总览与权重'!$B$18)/('总览与权重'!$C$18-'总览与权重'!$B$18)))</x:f>
        <x:v>0.041345451592168646</x:v>
      </x:c>
      <x:c r="L64" s="23" t="n">
        <x:f>MAX(0,MIN(1,(F64-'总览与权重'!$B$19)/('总览与权重'!$C$19-'总览与权重'!$B$19)))</x:f>
        <x:v>0.4961454191060238</x:v>
      </x:c>
      <x:c r="M64" s="23" t="n">
        <x:f>MAX(0,MIN(1,(G64-'总览与权重'!$B$20)/('总览与权重'!$C$20-'总览与权重'!$B$20)))</x:f>
        <x:v>0.4961454191060238</x:v>
      </x:c>
      <x:c r="N64" s="23" t="n">
        <x:f>J64</x:f>
        <x:v>1</x:v>
      </x:c>
      <x:c r="O64" s="22" t="str">
        <x:v>是</x:v>
      </x:c>
      <x:c r="P64" s="22" t="n">
        <x:v>0.35931313345367355</x:v>
      </x:c>
      <x:c r="Q64" s="22" t="n">
        <x:v>0.35931313345367355</x:v>
      </x:c>
      <x:c r="R64" s="22" t="n">
        <x:v>0.35931313345367355</x:v>
      </x:c>
      <x:c r="S64" s="23" t="n">
        <x:f>IF(O64="是",MAX(0,MIN(1,(P64-'总览与权重'!$B$21)/('总览与权重'!$C$21-'总览与权重'!$B$21))),"NA")</x:f>
        <x:v>0.5149713805605697</x:v>
      </x:c>
      <x:c r="T64" s="23" t="n">
        <x:f>IF(O64="是",MAX(0,MIN(1,(Q64-'总览与权重'!$B$22)/('总览与权重'!$C$22-'总览与权重'!$B$22))),"NA")</x:f>
        <x:v>0.6796565667268368</x:v>
      </x:c>
      <x:c r="U64" s="23" t="n">
        <x:f>IF(O64="是",MAX(0,MIN(1,(R64-'总览与权重'!$B$23)/('总览与权重'!$C$23-'总览与权重'!$B$23))),"NA")</x:f>
        <x:v>0.6796565667268368</x:v>
      </x:c>
      <x:c r="V64" s="23" t="n">
        <x:f>IF(O64="是",J64,"NA")</x:f>
        <x:v>1</x:v>
      </x:c>
      <x:c r="W64" s="22" t="str">
        <x:v>完整</x:v>
      </x:c>
      <x:c r="X64" s="22" t="n">
        <x:v>1</x:v>
      </x:c>
      <x:c r="Y64" s="22" t="n">
        <x:v>0</x:v>
      </x:c>
      <x:c r="Z64" s="22" t="n">
        <x:v>0.05</x:v>
      </x:c>
      <x:c r="AA64" s="22" t="n">
        <x:v>0.547619047619</x:v>
      </x:c>
      <x:c r="AB64" s="22" t="str">
        <x:v>模型方法选择与问题求解；正向评价（不计能力分）</x:v>
      </x:c>
      <x:c r="AC64" s="22" t="str">
        <x:v>NA</x:v>
      </x:c>
      <x:c r="AD64" s="22" t="str">
        <x:v>NA</x:v>
      </x:c>
      <x:c r="AE64" s="22" t="str">
        <x:v>["S0464"]</x:v>
      </x:c>
      <x:c r="AF64" s="22" t="str">
        <x:v>["2025秋:2025秋-数学模型-问答记录导出20260502导出_已标注_已更新.xlsx:问答记录:476"]</x:v>
      </x:c>
      <x:c r="AG64" s="22" t="str">
        <x:v>evidence/student_evidence.jsonl；student_key=2025秋:259021</x:v>
      </x:c>
      <x:c r="AH64" s="27" t="str"/>
    </x:row>
    <x:row r="65" ht="23" customHeight="1">
      <x:c r="A65" s="21" t="str">
        <x:v>2025秋:259023</x:v>
      </x:c>
      <x:c r="B65" s="22" t="str">
        <x:v>s3</x:v>
      </x:c>
      <x:c r="C65" s="24" t="n">
        <x:v>1</x:v>
      </x:c>
      <x:c r="D65" s="24" t="n">
        <x:v>1</x:v>
      </x:c>
      <x:c r="E65" s="22" t="n">
        <x:v>0</x:v>
      </x:c>
      <x:c r="F65" s="22" t="n">
        <x:v>0</x:v>
      </x:c>
      <x:c r="G65" s="22" t="n">
        <x:v>0</x:v>
      </x:c>
      <x:c r="H65" s="24" t="n">
        <x:v>1</x:v>
      </x:c>
      <x:c r="I65" s="24" t="n">
        <x:v>1</x:v>
      </x:c>
      <x:c r="J65" s="23" t="n">
        <x:f>IF(I65&gt;0,H65/I65,"NA")</x:f>
        <x:v>1</x:v>
      </x:c>
      <x:c r="K65" s="23" t="n">
        <x:f>MAX(0,MIN(1,(E65-'总览与权重'!$B$18)/('总览与权重'!$C$18-'总览与权重'!$B$18)))</x:f>
        <x:v>0</x:v>
      </x:c>
      <x:c r="L65" s="23" t="n">
        <x:f>MAX(0,MIN(1,(F65-'总览与权重'!$B$19)/('总览与权重'!$C$19-'总览与权重'!$B$19)))</x:f>
        <x:v>0</x:v>
      </x:c>
      <x:c r="M65" s="23" t="n">
        <x:f>MAX(0,MIN(1,(G65-'总览与权重'!$B$20)/('总览与权重'!$C$20-'总览与权重'!$B$20)))</x:f>
        <x:v>0</x:v>
      </x:c>
      <x:c r="N65" s="23" t="n">
        <x:f>J65</x:f>
        <x:v>1</x:v>
      </x:c>
      <x:c r="O65" s="22" t="str">
        <x:v>是</x:v>
      </x:c>
      <x:c r="P65" s="22" t="n">
        <x:v>-0.11788498564075993</x:v>
      </x:c>
      <x:c r="Q65" s="22" t="n">
        <x:v>-0.11788498564075993</x:v>
      </x:c>
      <x:c r="R65" s="22" t="n">
        <x:v>-0.11788498564075993</x:v>
      </x:c>
      <x:c r="S65" s="23" t="n">
        <x:f>IF(O65="是",MAX(0,MIN(1,(P65-'总览与权重'!$B$21)/('总览与权重'!$C$21-'总览与权重'!$B$21))),"NA")</x:f>
        <x:v>0.4950881255983017</x:v>
      </x:c>
      <x:c r="T65" s="23" t="n">
        <x:f>IF(O65="是",MAX(0,MIN(1,(Q65-'总览与权重'!$B$22)/('总览与权重'!$C$22-'总览与权重'!$B$22))),"NA")</x:f>
        <x:v>0.44105750717962006</x:v>
      </x:c>
      <x:c r="U65" s="23" t="n">
        <x:f>IF(O65="是",MAX(0,MIN(1,(R65-'总览与权重'!$B$23)/('总览与权重'!$C$23-'总览与权重'!$B$23))),"NA")</x:f>
        <x:v>0.44105750717962006</x:v>
      </x:c>
      <x:c r="V65" s="23" t="n">
        <x:f>IF(O65="是",J65,"NA")</x:f>
        <x:v>1</x:v>
      </x:c>
      <x:c r="W65" s="22" t="str">
        <x:v>完整</x:v>
      </x:c>
      <x:c r="X65" s="22" t="n">
        <x:v>1</x:v>
      </x:c>
      <x:c r="Y65" s="22" t="n">
        <x:v>0</x:v>
      </x:c>
      <x:c r="Z65" s="22" t="n">
        <x:v>0</x:v>
      </x:c>
      <x:c r="AA65" s="22" t="n">
        <x:v>0</x:v>
      </x:c>
      <x:c r="AB65" s="22" t="str">
        <x:v>知识点理解与概念探究；负向或质疑（不计能力分）</x:v>
      </x:c>
      <x:c r="AC65" s="22" t="str">
        <x:v>NA</x:v>
      </x:c>
      <x:c r="AD65" s="22" t="str">
        <x:v>NA</x:v>
      </x:c>
      <x:c r="AE65" s="22" t="str">
        <x:v>["S0463"]</x:v>
      </x:c>
      <x:c r="AF65" s="22" t="str">
        <x:v>["2025秋:2025秋-数学模型-问答记录导出20260502导出_已标注_已更新.xlsx:问答记录:475"]</x:v>
      </x:c>
      <x:c r="AG65" s="22" t="str">
        <x:v>evidence/student_evidence.jsonl；student_key=2025秋:259023</x:v>
      </x:c>
      <x:c r="AH65" s="27" t="str"/>
    </x:row>
    <x:row r="66" ht="23" customHeight="1">
      <x:c r="A66" s="21" t="str">
        <x:v>2025秋:259024</x:v>
      </x:c>
      <x:c r="B66" s="22" t="str">
        <x:v>s3</x:v>
      </x:c>
      <x:c r="C66" s="24" t="n">
        <x:v>1</x:v>
      </x:c>
      <x:c r="D66" s="24" t="n">
        <x:v>1</x:v>
      </x:c>
      <x:c r="E66" s="22" t="n">
        <x:v>0.3145844846642719</x:v>
      </x:c>
      <x:c r="F66" s="22" t="n">
        <x:v>0.3145844846642719</x:v>
      </x:c>
      <x:c r="G66" s="22" t="n">
        <x:v>0.3145844846642719</x:v>
      </x:c>
      <x:c r="H66" s="24" t="n">
        <x:v>1</x:v>
      </x:c>
      <x:c r="I66" s="24" t="n">
        <x:v>1</x:v>
      </x:c>
      <x:c r="J66" s="23" t="n">
        <x:f>IF(I66&gt;0,H66/I66,"NA")</x:f>
        <x:v>1</x:v>
      </x:c>
      <x:c r="K66" s="23" t="n">
        <x:f>MAX(0,MIN(1,(E66-'总览与权重'!$B$18)/('总览与权重'!$C$18-'总览与权重'!$B$18)))</x:f>
        <x:v>0.02621537372202266</x:v>
      </x:c>
      <x:c r="L66" s="23" t="n">
        <x:f>MAX(0,MIN(1,(F66-'总览与权重'!$B$19)/('总览与权重'!$C$19-'总览与权重'!$B$19)))</x:f>
        <x:v>0.3145844846642719</x:v>
      </x:c>
      <x:c r="M66" s="23" t="n">
        <x:f>MAX(0,MIN(1,(G66-'总览与权重'!$B$20)/('总览与权重'!$C$20-'总览与权重'!$B$20)))</x:f>
        <x:v>0.3145844846642719</x:v>
      </x:c>
      <x:c r="N66" s="23" t="n">
        <x:f>J66</x:f>
        <x:v>1</x:v>
      </x:c>
      <x:c r="O66" s="22" t="str">
        <x:v>是</x:v>
      </x:c>
      <x:c r="P66" s="22" t="n">
        <x:v>0.17844177171584968</x:v>
      </x:c>
      <x:c r="Q66" s="22" t="n">
        <x:v>0.2230522146448121</x:v>
      </x:c>
      <x:c r="R66" s="22" t="n">
        <x:v>0.2230522146448121</x:v>
      </x:c>
      <x:c r="S66" s="23" t="n">
        <x:f>IF(O66="是",MAX(0,MIN(1,(P66-'总览与权重'!$B$21)/('总览与权重'!$C$21-'总览与权重'!$B$21))),"NA")</x:f>
        <x:v>0.5074350738214938</x:v>
      </x:c>
      <x:c r="T66" s="23" t="n">
        <x:f>IF(O66="是",MAX(0,MIN(1,(Q66-'总览与权重'!$B$22)/('总览与权重'!$C$22-'总览与权重'!$B$22))),"NA")</x:f>
        <x:v>0.6115261073224061</x:v>
      </x:c>
      <x:c r="U66" s="23" t="n">
        <x:f>IF(O66="是",MAX(0,MIN(1,(R66-'总览与权重'!$B$23)/('总览与权重'!$C$23-'总览与权重'!$B$23))),"NA")</x:f>
        <x:v>0.6115261073224061</x:v>
      </x:c>
      <x:c r="V66" s="23" t="n">
        <x:f>IF(O66="是",J66,"NA")</x:f>
        <x:v>1</x:v>
      </x:c>
      <x:c r="W66" s="22" t="str">
        <x:v>完整</x:v>
      </x:c>
      <x:c r="X66" s="22" t="n">
        <x:v>1</x:v>
      </x:c>
      <x:c r="Y66" s="22" t="n">
        <x:v>0</x:v>
      </x:c>
      <x:c r="Z66" s="22" t="n">
        <x:v>-0.25</x:v>
      </x:c>
      <x:c r="AA66" s="22" t="n">
        <x:v>-0.119047619048</x:v>
      </x:c>
      <x:c r="AB66" s="22" t="str">
        <x:v>知识点理解与概念探究；正向评价（不计能力分）</x:v>
      </x:c>
      <x:c r="AC66" s="22" t="str">
        <x:v>NA</x:v>
      </x:c>
      <x:c r="AD66" s="22" t="str">
        <x:v>NA</x:v>
      </x:c>
      <x:c r="AE66" s="22" t="str">
        <x:v>["S0359"]</x:v>
      </x:c>
      <x:c r="AF66" s="22" t="str">
        <x:v>["2025秋:2025秋-数学模型-问答记录导出20260502导出_已标注_已更新.xlsx:问答记录:368"]</x:v>
      </x:c>
      <x:c r="AG66" s="22" t="str">
        <x:v>evidence/student_evidence.jsonl；student_key=2025秋:259024</x:v>
      </x:c>
      <x:c r="AH66" s="27" t="str"/>
    </x:row>
    <x:row r="67" ht="23" customHeight="1">
      <x:c r="A67" s="21" t="str">
        <x:v>2025秋:259039</x:v>
      </x:c>
      <x:c r="B67" s="22" t="str">
        <x:v>s3</x:v>
      </x:c>
      <x:c r="C67" s="24" t="n">
        <x:v>1</x:v>
      </x:c>
      <x:c r="D67" s="24" t="n">
        <x:v>1</x:v>
      </x:c>
      <x:c r="E67" s="22" t="n">
        <x:v>0.3818843761667175</x:v>
      </x:c>
      <x:c r="F67" s="22" t="n">
        <x:v>0.3818843761667175</x:v>
      </x:c>
      <x:c r="G67" s="22" t="n">
        <x:v>0.3818843761667175</x:v>
      </x:c>
      <x:c r="H67" s="24" t="n">
        <x:v>1</x:v>
      </x:c>
      <x:c r="I67" s="24" t="n">
        <x:v>2</x:v>
      </x:c>
      <x:c r="J67" s="23" t="n">
        <x:f>IF(I67&gt;0,H67/I67,"NA")</x:f>
        <x:v>0.5</x:v>
      </x:c>
      <x:c r="K67" s="23" t="n">
        <x:f>MAX(0,MIN(1,(E67-'总览与权重'!$B$18)/('总览与权重'!$C$18-'总览与权重'!$B$18)))</x:f>
        <x:v>0.03182369801389313</x:v>
      </x:c>
      <x:c r="L67" s="23" t="n">
        <x:f>MAX(0,MIN(1,(F67-'总览与权重'!$B$19)/('总览与权重'!$C$19-'总览与权重'!$B$19)))</x:f>
        <x:v>0.3818843761667175</x:v>
      </x:c>
      <x:c r="M67" s="23" t="n">
        <x:f>MAX(0,MIN(1,(G67-'总览与权重'!$B$20)/('总览与权重'!$C$20-'总览与权重'!$B$20)))</x:f>
        <x:v>0.3818843761667175</x:v>
      </x:c>
      <x:c r="N67" s="23" t="n">
        <x:f>J67</x:f>
        <x:v>0.5</x:v>
      </x:c>
      <x:c r="O67" s="22" t="str">
        <x:v>是</x:v>
      </x:c>
      <x:c r="P67" s="22" t="n">
        <x:v>0.24505209051436724</x:v>
      </x:c>
      <x:c r="Q67" s="22" t="n">
        <x:v>0.24505209051436724</x:v>
      </x:c>
      <x:c r="R67" s="22" t="n">
        <x:v>0.24505209051436724</x:v>
      </x:c>
      <x:c r="S67" s="23" t="n">
        <x:f>IF(O67="是",MAX(0,MIN(1,(P67-'总览与权重'!$B$21)/('总览与权重'!$C$21-'总览与权重'!$B$21))),"NA")</x:f>
        <x:v>0.510210503771432</x:v>
      </x:c>
      <x:c r="T67" s="23" t="n">
        <x:f>IF(O67="是",MAX(0,MIN(1,(Q67-'总览与权重'!$B$22)/('总览与权重'!$C$22-'总览与权重'!$B$22))),"NA")</x:f>
        <x:v>0.6225260452571836</x:v>
      </x:c>
      <x:c r="U67" s="23" t="n">
        <x:f>IF(O67="是",MAX(0,MIN(1,(R67-'总览与权重'!$B$23)/('总览与权重'!$C$23-'总览与权重'!$B$23))),"NA")</x:f>
        <x:v>0.6225260452571836</x:v>
      </x:c>
      <x:c r="V67" s="23" t="n">
        <x:f>IF(O67="是",J67,"NA")</x:f>
        <x:v>0.5</x:v>
      </x:c>
      <x:c r="W67" s="22" t="str">
        <x:v>完整</x:v>
      </x:c>
      <x:c r="X67" s="22" t="n">
        <x:v>1</x:v>
      </x:c>
      <x:c r="Y67" s="22" t="n">
        <x:v>0</x:v>
      </x:c>
      <x:c r="Z67" s="22" t="n">
        <x:v>-0.25</x:v>
      </x:c>
      <x:c r="AA67" s="22" t="n">
        <x:v>-0.119047619048</x:v>
      </x:c>
      <x:c r="AB67" s="22" t="str">
        <x:v>知识点理解与概念探究；正负并存或有条件评价（不计能力分）</x:v>
      </x:c>
      <x:c r="AC67" s="22" t="str">
        <x:v>NA</x:v>
      </x:c>
      <x:c r="AD67" s="22" t="str">
        <x:v>NA</x:v>
      </x:c>
      <x:c r="AE67" s="22" t="str">
        <x:v>["S0017"]</x:v>
      </x:c>
      <x:c r="AF67" s="22" t="str">
        <x:v>["2025秋:2025秋-数学模型-问答记录导出20260502导出_已标注_已更新.xlsx:问答记录:19"]</x:v>
      </x:c>
      <x:c r="AG67" s="22" t="str">
        <x:v>evidence/student_evidence.jsonl；student_key=2025秋:259039</x:v>
      </x:c>
      <x:c r="AH67" s="27" t="str"/>
    </x:row>
    <x:row r="68" ht="23" customHeight="1">
      <x:c r="A68" s="21" t="str">
        <x:v>2025秋:259043</x:v>
      </x:c>
      <x:c r="B68" s="22" t="str">
        <x:v>s3</x:v>
      </x:c>
      <x:c r="C68" s="24" t="n">
        <x:v>1</x:v>
      </x:c>
      <x:c r="D68" s="24" t="n">
        <x:v>1</x:v>
      </x:c>
      <x:c r="E68" s="22" t="n">
        <x:v>0.3474996623720389</x:v>
      </x:c>
      <x:c r="F68" s="22" t="n">
        <x:v>0.3474996623720389</x:v>
      </x:c>
      <x:c r="G68" s="22" t="n">
        <x:v>0.3474996623720389</x:v>
      </x:c>
      <x:c r="H68" s="24" t="n">
        <x:v>1</x:v>
      </x:c>
      <x:c r="I68" s="24" t="n">
        <x:v>1</x:v>
      </x:c>
      <x:c r="J68" s="23" t="n">
        <x:f>IF(I68&gt;0,H68/I68,"NA")</x:f>
        <x:v>1</x:v>
      </x:c>
      <x:c r="K68" s="23" t="n">
        <x:f>MAX(0,MIN(1,(E68-'总览与权重'!$B$18)/('总览与权重'!$C$18-'总览与权重'!$B$18)))</x:f>
        <x:v>0.02895830519766991</x:v>
      </x:c>
      <x:c r="L68" s="23" t="n">
        <x:f>MAX(0,MIN(1,(F68-'总览与权重'!$B$19)/('总览与权重'!$C$19-'总览与权重'!$B$19)))</x:f>
        <x:v>0.3474996623720389</x:v>
      </x:c>
      <x:c r="M68" s="23" t="n">
        <x:f>MAX(0,MIN(1,(G68-'总览与权重'!$B$20)/('总览与权重'!$C$20-'总览与权重'!$B$20)))</x:f>
        <x:v>0.3474996623720389</x:v>
      </x:c>
      <x:c r="N68" s="23" t="n">
        <x:f>J68</x:f>
        <x:v>1</x:v>
      </x:c>
      <x:c r="O68" s="22" t="str">
        <x:v>是</x:v>
      </x:c>
      <x:c r="P68" s="22" t="n">
        <x:v>0.22961467673127894</x:v>
      </x:c>
      <x:c r="Q68" s="22" t="n">
        <x:v>0.22961467673127894</x:v>
      </x:c>
      <x:c r="R68" s="22" t="n">
        <x:v>0.22961467673127894</x:v>
      </x:c>
      <x:c r="S68" s="23" t="n">
        <x:f>IF(O68="是",MAX(0,MIN(1,(P68-'总览与权重'!$B$21)/('总览与权重'!$C$21-'总览与权重'!$B$21))),"NA")</x:f>
        <x:v>0.5095672781971367</x:v>
      </x:c>
      <x:c r="T68" s="23" t="n">
        <x:f>IF(O68="是",MAX(0,MIN(1,(Q68-'总览与权重'!$B$22)/('总览与权重'!$C$22-'总览与权重'!$B$22))),"NA")</x:f>
        <x:v>0.6148073383656395</x:v>
      </x:c>
      <x:c r="U68" s="23" t="n">
        <x:f>IF(O68="是",MAX(0,MIN(1,(R68-'总览与权重'!$B$23)/('总览与权重'!$C$23-'总览与权重'!$B$23))),"NA")</x:f>
        <x:v>0.6148073383656395</x:v>
      </x:c>
      <x:c r="V68" s="23" t="n">
        <x:f>IF(O68="是",J68,"NA")</x:f>
        <x:v>1</x:v>
      </x:c>
      <x:c r="W68" s="22" t="str">
        <x:v>完整</x:v>
      </x:c>
      <x:c r="X68" s="22" t="n">
        <x:v>2</x:v>
      </x:c>
      <x:c r="Y68" s="22" t="n">
        <x:v>0.6321205588285577</x:v>
      </x:c>
      <x:c r="Z68" s="22" t="n">
        <x:v>-0.25</x:v>
      </x:c>
      <x:c r="AA68" s="22" t="n">
        <x:v>-0.119047619048</x:v>
      </x:c>
      <x:c r="AB68" s="22" t="str">
        <x:v>知识点理解与概念探究；正向评价（不计能力分）</x:v>
      </x:c>
      <x:c r="AC68" s="22" t="str">
        <x:v>NA</x:v>
      </x:c>
      <x:c r="AD68" s="22" t="str">
        <x:v>NA</x:v>
      </x:c>
      <x:c r="AE68" s="22" t="str">
        <x:v>["S0066"]</x:v>
      </x:c>
      <x:c r="AF68" s="22" t="str">
        <x:v>["2025秋:2025秋-数学模型-问答记录导出20260502导出_已标注_已更新.xlsx:问答记录:69"]</x:v>
      </x:c>
      <x:c r="AG68" s="22" t="str">
        <x:v>evidence/student_evidence.jsonl；student_key=2025秋:259043</x:v>
      </x:c>
      <x:c r="AH68" s="27" t="str"/>
    </x:row>
    <x:row r="69" ht="23" customHeight="1">
      <x:c r="A69" s="21" t="str">
        <x:v>2025秋:259044</x:v>
      </x:c>
      <x:c r="B69" s="22" t="str">
        <x:v>s3</x:v>
      </x:c>
      <x:c r="C69" s="24" t="n">
        <x:v>1</x:v>
      </x:c>
      <x:c r="D69" s="24" t="n">
        <x:v>1</x:v>
      </x:c>
      <x:c r="E69" s="22" t="n">
        <x:v>0.48148380449516814</x:v>
      </x:c>
      <x:c r="F69" s="22" t="n">
        <x:v>0.48148380449516814</x:v>
      </x:c>
      <x:c r="G69" s="22" t="n">
        <x:v>0.48148380449516814</x:v>
      </x:c>
      <x:c r="H69" s="24" t="n">
        <x:v>1</x:v>
      </x:c>
      <x:c r="I69" s="24" t="n">
        <x:v>1</x:v>
      </x:c>
      <x:c r="J69" s="23" t="n">
        <x:f>IF(I69&gt;0,H69/I69,"NA")</x:f>
        <x:v>1</x:v>
      </x:c>
      <x:c r="K69" s="23" t="n">
        <x:f>MAX(0,MIN(1,(E69-'总览与权重'!$B$18)/('总览与权重'!$C$18-'总览与权重'!$B$18)))</x:f>
        <x:v>0.04012365037459734</x:v>
      </x:c>
      <x:c r="L69" s="23" t="n">
        <x:f>MAX(0,MIN(1,(F69-'总览与权重'!$B$19)/('总览与权重'!$C$19-'总览与权重'!$B$19)))</x:f>
        <x:v>0.48148380449516814</x:v>
      </x:c>
      <x:c r="M69" s="23" t="n">
        <x:f>MAX(0,MIN(1,(G69-'总览与权重'!$B$20)/('总览与权重'!$C$20-'总览与权重'!$B$20)))</x:f>
        <x:v>0.48148380449516814</x:v>
      </x:c>
      <x:c r="N69" s="23" t="n">
        <x:f>J69</x:f>
        <x:v>1</x:v>
      </x:c>
      <x:c r="O69" s="22" t="str">
        <x:v>是</x:v>
      </x:c>
      <x:c r="P69" s="22" t="n">
        <x:v>0.34465151884281786</x:v>
      </x:c>
      <x:c r="Q69" s="22" t="n">
        <x:v>0.34465151884281786</x:v>
      </x:c>
      <x:c r="R69" s="22" t="n">
        <x:v>0.34465151884281786</x:v>
      </x:c>
      <x:c r="S69" s="23" t="n">
        <x:f>IF(O69="是",MAX(0,MIN(1,(P69-'总览与权重'!$B$21)/('总览与权重'!$C$21-'总览与权重'!$B$21))),"NA")</x:f>
        <x:v>0.5143604799517841</x:v>
      </x:c>
      <x:c r="T69" s="23" t="n">
        <x:f>IF(O69="是",MAX(0,MIN(1,(Q69-'总览与权重'!$B$22)/('总览与权重'!$C$22-'总览与权重'!$B$22))),"NA")</x:f>
        <x:v>0.6723257594214089</x:v>
      </x:c>
      <x:c r="U69" s="23" t="n">
        <x:f>IF(O69="是",MAX(0,MIN(1,(R69-'总览与权重'!$B$23)/('总览与权重'!$C$23-'总览与权重'!$B$23))),"NA")</x:f>
        <x:v>0.6723257594214089</x:v>
      </x:c>
      <x:c r="V69" s="23" t="n">
        <x:f>IF(O69="是",J69,"NA")</x:f>
        <x:v>1</x:v>
      </x:c>
      <x:c r="W69" s="22" t="str">
        <x:v>完整</x:v>
      </x:c>
      <x:c r="X69" s="22" t="n">
        <x:v>2</x:v>
      </x:c>
      <x:c r="Y69" s="22" t="n">
        <x:v>0.6321205588285577</x:v>
      </x:c>
      <x:c r="Z69" s="22" t="n">
        <x:v>0.05</x:v>
      </x:c>
      <x:c r="AA69" s="22" t="n">
        <x:v>0.547619047619</x:v>
      </x:c>
      <x:c r="AB69" s="22" t="str">
        <x:v>知识点理解与概念探究；正向评价（不计能力分）</x:v>
      </x:c>
      <x:c r="AC69" s="22" t="str">
        <x:v>NA</x:v>
      </x:c>
      <x:c r="AD69" s="22" t="str">
        <x:v>NA</x:v>
      </x:c>
      <x:c r="AE69" s="22" t="str">
        <x:v>["S0074"]</x:v>
      </x:c>
      <x:c r="AF69" s="22" t="str">
        <x:v>["2025秋:2025秋-数学模型-问答记录导出20260502导出_已标注_已更新.xlsx:问答记录:77"]</x:v>
      </x:c>
      <x:c r="AG69" s="22" t="str">
        <x:v>evidence/student_evidence.jsonl；student_key=2025秋:259044</x:v>
      </x:c>
      <x:c r="AH69" s="27" t="str"/>
    </x:row>
    <x:row r="70" ht="23" customHeight="1">
      <x:c r="A70" s="21" t="str">
        <x:v>2025秋:259050</x:v>
      </x:c>
      <x:c r="B70" s="22" t="str">
        <x:v>s3</x:v>
      </x:c>
      <x:c r="C70" s="24" t="n">
        <x:v>1</x:v>
      </x:c>
      <x:c r="D70" s="24" t="n">
        <x:v>1</x:v>
      </x:c>
      <x:c r="E70" s="22" t="n">
        <x:v>0.3582214187327823</x:v>
      </x:c>
      <x:c r="F70" s="22" t="n">
        <x:v>0.3582214187327823</x:v>
      </x:c>
      <x:c r="G70" s="22" t="n">
        <x:v>0.3582214187327823</x:v>
      </x:c>
      <x:c r="H70" s="24" t="n">
        <x:v>2</x:v>
      </x:c>
      <x:c r="I70" s="24" t="n">
        <x:v>2</x:v>
      </x:c>
      <x:c r="J70" s="23" t="n">
        <x:f>IF(I70&gt;0,H70/I70,"NA")</x:f>
        <x:v>1</x:v>
      </x:c>
      <x:c r="K70" s="23" t="n">
        <x:f>MAX(0,MIN(1,(E70-'总览与权重'!$B$18)/('总览与权重'!$C$18-'总览与权重'!$B$18)))</x:f>
        <x:v>0.029851784894398523</x:v>
      </x:c>
      <x:c r="L70" s="23" t="n">
        <x:f>MAX(0,MIN(1,(F70-'总览与权重'!$B$19)/('总览与权重'!$C$19-'总览与权重'!$B$19)))</x:f>
        <x:v>0.3582214187327823</x:v>
      </x:c>
      <x:c r="M70" s="23" t="n">
        <x:f>MAX(0,MIN(1,(G70-'总览与权重'!$B$20)/('总览与权重'!$C$20-'总览与权重'!$B$20)))</x:f>
        <x:v>0.3582214187327823</x:v>
      </x:c>
      <x:c r="N70" s="23" t="n">
        <x:f>J70</x:f>
        <x:v>1</x:v>
      </x:c>
      <x:c r="O70" s="22" t="str">
        <x:v>否</x:v>
      </x:c>
      <x:c r="P70" s="22" t="str">
        <x:v>NA</x:v>
      </x:c>
      <x:c r="Q70" s="22" t="str">
        <x:v>NA</x:v>
      </x:c>
      <x:c r="R70" s="22" t="str">
        <x:v>NA</x:v>
      </x:c>
      <x:c r="S70" s="23" t="str">
        <x:f>IF(O70="是",MAX(0,MIN(1,(P70-'总览与权重'!$B$21)/('总览与权重'!$C$21-'总览与权重'!$B$21))),"NA")</x:f>
        <x:v>NA</x:v>
      </x:c>
      <x:c r="T70" s="23" t="str">
        <x:f>IF(O70="是",MAX(0,MIN(1,(Q70-'总览与权重'!$B$22)/('总览与权重'!$C$22-'总览与权重'!$B$22))),"NA")</x:f>
        <x:v>NA</x:v>
      </x:c>
      <x:c r="U70" s="23" t="str">
        <x:f>IF(O70="是",MAX(0,MIN(1,(R70-'总览与权重'!$B$23)/('总览与权重'!$C$23-'总览与权重'!$B$23))),"NA")</x:f>
        <x:v>NA</x:v>
      </x:c>
      <x:c r="V70" s="23" t="str">
        <x:f>IF(O70="是",J70,"NA")</x:f>
        <x:v>NA</x:v>
      </x:c>
      <x:c r="W70" s="22" t="str">
        <x:v>无完整领域最早before配对</x:v>
      </x:c>
      <x:c r="X70" s="22" t="n">
        <x:v>1</x:v>
      </x:c>
      <x:c r="Y70" s="22" t="n">
        <x:v>0</x:v>
      </x:c>
      <x:c r="Z70" s="22" t="n">
        <x:v>-0.25</x:v>
      </x:c>
      <x:c r="AA70" s="22" t="n">
        <x:v>-0.119047619048</x:v>
      </x:c>
      <x:c r="AB70" s="22" t="str">
        <x:v>知识点理解与概念探究；正向评价（不计能力分）</x:v>
      </x:c>
      <x:c r="AC70" s="22" t="str">
        <x:v>NA</x:v>
      </x:c>
      <x:c r="AD70" s="22" t="str">
        <x:v>NA</x:v>
      </x:c>
      <x:c r="AE70" s="22" t="str">
        <x:v>["S0455"]</x:v>
      </x:c>
      <x:c r="AF70" s="22" t="str">
        <x:v>["2025秋:2025秋-数学模型-问答记录导出20260502导出_已标注_已更新.xlsx:问答记录:467"]</x:v>
      </x:c>
      <x:c r="AG70" s="22" t="str">
        <x:v>evidence/student_evidence.jsonl；student_key=2025秋:259050</x:v>
      </x:c>
      <x:c r="AH70" s="27" t="str"/>
    </x:row>
    <x:row r="71" ht="23" customHeight="1">
      <x:c r="A71" s="21" t="str">
        <x:v>2025秋:259052</x:v>
      </x:c>
      <x:c r="B71" s="22" t="str">
        <x:v>s3</x:v>
      </x:c>
      <x:c r="C71" s="24" t="n">
        <x:v>1</x:v>
      </x:c>
      <x:c r="D71" s="24" t="n">
        <x:v>1</x:v>
      </x:c>
      <x:c r="E71" s="22" t="n">
        <x:v>0</x:v>
      </x:c>
      <x:c r="F71" s="22" t="n">
        <x:v>0</x:v>
      </x:c>
      <x:c r="G71" s="22" t="n">
        <x:v>0</x:v>
      </x:c>
      <x:c r="H71" s="24" t="n">
        <x:v>2</x:v>
      </x:c>
      <x:c r="I71" s="24" t="n">
        <x:v>2</x:v>
      </x:c>
      <x:c r="J71" s="23" t="n">
        <x:f>IF(I71&gt;0,H71/I71,"NA")</x:f>
        <x:v>1</x:v>
      </x:c>
      <x:c r="K71" s="23" t="n">
        <x:f>MAX(0,MIN(1,(E71-'总览与权重'!$B$18)/('总览与权重'!$C$18-'总览与权重'!$B$18)))</x:f>
        <x:v>0</x:v>
      </x:c>
      <x:c r="L71" s="23" t="n">
        <x:f>MAX(0,MIN(1,(F71-'总览与权重'!$B$19)/('总览与权重'!$C$19-'总览与权重'!$B$19)))</x:f>
        <x:v>0</x:v>
      </x:c>
      <x:c r="M71" s="23" t="n">
        <x:f>MAX(0,MIN(1,(G71-'总览与权重'!$B$20)/('总览与权重'!$C$20-'总览与权重'!$B$20)))</x:f>
        <x:v>0</x:v>
      </x:c>
      <x:c r="N71" s="23" t="n">
        <x:f>J71</x:f>
        <x:v>1</x:v>
      </x:c>
      <x:c r="O71" s="22" t="str">
        <x:v>是</x:v>
      </x:c>
      <x:c r="P71" s="22" t="n">
        <x:v>-0.0760685021771465</x:v>
      </x:c>
      <x:c r="Q71" s="22" t="n">
        <x:v>-0.09508562772143313</x:v>
      </x:c>
      <x:c r="R71" s="22" t="n">
        <x:v>-0.09508562772143313</x:v>
      </x:c>
      <x:c r="S71" s="23" t="n">
        <x:f>IF(O71="是",MAX(0,MIN(1,(P71-'总览与权重'!$B$21)/('总览与权重'!$C$21-'总览与权重'!$B$21))),"NA")</x:f>
        <x:v>0.4968304790759522</x:v>
      </x:c>
      <x:c r="T71" s="23" t="n">
        <x:f>IF(O71="是",MAX(0,MIN(1,(Q71-'总览与权重'!$B$22)/('总览与权重'!$C$22-'总览与权重'!$B$22))),"NA")</x:f>
        <x:v>0.45245718613928343</x:v>
      </x:c>
      <x:c r="U71" s="23" t="n">
        <x:f>IF(O71="是",MAX(0,MIN(1,(R71-'总览与权重'!$B$23)/('总览与权重'!$C$23-'总览与权重'!$B$23))),"NA")</x:f>
        <x:v>0.45245718613928343</x:v>
      </x:c>
      <x:c r="V71" s="23" t="n">
        <x:f>IF(O71="是",J71,"NA")</x:f>
        <x:v>1</x:v>
      </x:c>
      <x:c r="W71" s="22" t="str">
        <x:v>完整</x:v>
      </x:c>
      <x:c r="X71" s="22" t="n">
        <x:v>2</x:v>
      </x:c>
      <x:c r="Y71" s="22" t="n">
        <x:v>0.6321205588285577</x:v>
      </x:c>
      <x:c r="Z71" s="22" t="n">
        <x:v>0</x:v>
      </x:c>
      <x:c r="AA71" s="22" t="n">
        <x:v>0</x:v>
      </x:c>
      <x:c r="AB71" s="22" t="str">
        <x:v>知识点理解与概念探究；正负并存或有条件评价（不计能力分）</x:v>
      </x:c>
      <x:c r="AC71" s="22" t="str">
        <x:v>NA</x:v>
      </x:c>
      <x:c r="AD71" s="22" t="str">
        <x:v>NA</x:v>
      </x:c>
      <x:c r="AE71" s="22" t="str">
        <x:v>["S0489"]</x:v>
      </x:c>
      <x:c r="AF71" s="22" t="str">
        <x:v>["2025秋:2025秋-数学模型-问答记录导出20260502导出_已标注_已更新.xlsx:问答记录:501"]</x:v>
      </x:c>
      <x:c r="AG71" s="22" t="str">
        <x:v>evidence/student_evidence.jsonl；student_key=2025秋:259052</x:v>
      </x:c>
      <x:c r="AH71" s="27" t="str"/>
    </x:row>
    <x:row r="72" ht="23" customHeight="1">
      <x:c r="A72" s="21" t="str">
        <x:v>2025秋:259059</x:v>
      </x:c>
      <x:c r="B72" s="22" t="str">
        <x:v>s3</x:v>
      </x:c>
      <x:c r="C72" s="24" t="n">
        <x:v>1</x:v>
      </x:c>
      <x:c r="D72" s="24" t="n">
        <x:v>1</x:v>
      </x:c>
      <x:c r="E72" s="22" t="n">
        <x:v>0</x:v>
      </x:c>
      <x:c r="F72" s="22" t="n">
        <x:v>0</x:v>
      </x:c>
      <x:c r="G72" s="22" t="n">
        <x:v>0</x:v>
      </x:c>
      <x:c r="H72" s="24" t="n">
        <x:v>1</x:v>
      </x:c>
      <x:c r="I72" s="24" t="n">
        <x:v>2</x:v>
      </x:c>
      <x:c r="J72" s="23" t="n">
        <x:f>IF(I72&gt;0,H72/I72,"NA")</x:f>
        <x:v>0.5</x:v>
      </x:c>
      <x:c r="K72" s="23" t="n">
        <x:f>MAX(0,MIN(1,(E72-'总览与权重'!$B$18)/('总览与权重'!$C$18-'总览与权重'!$B$18)))</x:f>
        <x:v>0</x:v>
      </x:c>
      <x:c r="L72" s="23" t="n">
        <x:f>MAX(0,MIN(1,(F72-'总览与权重'!$B$19)/('总览与权重'!$C$19-'总览与权重'!$B$19)))</x:f>
        <x:v>0</x:v>
      </x:c>
      <x:c r="M72" s="23" t="n">
        <x:f>MAX(0,MIN(1,(G72-'总览与权重'!$B$20)/('总览与权重'!$C$20-'总览与权重'!$B$20)))</x:f>
        <x:v>0</x:v>
      </x:c>
      <x:c r="N72" s="23" t="n">
        <x:f>J72</x:f>
        <x:v>0.5</x:v>
      </x:c>
      <x:c r="O72" s="22" t="str">
        <x:v>是</x:v>
      </x:c>
      <x:c r="P72" s="22" t="n">
        <x:v>-0.13683228565235026</x:v>
      </x:c>
      <x:c r="Q72" s="22" t="n">
        <x:v>-0.13683228565235026</x:v>
      </x:c>
      <x:c r="R72" s="22" t="n">
        <x:v>-0.13683228565235026</x:v>
      </x:c>
      <x:c r="S72" s="23" t="n">
        <x:f>IF(O72="是",MAX(0,MIN(1,(P72-'总览与权重'!$B$21)/('总览与权重'!$C$21-'总览与权重'!$B$21))),"NA")</x:f>
        <x:v>0.4942986547644854</x:v>
      </x:c>
      <x:c r="T72" s="23" t="n">
        <x:f>IF(O72="是",MAX(0,MIN(1,(Q72-'总览与权重'!$B$22)/('总览与权重'!$C$22-'总览与权重'!$B$22))),"NA")</x:f>
        <x:v>0.43158385717382486</x:v>
      </x:c>
      <x:c r="U72" s="23" t="n">
        <x:f>IF(O72="是",MAX(0,MIN(1,(R72-'总览与权重'!$B$23)/('总览与权重'!$C$23-'总览与权重'!$B$23))),"NA")</x:f>
        <x:v>0.43158385717382486</x:v>
      </x:c>
      <x:c r="V72" s="23" t="n">
        <x:f>IF(O72="是",J72,"NA")</x:f>
        <x:v>0.5</x:v>
      </x:c>
      <x:c r="W72" s="22" t="str">
        <x:v>完整</x:v>
      </x:c>
      <x:c r="X72" s="22" t="n">
        <x:v>2</x:v>
      </x:c>
      <x:c r="Y72" s="22" t="n">
        <x:v>0.6321205588285577</x:v>
      </x:c>
      <x:c r="Z72" s="22" t="n">
        <x:v>0</x:v>
      </x:c>
      <x:c r="AA72" s="22" t="n">
        <x:v>0</x:v>
      </x:c>
      <x:c r="AB72" s="22" t="str">
        <x:v>知识点理解与概念探究；正向评价（不计能力分）</x:v>
      </x:c>
      <x:c r="AC72" s="22" t="str">
        <x:v>NA</x:v>
      </x:c>
      <x:c r="AD72" s="22" t="str">
        <x:v>NA</x:v>
      </x:c>
      <x:c r="AE72" s="22" t="str">
        <x:v>["S0426"]</x:v>
      </x:c>
      <x:c r="AF72" s="22" t="str">
        <x:v>["2025秋:2025秋-数学模型-问答记录导出20260502导出_已标注_已更新.xlsx:问答记录:437"]</x:v>
      </x:c>
      <x:c r="AG72" s="22" t="str">
        <x:v>evidence/student_evidence.jsonl；student_key=2025秋:259059</x:v>
      </x:c>
      <x:c r="AH72" s="27" t="str"/>
    </x:row>
    <x:row r="73" ht="23" customHeight="1">
      <x:c r="A73" s="21" t="str">
        <x:v>2025秋:259092</x:v>
      </x:c>
      <x:c r="B73" s="22" t="str">
        <x:v>s3</x:v>
      </x:c>
      <x:c r="C73" s="24" t="n">
        <x:v>1</x:v>
      </x:c>
      <x:c r="D73" s="24" t="n">
        <x:v>1</x:v>
      </x:c>
      <x:c r="E73" s="22" t="n">
        <x:v>0</x:v>
      </x:c>
      <x:c r="F73" s="22" t="n">
        <x:v>0</x:v>
      </x:c>
      <x:c r="G73" s="22" t="n">
        <x:v>0</x:v>
      </x:c>
      <x:c r="H73" s="24" t="n">
        <x:v>1</x:v>
      </x:c>
      <x:c r="I73" s="24" t="n">
        <x:v>1</x:v>
      </x:c>
      <x:c r="J73" s="23" t="n">
        <x:f>IF(I73&gt;0,H73/I73,"NA")</x:f>
        <x:v>1</x:v>
      </x:c>
      <x:c r="K73" s="23" t="n">
        <x:f>MAX(0,MIN(1,(E73-'总览与权重'!$B$18)/('总览与权重'!$C$18-'总览与权重'!$B$18)))</x:f>
        <x:v>0</x:v>
      </x:c>
      <x:c r="L73" s="23" t="n">
        <x:f>MAX(0,MIN(1,(F73-'总览与权重'!$B$19)/('总览与权重'!$C$19-'总览与权重'!$B$19)))</x:f>
        <x:v>0</x:v>
      </x:c>
      <x:c r="M73" s="23" t="n">
        <x:f>MAX(0,MIN(1,(G73-'总览与权重'!$B$20)/('总览与权重'!$C$20-'总览与权重'!$B$20)))</x:f>
        <x:v>0</x:v>
      </x:c>
      <x:c r="N73" s="23" t="n">
        <x:f>J73</x:f>
        <x:v>1</x:v>
      </x:c>
      <x:c r="O73" s="22" t="str">
        <x:v>是</x:v>
      </x:c>
      <x:c r="P73" s="22" t="n">
        <x:v>-0.13683228565235026</x:v>
      </x:c>
      <x:c r="Q73" s="22" t="n">
        <x:v>-0.13683228565235026</x:v>
      </x:c>
      <x:c r="R73" s="22" t="n">
        <x:v>-0.13683228565235026</x:v>
      </x:c>
      <x:c r="S73" s="23" t="n">
        <x:f>IF(O73="是",MAX(0,MIN(1,(P73-'总览与权重'!$B$21)/('总览与权重'!$C$21-'总览与权重'!$B$21))),"NA")</x:f>
        <x:v>0.4942986547644854</x:v>
      </x:c>
      <x:c r="T73" s="23" t="n">
        <x:f>IF(O73="是",MAX(0,MIN(1,(Q73-'总览与权重'!$B$22)/('总览与权重'!$C$22-'总览与权重'!$B$22))),"NA")</x:f>
        <x:v>0.43158385717382486</x:v>
      </x:c>
      <x:c r="U73" s="23" t="n">
        <x:f>IF(O73="是",MAX(0,MIN(1,(R73-'总览与权重'!$B$23)/('总览与权重'!$C$23-'总览与权重'!$B$23))),"NA")</x:f>
        <x:v>0.43158385717382486</x:v>
      </x:c>
      <x:c r="V73" s="23" t="n">
        <x:f>IF(O73="是",J73,"NA")</x:f>
        <x:v>1</x:v>
      </x:c>
      <x:c r="W73" s="22" t="str">
        <x:v>完整</x:v>
      </x:c>
      <x:c r="X73" s="22" t="n">
        <x:v>2</x:v>
      </x:c>
      <x:c r="Y73" s="22" t="n">
        <x:v>0.6321205588285577</x:v>
      </x:c>
      <x:c r="Z73" s="22" t="n">
        <x:v>0</x:v>
      </x:c>
      <x:c r="AA73" s="22" t="n">
        <x:v>0</x:v>
      </x:c>
      <x:c r="AB73" s="22" t="str">
        <x:v>知识点理解与概念探究；无明确评价（不计能力分）</x:v>
      </x:c>
      <x:c r="AC73" s="22" t="str">
        <x:v>NA</x:v>
      </x:c>
      <x:c r="AD73" s="22" t="str">
        <x:v>NA</x:v>
      </x:c>
      <x:c r="AE73" s="22" t="str">
        <x:v>["S0034"]</x:v>
      </x:c>
      <x:c r="AF73" s="22" t="str">
        <x:v>["2025秋:2025秋-数学模型-问答记录导出20260502导出_已标注_已更新.xlsx:问答记录:36"]</x:v>
      </x:c>
      <x:c r="AG73" s="22" t="str">
        <x:v>evidence/student_evidence.jsonl；student_key=2025秋:259092</x:v>
      </x:c>
      <x:c r="AH73" s="27" t="str"/>
    </x:row>
    <x:row r="74" ht="48" customHeight="1">
      <x:c r="A74" s="21" t="str">
        <x:v>2025秋:259097</x:v>
      </x:c>
      <x:c r="B74" s="22" t="str">
        <x:v>s3</x:v>
      </x:c>
      <x:c r="C74" s="24" t="n">
        <x:v>1</x:v>
      </x:c>
      <x:c r="D74" s="24" t="n">
        <x:v>1</x:v>
      </x:c>
      <x:c r="E74" s="22" t="n">
        <x:v>0</x:v>
      </x:c>
      <x:c r="F74" s="22" t="n">
        <x:v>0</x:v>
      </x:c>
      <x:c r="G74" s="22" t="n">
        <x:v>0</x:v>
      </x:c>
      <x:c r="H74" s="24" t="n">
        <x:v>1</x:v>
      </x:c>
      <x:c r="I74" s="24" t="n">
        <x:v>1</x:v>
      </x:c>
      <x:c r="J74" s="23" t="n">
        <x:f>IF(I74&gt;0,H74/I74,"NA")</x:f>
        <x:v>1</x:v>
      </x:c>
      <x:c r="K74" s="23" t="n">
        <x:f>MAX(0,MIN(1,(E74-'总览与权重'!$B$18)/('总览与权重'!$C$18-'总览与权重'!$B$18)))</x:f>
        <x:v>0</x:v>
      </x:c>
      <x:c r="L74" s="23" t="n">
        <x:f>MAX(0,MIN(1,(F74-'总览与权重'!$B$19)/('总览与权重'!$C$19-'总览与权重'!$B$19)))</x:f>
        <x:v>0</x:v>
      </x:c>
      <x:c r="M74" s="23" t="n">
        <x:f>MAX(0,MIN(1,(G74-'总览与权重'!$B$20)/('总览与权重'!$C$20-'总览与权重'!$B$20)))</x:f>
        <x:v>0</x:v>
      </x:c>
      <x:c r="N74" s="23" t="n">
        <x:f>J74</x:f>
        <x:v>1</x:v>
      </x:c>
      <x:c r="O74" s="22" t="str">
        <x:v>是</x:v>
      </x:c>
      <x:c r="P74" s="22" t="n">
        <x:v>-0.11788498564075993</x:v>
      </x:c>
      <x:c r="Q74" s="22" t="n">
        <x:v>-0.11788498564075993</x:v>
      </x:c>
      <x:c r="R74" s="22" t="n">
        <x:v>-0.11788498564075993</x:v>
      </x:c>
      <x:c r="S74" s="23" t="n">
        <x:f>IF(O74="是",MAX(0,MIN(1,(P74-'总览与权重'!$B$21)/('总览与权重'!$C$21-'总览与权重'!$B$21))),"NA")</x:f>
        <x:v>0.4950881255983017</x:v>
      </x:c>
      <x:c r="T74" s="23" t="n">
        <x:f>IF(O74="是",MAX(0,MIN(1,(Q74-'总览与权重'!$B$22)/('总览与权重'!$C$22-'总览与权重'!$B$22))),"NA")</x:f>
        <x:v>0.44105750717962006</x:v>
      </x:c>
      <x:c r="U74" s="23" t="n">
        <x:f>IF(O74="是",MAX(0,MIN(1,(R74-'总览与权重'!$B$23)/('总览与权重'!$C$23-'总览与权重'!$B$23))),"NA")</x:f>
        <x:v>0.44105750717962006</x:v>
      </x:c>
      <x:c r="V74" s="23" t="n">
        <x:f>IF(O74="是",J74,"NA")</x:f>
        <x:v>1</x:v>
      </x:c>
      <x:c r="W74" s="22" t="str">
        <x:v>完整</x:v>
      </x:c>
      <x:c r="X74" s="22" t="n">
        <x:v>2</x:v>
      </x:c>
      <x:c r="Y74" s="22" t="n">
        <x:v>0.6321205588285577</x:v>
      </x:c>
      <x:c r="Z74" s="22" t="n">
        <x:v>0</x:v>
      </x:c>
      <x:c r="AA74" s="22" t="n">
        <x:v>0</x:v>
      </x:c>
      <x:c r="AB74" s="22" t="str">
        <x:v>知识点理解与概念探究；正负并存或有条件评价（不计能力分）</x:v>
      </x:c>
      <x:c r="AC74" s="22" t="str">
        <x:v>NA</x:v>
      </x:c>
      <x:c r="AD74" s="22" t="str">
        <x:v>NA</x:v>
      </x:c>
      <x:c r="AE74" s="22" t="str">
        <x:v>["S0494"]</x:v>
      </x:c>
      <x:c r="AF74" s="22" t="str">
        <x:v>["2025秋:2025秋-数学模型-问答记录导出20260502导出_已标注_已更新.xlsx:问答记录:506"]</x:v>
      </x:c>
      <x:c r="AG74" s="22" t="str">
        <x:v>evidence/student_evidence.jsonl；student_key=2025秋:259097</x:v>
      </x:c>
      <x:c r="AH74" s="27" t="str">
        <x:v>同一锚点起止1条：未形成独立重复测量。</x:v>
      </x:c>
    </x:row>
    <x:row r="75" ht="23" customHeight="1">
      <x:c r="A75" s="21" t="str">
        <x:v>2025秋:259101</x:v>
      </x:c>
      <x:c r="B75" s="22" t="str">
        <x:v>s3</x:v>
      </x:c>
      <x:c r="C75" s="24" t="n">
        <x:v>1</x:v>
      </x:c>
      <x:c r="D75" s="24" t="n">
        <x:v>1</x:v>
      </x:c>
      <x:c r="E75" s="22" t="n">
        <x:v>0</x:v>
      </x:c>
      <x:c r="F75" s="22" t="n">
        <x:v>0</x:v>
      </x:c>
      <x:c r="G75" s="22" t="n">
        <x:v>0</x:v>
      </x:c>
      <x:c r="H75" s="24" t="n">
        <x:v>2</x:v>
      </x:c>
      <x:c r="I75" s="24" t="n">
        <x:v>2</x:v>
      </x:c>
      <x:c r="J75" s="23" t="n">
        <x:f>IF(I75&gt;0,H75/I75,"NA")</x:f>
        <x:v>1</x:v>
      </x:c>
      <x:c r="K75" s="23" t="n">
        <x:f>MAX(0,MIN(1,(E75-'总览与权重'!$B$18)/('总览与权重'!$C$18-'总览与权重'!$B$18)))</x:f>
        <x:v>0</x:v>
      </x:c>
      <x:c r="L75" s="23" t="n">
        <x:f>MAX(0,MIN(1,(F75-'总览与权重'!$B$19)/('总览与权重'!$C$19-'总览与权重'!$B$19)))</x:f>
        <x:v>0</x:v>
      </x:c>
      <x:c r="M75" s="23" t="n">
        <x:f>MAX(0,MIN(1,(G75-'总览与权重'!$B$20)/('总览与权重'!$C$20-'总览与权重'!$B$20)))</x:f>
        <x:v>0</x:v>
      </x:c>
      <x:c r="N75" s="23" t="n">
        <x:f>J75</x:f>
        <x:v>1</x:v>
      </x:c>
      <x:c r="O75" s="22" t="str">
        <x:v>是</x:v>
      </x:c>
      <x:c r="P75" s="22" t="n">
        <x:v>-0.13683228565235026</x:v>
      </x:c>
      <x:c r="Q75" s="22" t="n">
        <x:v>-0.13683228565235026</x:v>
      </x:c>
      <x:c r="R75" s="22" t="n">
        <x:v>-0.13683228565235026</x:v>
      </x:c>
      <x:c r="S75" s="23" t="n">
        <x:f>IF(O75="是",MAX(0,MIN(1,(P75-'总览与权重'!$B$21)/('总览与权重'!$C$21-'总览与权重'!$B$21))),"NA")</x:f>
        <x:v>0.4942986547644854</x:v>
      </x:c>
      <x:c r="T75" s="23" t="n">
        <x:f>IF(O75="是",MAX(0,MIN(1,(Q75-'总览与权重'!$B$22)/('总览与权重'!$C$22-'总览与权重'!$B$22))),"NA")</x:f>
        <x:v>0.43158385717382486</x:v>
      </x:c>
      <x:c r="U75" s="23" t="n">
        <x:f>IF(O75="是",MAX(0,MIN(1,(R75-'总览与权重'!$B$23)/('总览与权重'!$C$23-'总览与权重'!$B$23))),"NA")</x:f>
        <x:v>0.43158385717382486</x:v>
      </x:c>
      <x:c r="V75" s="23" t="n">
        <x:f>IF(O75="是",J75,"NA")</x:f>
        <x:v>1</x:v>
      </x:c>
      <x:c r="W75" s="22" t="str">
        <x:v>完整</x:v>
      </x:c>
      <x:c r="X75" s="22" t="n">
        <x:v>2</x:v>
      </x:c>
      <x:c r="Y75" s="22" t="n">
        <x:v>0.6321205588285577</x:v>
      </x:c>
      <x:c r="Z75" s="22" t="n">
        <x:v>0</x:v>
      </x:c>
      <x:c r="AA75" s="22" t="n">
        <x:v>0</x:v>
      </x:c>
      <x:c r="AB75" s="22" t="str">
        <x:v>课程答疑复习与资源使用；正向评价（不计能力分）</x:v>
      </x:c>
      <x:c r="AC75" s="22" t="str">
        <x:v>NA</x:v>
      </x:c>
      <x:c r="AD75" s="22" t="str">
        <x:v>NA</x:v>
      </x:c>
      <x:c r="AE75" s="22" t="str">
        <x:v>["S0291"]</x:v>
      </x:c>
      <x:c r="AF75" s="22" t="str">
        <x:v>["2025秋:2025秋-数学模型-问答记录导出20260502导出_已标注_已更新.xlsx:问答记录:299"]</x:v>
      </x:c>
      <x:c r="AG75" s="22" t="str">
        <x:v>evidence/student_evidence.jsonl；student_key=2025秋:259101</x:v>
      </x:c>
      <x:c r="AH75" s="27" t="str"/>
    </x:row>
    <x:row r="76" ht="23" customHeight="1">
      <x:c r="A76" s="21" t="str">
        <x:v>2025秋:259106</x:v>
      </x:c>
      <x:c r="B76" s="22" t="str">
        <x:v>s3</x:v>
      </x:c>
      <x:c r="C76" s="24" t="n">
        <x:v>1</x:v>
      </x:c>
      <x:c r="D76" s="24" t="n">
        <x:v>1</x:v>
      </x:c>
      <x:c r="E76" s="22" t="n">
        <x:v>0</x:v>
      </x:c>
      <x:c r="F76" s="22" t="n">
        <x:v>0</x:v>
      </x:c>
      <x:c r="G76" s="22" t="n">
        <x:v>0</x:v>
      </x:c>
      <x:c r="H76" s="24" t="n">
        <x:v>1</x:v>
      </x:c>
      <x:c r="I76" s="24" t="n">
        <x:v>2</x:v>
      </x:c>
      <x:c r="J76" s="23" t="n">
        <x:f>IF(I76&gt;0,H76/I76,"NA")</x:f>
        <x:v>0.5</x:v>
      </x:c>
      <x:c r="K76" s="23" t="n">
        <x:f>MAX(0,MIN(1,(E76-'总览与权重'!$B$18)/('总览与权重'!$C$18-'总览与权重'!$B$18)))</x:f>
        <x:v>0</x:v>
      </x:c>
      <x:c r="L76" s="23" t="n">
        <x:f>MAX(0,MIN(1,(F76-'总览与权重'!$B$19)/('总览与权重'!$C$19-'总览与权重'!$B$19)))</x:f>
        <x:v>0</x:v>
      </x:c>
      <x:c r="M76" s="23" t="n">
        <x:f>MAX(0,MIN(1,(G76-'总览与权重'!$B$20)/('总览与权重'!$C$20-'总览与权重'!$B$20)))</x:f>
        <x:v>0</x:v>
      </x:c>
      <x:c r="N76" s="23" t="n">
        <x:f>J76</x:f>
        <x:v>0.5</x:v>
      </x:c>
      <x:c r="O76" s="22" t="str">
        <x:v>是</x:v>
      </x:c>
      <x:c r="P76" s="22" t="n">
        <x:v>-0.13683228565235026</x:v>
      </x:c>
      <x:c r="Q76" s="22" t="n">
        <x:v>-0.13683228565235026</x:v>
      </x:c>
      <x:c r="R76" s="22" t="n">
        <x:v>-0.13683228565235026</x:v>
      </x:c>
      <x:c r="S76" s="23" t="n">
        <x:f>IF(O76="是",MAX(0,MIN(1,(P76-'总览与权重'!$B$21)/('总览与权重'!$C$21-'总览与权重'!$B$21))),"NA")</x:f>
        <x:v>0.4942986547644854</x:v>
      </x:c>
      <x:c r="T76" s="23" t="n">
        <x:f>IF(O76="是",MAX(0,MIN(1,(Q76-'总览与权重'!$B$22)/('总览与权重'!$C$22-'总览与权重'!$B$22))),"NA")</x:f>
        <x:v>0.43158385717382486</x:v>
      </x:c>
      <x:c r="U76" s="23" t="n">
        <x:f>IF(O76="是",MAX(0,MIN(1,(R76-'总览与权重'!$B$23)/('总览与权重'!$C$23-'总览与权重'!$B$23))),"NA")</x:f>
        <x:v>0.43158385717382486</x:v>
      </x:c>
      <x:c r="V76" s="23" t="n">
        <x:f>IF(O76="是",J76,"NA")</x:f>
        <x:v>0.5</x:v>
      </x:c>
      <x:c r="W76" s="22" t="str">
        <x:v>完整</x:v>
      </x:c>
      <x:c r="X76" s="22" t="n">
        <x:v>2</x:v>
      </x:c>
      <x:c r="Y76" s="22" t="n">
        <x:v>0.6321205588285577</x:v>
      </x:c>
      <x:c r="Z76" s="22" t="n">
        <x:v>0</x:v>
      </x:c>
      <x:c r="AA76" s="22" t="n">
        <x:v>0</x:v>
      </x:c>
      <x:c r="AB76" s="22" t="str">
        <x:v>知识点理解与概念探究；无明确评价（不计能力分）</x:v>
      </x:c>
      <x:c r="AC76" s="22" t="str">
        <x:v>NA</x:v>
      </x:c>
      <x:c r="AD76" s="22" t="str">
        <x:v>NA</x:v>
      </x:c>
      <x:c r="AE76" s="22" t="str">
        <x:v>["S0005"]</x:v>
      </x:c>
      <x:c r="AF76" s="22" t="str">
        <x:v>["2025秋:2025秋-数学模型-问答记录导出20260502导出_已标注_已更新.xlsx:问答记录:7"]</x:v>
      </x:c>
      <x:c r="AG76" s="22" t="str">
        <x:v>evidence/student_evidence.jsonl；student_key=2025秋:259106</x:v>
      </x:c>
      <x:c r="AH76" s="27" t="str"/>
    </x:row>
    <x:row r="77" ht="23" customHeight="1">
      <x:c r="A77" s="21" t="str">
        <x:v>2025秋:259112</x:v>
      </x:c>
      <x:c r="B77" s="22" t="str">
        <x:v>s3</x:v>
      </x:c>
      <x:c r="C77" s="24" t="n">
        <x:v>1</x:v>
      </x:c>
      <x:c r="D77" s="24" t="n">
        <x:v>1</x:v>
      </x:c>
      <x:c r="E77" s="22" t="n">
        <x:v>0.3818843761667175</x:v>
      </x:c>
      <x:c r="F77" s="22" t="n">
        <x:v>0.3818843761667175</x:v>
      </x:c>
      <x:c r="G77" s="22" t="n">
        <x:v>0.3818843761667175</x:v>
      </x:c>
      <x:c r="H77" s="24" t="n">
        <x:v>1</x:v>
      </x:c>
      <x:c r="I77" s="24" t="n">
        <x:v>1</x:v>
      </x:c>
      <x:c r="J77" s="23" t="n">
        <x:f>IF(I77&gt;0,H77/I77,"NA")</x:f>
        <x:v>1</x:v>
      </x:c>
      <x:c r="K77" s="23" t="n">
        <x:f>MAX(0,MIN(1,(E77-'总览与权重'!$B$18)/('总览与权重'!$C$18-'总览与权重'!$B$18)))</x:f>
        <x:v>0.03182369801389313</x:v>
      </x:c>
      <x:c r="L77" s="23" t="n">
        <x:f>MAX(0,MIN(1,(F77-'总览与权重'!$B$19)/('总览与权重'!$C$19-'总览与权重'!$B$19)))</x:f>
        <x:v>0.3818843761667175</x:v>
      </x:c>
      <x:c r="M77" s="23" t="n">
        <x:f>MAX(0,MIN(1,(G77-'总览与权重'!$B$20)/('总览与权重'!$C$20-'总览与权重'!$B$20)))</x:f>
        <x:v>0.3818843761667175</x:v>
      </x:c>
      <x:c r="N77" s="23" t="n">
        <x:f>J77</x:f>
        <x:v>1</x:v>
      </x:c>
      <x:c r="O77" s="22" t="str">
        <x:v>是</x:v>
      </x:c>
      <x:c r="P77" s="22" t="n">
        <x:v>0.24505209051436724</x:v>
      </x:c>
      <x:c r="Q77" s="22" t="n">
        <x:v>0.24505209051436724</x:v>
      </x:c>
      <x:c r="R77" s="22" t="n">
        <x:v>0.24505209051436724</x:v>
      </x:c>
      <x:c r="S77" s="23" t="n">
        <x:f>IF(O77="是",MAX(0,MIN(1,(P77-'总览与权重'!$B$21)/('总览与权重'!$C$21-'总览与权重'!$B$21))),"NA")</x:f>
        <x:v>0.510210503771432</x:v>
      </x:c>
      <x:c r="T77" s="23" t="n">
        <x:f>IF(O77="是",MAX(0,MIN(1,(Q77-'总览与权重'!$B$22)/('总览与权重'!$C$22-'总览与权重'!$B$22))),"NA")</x:f>
        <x:v>0.6225260452571836</x:v>
      </x:c>
      <x:c r="U77" s="23" t="n">
        <x:f>IF(O77="是",MAX(0,MIN(1,(R77-'总览与权重'!$B$23)/('总览与权重'!$C$23-'总览与权重'!$B$23))),"NA")</x:f>
        <x:v>0.6225260452571836</x:v>
      </x:c>
      <x:c r="V77" s="23" t="n">
        <x:f>IF(O77="是",J77,"NA")</x:f>
        <x:v>1</x:v>
      </x:c>
      <x:c r="W77" s="22" t="str">
        <x:v>完整</x:v>
      </x:c>
      <x:c r="X77" s="22" t="n">
        <x:v>2</x:v>
      </x:c>
      <x:c r="Y77" s="22" t="n">
        <x:v>0.6321205588285577</x:v>
      </x:c>
      <x:c r="Z77" s="22" t="n">
        <x:v>-0.25</x:v>
      </x:c>
      <x:c r="AA77" s="22" t="n">
        <x:v>-0.119047619048</x:v>
      </x:c>
      <x:c r="AB77" s="22" t="str">
        <x:v>知识点理解与概念探究；正向评价（不计能力分）</x:v>
      </x:c>
      <x:c r="AC77" s="22" t="str">
        <x:v>NA</x:v>
      </x:c>
      <x:c r="AD77" s="22" t="str">
        <x:v>NA</x:v>
      </x:c>
      <x:c r="AE77" s="22" t="str">
        <x:v>["S0204"]</x:v>
      </x:c>
      <x:c r="AF77" s="22" t="str">
        <x:v>["2025秋:2025秋-数学模型-问答记录导出20260502导出_已标注_已更新.xlsx:问答记录:209"]</x:v>
      </x:c>
      <x:c r="AG77" s="22" t="str">
        <x:v>evidence/student_evidence.jsonl；student_key=2025秋:259112</x:v>
      </x:c>
      <x:c r="AH77" s="27" t="str"/>
    </x:row>
    <x:row r="78" ht="23" customHeight="1">
      <x:c r="A78" s="21" t="str">
        <x:v>2025秋:259116</x:v>
      </x:c>
      <x:c r="B78" s="22" t="str">
        <x:v>s3</x:v>
      </x:c>
      <x:c r="C78" s="24" t="n">
        <x:v>2</x:v>
      </x:c>
      <x:c r="D78" s="24" t="n">
        <x:v>1</x:v>
      </x:c>
      <x:c r="E78" s="22" t="n">
        <x:v>0</x:v>
      </x:c>
      <x:c r="F78" s="22" t="n">
        <x:v>0</x:v>
      </x:c>
      <x:c r="G78" s="22" t="n">
        <x:v>0</x:v>
      </x:c>
      <x:c r="H78" s="24" t="n">
        <x:v>2</x:v>
      </x:c>
      <x:c r="I78" s="24" t="n">
        <x:v>2</x:v>
      </x:c>
      <x:c r="J78" s="23" t="n">
        <x:f>IF(I78&gt;0,H78/I78,"NA")</x:f>
        <x:v>1</x:v>
      </x:c>
      <x:c r="K78" s="23" t="n">
        <x:f>MAX(0,MIN(1,(E78-'总览与权重'!$B$18)/('总览与权重'!$C$18-'总览与权重'!$B$18)))</x:f>
        <x:v>0</x:v>
      </x:c>
      <x:c r="L78" s="23" t="n">
        <x:f>MAX(0,MIN(1,(F78-'总览与权重'!$B$19)/('总览与权重'!$C$19-'总览与权重'!$B$19)))</x:f>
        <x:v>0</x:v>
      </x:c>
      <x:c r="M78" s="23" t="n">
        <x:f>MAX(0,MIN(1,(G78-'总览与权重'!$B$20)/('总览与权重'!$C$20-'总览与权重'!$B$20)))</x:f>
        <x:v>0</x:v>
      </x:c>
      <x:c r="N78" s="23" t="n">
        <x:f>J78</x:f>
        <x:v>1</x:v>
      </x:c>
      <x:c r="O78" s="22" t="str">
        <x:v>是</x:v>
      </x:c>
      <x:c r="P78" s="22" t="n">
        <x:v>-0.11788498564075993</x:v>
      </x:c>
      <x:c r="Q78" s="22" t="n">
        <x:v>-0.11788498564075993</x:v>
      </x:c>
      <x:c r="R78" s="22" t="n">
        <x:v>-0.11788498564075993</x:v>
      </x:c>
      <x:c r="S78" s="23" t="n">
        <x:f>IF(O78="是",MAX(0,MIN(1,(P78-'总览与权重'!$B$21)/('总览与权重'!$C$21-'总览与权重'!$B$21))),"NA")</x:f>
        <x:v>0.4950881255983017</x:v>
      </x:c>
      <x:c r="T78" s="23" t="n">
        <x:f>IF(O78="是",MAX(0,MIN(1,(Q78-'总览与权重'!$B$22)/('总览与权重'!$C$22-'总览与权重'!$B$22))),"NA")</x:f>
        <x:v>0.44105750717962006</x:v>
      </x:c>
      <x:c r="U78" s="23" t="n">
        <x:f>IF(O78="是",MAX(0,MIN(1,(R78-'总览与权重'!$B$23)/('总览与权重'!$C$23-'总览与权重'!$B$23))),"NA")</x:f>
        <x:v>0.44105750717962006</x:v>
      </x:c>
      <x:c r="V78" s="23" t="n">
        <x:f>IF(O78="是",J78,"NA")</x:f>
        <x:v>1</x:v>
      </x:c>
      <x:c r="W78" s="22" t="str">
        <x:v>完整</x:v>
      </x:c>
      <x:c r="X78" s="22" t="n">
        <x:v>2</x:v>
      </x:c>
      <x:c r="Y78" s="22" t="n">
        <x:v>0.6321205588285577</x:v>
      </x:c>
      <x:c r="Z78" s="22" t="n">
        <x:v>0</x:v>
      </x:c>
      <x:c r="AA78" s="22" t="n">
        <x:v>0</x:v>
      </x:c>
      <x:c r="AB78" s="22" t="str">
        <x:v>知识点理解与概念探究；无明确评价（不计能力分）</x:v>
      </x:c>
      <x:c r="AC78" s="22" t="str">
        <x:v>NA</x:v>
      </x:c>
      <x:c r="AD78" s="22" t="str">
        <x:v>NA</x:v>
      </x:c>
      <x:c r="AE78" s="22" t="str">
        <x:v>["S0223","S0266"]</x:v>
      </x:c>
      <x:c r="AF78" s="22" t="str">
        <x:v>["2025秋:2025秋-数学模型-问答记录导出20260502导出_已标注_已更新.xlsx:问答记录:228","2025秋:2025秋-数学模型-问答记录导出20260502导出_已标注_已更新.xlsx:问答记录:274"]</x:v>
      </x:c>
      <x:c r="AG78" s="22" t="str">
        <x:v>evidence/student_evidence.jsonl；student_key=2025秋:259116</x:v>
      </x:c>
      <x:c r="AH78" s="27" t="str"/>
    </x:row>
    <x:row r="79" ht="23" customHeight="1">
      <x:c r="A79" s="21" t="str">
        <x:v>2025秋:259161</x:v>
      </x:c>
      <x:c r="B79" s="22" t="str">
        <x:v>s3</x:v>
      </x:c>
      <x:c r="C79" s="24" t="n">
        <x:v>1</x:v>
      </x:c>
      <x:c r="D79" s="24" t="n">
        <x:v>1</x:v>
      </x:c>
      <x:c r="E79" s="22" t="n">
        <x:v>0.2708321739291743</x:v>
      </x:c>
      <x:c r="F79" s="22" t="n">
        <x:v>0.2708321739291743</x:v>
      </x:c>
      <x:c r="G79" s="22" t="n">
        <x:v>0.2708321739291743</x:v>
      </x:c>
      <x:c r="H79" s="24" t="n">
        <x:v>2</x:v>
      </x:c>
      <x:c r="I79" s="24" t="n">
        <x:v>3</x:v>
      </x:c>
      <x:c r="J79" s="23" t="n">
        <x:f>IF(I79&gt;0,H79/I79,"NA")</x:f>
        <x:v>0.6666666666666666</x:v>
      </x:c>
      <x:c r="K79" s="23" t="n">
        <x:f>MAX(0,MIN(1,(E79-'总览与权重'!$B$18)/('总览与权重'!$C$18-'总览与权重'!$B$18)))</x:f>
        <x:v>0.022569347827431193</x:v>
      </x:c>
      <x:c r="L79" s="23" t="n">
        <x:f>MAX(0,MIN(1,(F79-'总览与权重'!$B$19)/('总览与权重'!$C$19-'总览与权重'!$B$19)))</x:f>
        <x:v>0.2708321739291743</x:v>
      </x:c>
      <x:c r="M79" s="23" t="n">
        <x:f>MAX(0,MIN(1,(G79-'总览与权重'!$B$20)/('总览与权重'!$C$20-'总览与权重'!$B$20)))</x:f>
        <x:v>0.2708321739291743</x:v>
      </x:c>
      <x:c r="N79" s="23" t="n">
        <x:f>J79</x:f>
        <x:v>0.6666666666666666</x:v>
      </x:c>
      <x:c r="O79" s="22" t="str">
        <x:v>是</x:v>
      </x:c>
      <x:c r="P79" s="22" t="n">
        <x:v>0.14148763673052153</x:v>
      </x:c>
      <x:c r="Q79" s="22" t="n">
        <x:v>0.1768595459131519</x:v>
      </x:c>
      <x:c r="R79" s="22" t="n">
        <x:v>0.17685954591315192</x:v>
      </x:c>
      <x:c r="S79" s="23" t="n">
        <x:f>IF(O79="是",MAX(0,MIN(1,(P79-'总览与权重'!$B$21)/('总览与权重'!$C$21-'总览与权重'!$B$21))),"NA")</x:f>
        <x:v>0.5058953181971051</x:v>
      </x:c>
      <x:c r="T79" s="23" t="n">
        <x:f>IF(O79="是",MAX(0,MIN(1,(Q79-'总览与权重'!$B$22)/('总览与权重'!$C$22-'总览与权重'!$B$22))),"NA")</x:f>
        <x:v>0.588429772956576</x:v>
      </x:c>
      <x:c r="U79" s="23" t="n">
        <x:f>IF(O79="是",MAX(0,MIN(1,(R79-'总览与权重'!$B$23)/('总览与权重'!$C$23-'总览与权重'!$B$23))),"NA")</x:f>
        <x:v>0.588429772956576</x:v>
      </x:c>
      <x:c r="V79" s="23" t="n">
        <x:f>IF(O79="是",J79,"NA")</x:f>
        <x:v>0.6666666666666666</x:v>
      </x:c>
      <x:c r="W79" s="22" t="str">
        <x:v>完整</x:v>
      </x:c>
      <x:c r="X79" s="22" t="n">
        <x:v>3</x:v>
      </x:c>
      <x:c r="Y79" s="22" t="n">
        <x:v>0.8646647167633873</x:v>
      </x:c>
      <x:c r="Z79" s="22" t="n">
        <x:v>-0.25</x:v>
      </x:c>
      <x:c r="AA79" s="22" t="n">
        <x:v>-0.119047619048</x:v>
      </x:c>
      <x:c r="AB79" s="22" t="str">
        <x:v>知识点理解与概念探究；正向评价（不计能力分）</x:v>
      </x:c>
      <x:c r="AC79" s="22" t="str">
        <x:v>NA</x:v>
      </x:c>
      <x:c r="AD79" s="22" t="str">
        <x:v>NA</x:v>
      </x:c>
      <x:c r="AE79" s="22" t="str">
        <x:v>["S0210"]</x:v>
      </x:c>
      <x:c r="AF79" s="22" t="str">
        <x:v>["2025秋:2025秋-数学模型-问答记录导出20260502导出_已标注_已更新.xlsx:问答记录:215"]</x:v>
      </x:c>
      <x:c r="AG79" s="22" t="str">
        <x:v>evidence/student_evidence.jsonl；student_key=2025秋:259161</x:v>
      </x:c>
      <x:c r="AH79" s="27" t="str"/>
    </x:row>
    <x:row r="80" ht="23" customHeight="1">
      <x:c r="A80" s="21" t="str">
        <x:v>2025秋:259315</x:v>
      </x:c>
      <x:c r="B80" s="22" t="str">
        <x:v>s3</x:v>
      </x:c>
      <x:c r="C80" s="24" t="n">
        <x:v>1</x:v>
      </x:c>
      <x:c r="D80" s="24" t="n">
        <x:v>1</x:v>
      </x:c>
      <x:c r="E80" s="22" t="n">
        <x:v>0</x:v>
      </x:c>
      <x:c r="F80" s="22" t="n">
        <x:v>0</x:v>
      </x:c>
      <x:c r="G80" s="22" t="n">
        <x:v>0</x:v>
      </x:c>
      <x:c r="H80" s="24" t="n">
        <x:v>1</x:v>
      </x:c>
      <x:c r="I80" s="24" t="n">
        <x:v>2</x:v>
      </x:c>
      <x:c r="J80" s="23" t="n">
        <x:f>IF(I80&gt;0,H80/I80,"NA")</x:f>
        <x:v>0.5</x:v>
      </x:c>
      <x:c r="K80" s="23" t="n">
        <x:f>MAX(0,MIN(1,(E80-'总览与权重'!$B$18)/('总览与权重'!$C$18-'总览与权重'!$B$18)))</x:f>
        <x:v>0</x:v>
      </x:c>
      <x:c r="L80" s="23" t="n">
        <x:f>MAX(0,MIN(1,(F80-'总览与权重'!$B$19)/('总览与权重'!$C$19-'总览与权重'!$B$19)))</x:f>
        <x:v>0</x:v>
      </x:c>
      <x:c r="M80" s="23" t="n">
        <x:f>MAX(0,MIN(1,(G80-'总览与权重'!$B$20)/('总览与权重'!$C$20-'总览与权重'!$B$20)))</x:f>
        <x:v>0</x:v>
      </x:c>
      <x:c r="N80" s="23" t="n">
        <x:f>J80</x:f>
        <x:v>0.5</x:v>
      </x:c>
      <x:c r="O80" s="22" t="str">
        <x:v>是</x:v>
      </x:c>
      <x:c r="P80" s="22" t="n">
        <x:v>-0.11788498564075993</x:v>
      </x:c>
      <x:c r="Q80" s="22" t="n">
        <x:v>-0.11788498564075993</x:v>
      </x:c>
      <x:c r="R80" s="22" t="n">
        <x:v>-0.11788498564075993</x:v>
      </x:c>
      <x:c r="S80" s="23" t="n">
        <x:f>IF(O80="是",MAX(0,MIN(1,(P80-'总览与权重'!$B$21)/('总览与权重'!$C$21-'总览与权重'!$B$21))),"NA")</x:f>
        <x:v>0.4950881255983017</x:v>
      </x:c>
      <x:c r="T80" s="23" t="n">
        <x:f>IF(O80="是",MAX(0,MIN(1,(Q80-'总览与权重'!$B$22)/('总览与权重'!$C$22-'总览与权重'!$B$22))),"NA")</x:f>
        <x:v>0.44105750717962006</x:v>
      </x:c>
      <x:c r="U80" s="23" t="n">
        <x:f>IF(O80="是",MAX(0,MIN(1,(R80-'总览与权重'!$B$23)/('总览与权重'!$C$23-'总览与权重'!$B$23))),"NA")</x:f>
        <x:v>0.44105750717962006</x:v>
      </x:c>
      <x:c r="V80" s="23" t="n">
        <x:f>IF(O80="是",J80,"NA")</x:f>
        <x:v>0.5</x:v>
      </x:c>
      <x:c r="W80" s="22" t="str">
        <x:v>完整</x:v>
      </x:c>
      <x:c r="X80" s="22" t="n">
        <x:v>1</x:v>
      </x:c>
      <x:c r="Y80" s="22" t="n">
        <x:v>0</x:v>
      </x:c>
      <x:c r="Z80" s="22" t="n">
        <x:v>0</x:v>
      </x:c>
      <x:c r="AA80" s="22" t="n">
        <x:v>0</x:v>
      </x:c>
      <x:c r="AB80" s="22" t="str">
        <x:v>知识点理解与概念探究；正向评价（不计能力分）</x:v>
      </x:c>
      <x:c r="AC80" s="22" t="str">
        <x:v>NA</x:v>
      </x:c>
      <x:c r="AD80" s="22" t="str">
        <x:v>NA</x:v>
      </x:c>
      <x:c r="AE80" s="22" t="str">
        <x:v>["S0405"]</x:v>
      </x:c>
      <x:c r="AF80" s="22" t="str">
        <x:v>["2025秋:2025秋-数学模型-问答记录导出20260502导出_已标注_已更新.xlsx:问答记录:416"]</x:v>
      </x:c>
      <x:c r="AG80" s="22" t="str">
        <x:v>evidence/student_evidence.jsonl；student_key=2025秋:259315</x:v>
      </x:c>
      <x:c r="AH80" s="27" t="str"/>
    </x:row>
    <x:row r="81" ht="48" customHeight="1">
      <x:c r="A81" s="21" t="str">
        <x:v>2025秋:259316</x:v>
      </x:c>
      <x:c r="B81" s="22" t="str">
        <x:v>s3</x:v>
      </x:c>
      <x:c r="C81" s="24" t="n">
        <x:v>2</x:v>
      </x:c>
      <x:c r="D81" s="24" t="n">
        <x:v>2</x:v>
      </x:c>
      <x:c r="E81" s="22" t="n">
        <x:v>0</x:v>
      </x:c>
      <x:c r="F81" s="22" t="n">
        <x:v>0</x:v>
      </x:c>
      <x:c r="G81" s="22" t="n">
        <x:v>0</x:v>
      </x:c>
      <x:c r="H81" s="24" t="n">
        <x:v>2</x:v>
      </x:c>
      <x:c r="I81" s="24" t="n">
        <x:v>2</x:v>
      </x:c>
      <x:c r="J81" s="23" t="n">
        <x:f>IF(I81&gt;0,H81/I81,"NA")</x:f>
        <x:v>1</x:v>
      </x:c>
      <x:c r="K81" s="23" t="n">
        <x:f>MAX(0,MIN(1,(E81-'总览与权重'!$B$18)/('总览与权重'!$C$18-'总览与权重'!$B$18)))</x:f>
        <x:v>0</x:v>
      </x:c>
      <x:c r="L81" s="23" t="n">
        <x:f>MAX(0,MIN(1,(F81-'总览与权重'!$B$19)/('总览与权重'!$C$19-'总览与权重'!$B$19)))</x:f>
        <x:v>0</x:v>
      </x:c>
      <x:c r="M81" s="23" t="n">
        <x:f>MAX(0,MIN(1,(G81-'总览与权重'!$B$20)/('总览与权重'!$C$20-'总览与权重'!$B$20)))</x:f>
        <x:v>0</x:v>
      </x:c>
      <x:c r="N81" s="23" t="n">
        <x:f>J81</x:f>
        <x:v>1</x:v>
      </x:c>
      <x:c r="O81" s="22" t="str">
        <x:v>是</x:v>
      </x:c>
      <x:c r="P81" s="22" t="n">
        <x:v>-0.12773747635786925</x:v>
      </x:c>
      <x:c r="Q81" s="22" t="n">
        <x:v>-0.07983592272366828</x:v>
      </x:c>
      <x:c r="R81" s="22" t="n">
        <x:v>-0.06458621772590344</x:v>
      </x:c>
      <x:c r="S81" s="23" t="n">
        <x:f>IF(O81="是",MAX(0,MIN(1,(P81-'总览与权重'!$B$21)/('总览与权重'!$C$21-'总览与权重'!$B$21))),"NA")</x:f>
        <x:v>0.49467760515175546</x:v>
      </x:c>
      <x:c r="T81" s="23" t="n">
        <x:f>IF(O81="是",MAX(0,MIN(1,(Q81-'总览与权重'!$B$22)/('总览与权重'!$C$22-'总览与权重'!$B$22))),"NA")</x:f>
        <x:v>0.4600820386381659</x:v>
      </x:c>
      <x:c r="U81" s="23" t="n">
        <x:f>IF(O81="是",MAX(0,MIN(1,(R81-'总览与权重'!$B$23)/('总览与权重'!$C$23-'总览与权重'!$B$23))),"NA")</x:f>
        <x:v>0.4677068911370483</x:v>
      </x:c>
      <x:c r="V81" s="23" t="n">
        <x:f>IF(O81="是",J81,"NA")</x:f>
        <x:v>1</x:v>
      </x:c>
      <x:c r="W81" s="22" t="str">
        <x:v>完整</x:v>
      </x:c>
      <x:c r="X81" s="22" t="n">
        <x:v>2</x:v>
      </x:c>
      <x:c r="Y81" s="22" t="n">
        <x:v>0.6321205588285577</x:v>
      </x:c>
      <x:c r="Z81" s="22" t="n">
        <x:v>0</x:v>
      </x:c>
      <x:c r="AA81" s="22" t="n">
        <x:v>0</x:v>
      </x:c>
      <x:c r="AB81" s="22" t="str">
        <x:v>知识点理解与概念探究；无明确评价（不计能力分）</x:v>
      </x:c>
      <x:c r="AC81" s="22" t="str">
        <x:v>NA</x:v>
      </x:c>
      <x:c r="AD81" s="22" t="str">
        <x:v>NA</x:v>
      </x:c>
      <x:c r="AE81" s="22" t="str">
        <x:v>["S0062","S0121"]</x:v>
      </x:c>
      <x:c r="AF81" s="22" t="str">
        <x:v>["2025秋:2025秋-数学模型-问答记录导出20260502导出_已标注_已更新.xlsx:问答记录:65","2025秋:2025秋-数学模型-问答记录导出20260502导出_已标注_已更新.xlsx:问答记录:124"]</x:v>
      </x:c>
      <x:c r="AG81" s="22" t="str">
        <x:v>evidence/student_evidence.jsonl；student_key=2025秋:259316</x:v>
      </x:c>
      <x:c r="AH81" s="27" t="str">
        <x:v>同一锚点起止1条：未形成独立重复测量。</x:v>
      </x:c>
    </x:row>
    <x:row r="82" ht="23" customHeight="1">
      <x:c r="A82" s="21" t="str">
        <x:v>2025秋:259317</x:v>
      </x:c>
      <x:c r="B82" s="22" t="str">
        <x:v>s3</x:v>
      </x:c>
      <x:c r="C82" s="24" t="n">
        <x:v>1</x:v>
      </x:c>
      <x:c r="D82" s="24" t="n">
        <x:v>1</x:v>
      </x:c>
      <x:c r="E82" s="22" t="n">
        <x:v>0.16119912296147523</x:v>
      </x:c>
      <x:c r="F82" s="22" t="n">
        <x:v>0.16119912296147523</x:v>
      </x:c>
      <x:c r="G82" s="22" t="n">
        <x:v>0.16119912296147523</x:v>
      </x:c>
      <x:c r="H82" s="24" t="n">
        <x:v>1</x:v>
      </x:c>
      <x:c r="I82" s="24" t="n">
        <x:v>1</x:v>
      </x:c>
      <x:c r="J82" s="23" t="n">
        <x:f>IF(I82&gt;0,H82/I82,"NA")</x:f>
        <x:v>1</x:v>
      </x:c>
      <x:c r="K82" s="23" t="n">
        <x:f>MAX(0,MIN(1,(E82-'总览与权重'!$B$18)/('总览与权重'!$C$18-'总览与权重'!$B$18)))</x:f>
        <x:v>0.013433260246789603</x:v>
      </x:c>
      <x:c r="L82" s="23" t="n">
        <x:f>MAX(0,MIN(1,(F82-'总览与权重'!$B$19)/('总览与权重'!$C$19-'总览与权重'!$B$19)))</x:f>
        <x:v>0.16119912296147523</x:v>
      </x:c>
      <x:c r="M82" s="23" t="n">
        <x:f>MAX(0,MIN(1,(G82-'总览与权重'!$B$20)/('总览与权重'!$C$20-'总览与权重'!$B$20)))</x:f>
        <x:v>0.16119912296147523</x:v>
      </x:c>
      <x:c r="N82" s="23" t="n">
        <x:f>J82</x:f>
        <x:v>1</x:v>
      </x:c>
      <x:c r="O82" s="22" t="str">
        <x:v>是</x:v>
      </x:c>
      <x:c r="P82" s="22" t="n">
        <x:v>0.06943310718474952</x:v>
      </x:c>
      <x:c r="Q82" s="22" t="n">
        <x:v>0.11572184530791586</x:v>
      </x:c>
      <x:c r="R82" s="22" t="n">
        <x:v>0.11572184530791585</x:v>
      </x:c>
      <x:c r="S82" s="23" t="n">
        <x:f>IF(O82="是",MAX(0,MIN(1,(P82-'总览与权重'!$B$21)/('总览与权重'!$C$21-'总览与权重'!$B$21))),"NA")</x:f>
        <x:v>0.5028930461326979</x:v>
      </x:c>
      <x:c r="T82" s="23" t="n">
        <x:f>IF(O82="是",MAX(0,MIN(1,(Q82-'总览与权重'!$B$22)/('总览与权重'!$C$22-'总览与权重'!$B$22))),"NA")</x:f>
        <x:v>0.5578609226539579</x:v>
      </x:c>
      <x:c r="U82" s="23" t="n">
        <x:f>IF(O82="是",MAX(0,MIN(1,(R82-'总览与权重'!$B$23)/('总览与权重'!$C$23-'总览与权重'!$B$23))),"NA")</x:f>
        <x:v>0.5578609226539579</x:v>
      </x:c>
      <x:c r="V82" s="23" t="n">
        <x:f>IF(O82="是",J82,"NA")</x:f>
        <x:v>1</x:v>
      </x:c>
      <x:c r="W82" s="22" t="str">
        <x:v>完整</x:v>
      </x:c>
      <x:c r="X82" s="22" t="n">
        <x:v>1</x:v>
      </x:c>
      <x:c r="Y82" s="22" t="n">
        <x:v>0</x:v>
      </x:c>
      <x:c r="Z82" s="22" t="n">
        <x:v>-0.25</x:v>
      </x:c>
      <x:c r="AA82" s="22" t="n">
        <x:v>-0.119047619048</x:v>
      </x:c>
      <x:c r="AB82" s="22" t="str">
        <x:v>知识点理解与概念探究；正向评价（不计能力分）</x:v>
      </x:c>
      <x:c r="AC82" s="22" t="str">
        <x:v>NA</x:v>
      </x:c>
      <x:c r="AD82" s="22" t="str">
        <x:v>NA</x:v>
      </x:c>
      <x:c r="AE82" s="22" t="str">
        <x:v>["S0003"]</x:v>
      </x:c>
      <x:c r="AF82" s="22" t="str">
        <x:v>["2025秋:2025秋-数学模型-问答记录导出20260502导出_已标注_已更新.xlsx:问答记录:5"]</x:v>
      </x:c>
      <x:c r="AG82" s="22" t="str">
        <x:v>evidence/student_evidence.jsonl；student_key=2025秋:259317</x:v>
      </x:c>
      <x:c r="AH82" s="27" t="str"/>
    </x:row>
    <x:row r="83" ht="23" customHeight="1">
      <x:c r="A83" s="21" t="str">
        <x:v>2025秋:259321</x:v>
      </x:c>
      <x:c r="B83" s="22" t="str">
        <x:v>s3</x:v>
      </x:c>
      <x:c r="C83" s="24" t="n">
        <x:v>1</x:v>
      </x:c>
      <x:c r="D83" s="24" t="n">
        <x:v>1</x:v>
      </x:c>
      <x:c r="E83" s="22" t="n">
        <x:v>0.13144624474911137</x:v>
      </x:c>
      <x:c r="F83" s="22" t="n">
        <x:v>0.13144624474911137</x:v>
      </x:c>
      <x:c r="G83" s="22" t="n">
        <x:v>0.13144624474911137</x:v>
      </x:c>
      <x:c r="H83" s="24" t="n">
        <x:v>1</x:v>
      </x:c>
      <x:c r="I83" s="24" t="n">
        <x:v>2</x:v>
      </x:c>
      <x:c r="J83" s="23" t="n">
        <x:f>IF(I83&gt;0,H83/I83,"NA")</x:f>
        <x:v>0.5</x:v>
      </x:c>
      <x:c r="K83" s="23" t="n">
        <x:f>MAX(0,MIN(1,(E83-'总览与权重'!$B$18)/('总览与权重'!$C$18-'总览与权重'!$B$18)))</x:f>
        <x:v>0.010953853729092614</x:v>
      </x:c>
      <x:c r="L83" s="23" t="n">
        <x:f>MAX(0,MIN(1,(F83-'总览与权重'!$B$19)/('总览与权重'!$C$19-'总览与权重'!$B$19)))</x:f>
        <x:v>0.13144624474911137</x:v>
      </x:c>
      <x:c r="M83" s="23" t="n">
        <x:f>MAX(0,MIN(1,(G83-'总览与权重'!$B$20)/('总览与权重'!$C$20-'总览与权重'!$B$20)))</x:f>
        <x:v>0.13144624474911137</x:v>
      </x:c>
      <x:c r="N83" s="23" t="n">
        <x:f>J83</x:f>
        <x:v>0.5</x:v>
      </x:c>
      <x:c r="O83" s="22" t="str">
        <x:v>是</x:v>
      </x:c>
      <x:c r="P83" s="22" t="n">
        <x:v>0.051581380257331194</x:v>
      </x:c>
      <x:c r="Q83" s="22" t="n">
        <x:v>0.08596896709555199</x:v>
      </x:c>
      <x:c r="R83" s="22" t="n">
        <x:v>0.08596896709555199</x:v>
      </x:c>
      <x:c r="S83" s="23" t="n">
        <x:f>IF(O83="是",MAX(0,MIN(1,(P83-'总览与权重'!$B$21)/('总览与权重'!$C$21-'总览与权重'!$B$21))),"NA")</x:f>
        <x:v>0.5021492241773888</x:v>
      </x:c>
      <x:c r="T83" s="23" t="n">
        <x:f>IF(O83="是",MAX(0,MIN(1,(Q83-'总览与权重'!$B$22)/('总览与权重'!$C$22-'总览与权重'!$B$22))),"NA")</x:f>
        <x:v>0.542984483547776</x:v>
      </x:c>
      <x:c r="U83" s="23" t="n">
        <x:f>IF(O83="是",MAX(0,MIN(1,(R83-'总览与权重'!$B$23)/('总览与权重'!$C$23-'总览与权重'!$B$23))),"NA")</x:f>
        <x:v>0.542984483547776</x:v>
      </x:c>
      <x:c r="V83" s="23" t="n">
        <x:f>IF(O83="是",J83,"NA")</x:f>
        <x:v>0.5</x:v>
      </x:c>
      <x:c r="W83" s="22" t="str">
        <x:v>完整</x:v>
      </x:c>
      <x:c r="X83" s="22" t="n">
        <x:v>1</x:v>
      </x:c>
      <x:c r="Y83" s="22" t="n">
        <x:v>0</x:v>
      </x:c>
      <x:c r="Z83" s="22" t="n">
        <x:v>0.3</x:v>
      </x:c>
      <x:c r="AA83" s="22" t="n">
        <x:v>0.666666666667</x:v>
      </x:c>
      <x:c r="AB83" s="22" t="str">
        <x:v>未匹配场景/评价记录</x:v>
      </x:c>
      <x:c r="AC83" s="22" t="str">
        <x:v>NA</x:v>
      </x:c>
      <x:c r="AD83" s="22" t="str">
        <x:v>NA</x:v>
      </x:c>
      <x:c r="AE83" s="22" t="str">
        <x:v>["S0288"]</x:v>
      </x:c>
      <x:c r="AF83" s="22" t="str">
        <x:v>["2025秋:2025秋-数学模型-问答记录导出20260502导出_已标注_已更新.xlsx:问答记录:296"]</x:v>
      </x:c>
      <x:c r="AG83" s="22" t="str">
        <x:v>evidence/student_evidence.jsonl；student_key=2025秋:259321</x:v>
      </x:c>
      <x:c r="AH83" s="27" t="str"/>
    </x:row>
    <x:row r="84" ht="48" customHeight="1">
      <x:c r="A84" s="21" t="str">
        <x:v>2025秋:259324</x:v>
      </x:c>
      <x:c r="B84" s="22" t="str">
        <x:v>s3</x:v>
      </x:c>
      <x:c r="C84" s="24" t="n">
        <x:v>1</x:v>
      </x:c>
      <x:c r="D84" s="24" t="n">
        <x:v>1</x:v>
      </x:c>
      <x:c r="E84" s="22" t="n">
        <x:v>0</x:v>
      </x:c>
      <x:c r="F84" s="22" t="n">
        <x:v>0</x:v>
      </x:c>
      <x:c r="G84" s="22" t="n">
        <x:v>0</x:v>
      </x:c>
      <x:c r="H84" s="24" t="n">
        <x:v>1</x:v>
      </x:c>
      <x:c r="I84" s="24" t="n">
        <x:v>1</x:v>
      </x:c>
      <x:c r="J84" s="23" t="n">
        <x:f>IF(I84&gt;0,H84/I84,"NA")</x:f>
        <x:v>1</x:v>
      </x:c>
      <x:c r="K84" s="23" t="n">
        <x:f>MAX(0,MIN(1,(E84-'总览与权重'!$B$18)/('总览与权重'!$C$18-'总览与权重'!$B$18)))</x:f>
        <x:v>0</x:v>
      </x:c>
      <x:c r="L84" s="23" t="n">
        <x:f>MAX(0,MIN(1,(F84-'总览与权重'!$B$19)/('总览与权重'!$C$19-'总览与权重'!$B$19)))</x:f>
        <x:v>0</x:v>
      </x:c>
      <x:c r="M84" s="23" t="n">
        <x:f>MAX(0,MIN(1,(G84-'总览与权重'!$B$20)/('总览与权重'!$C$20-'总览与权重'!$B$20)))</x:f>
        <x:v>0</x:v>
      </x:c>
      <x:c r="N84" s="23" t="n">
        <x:f>J84</x:f>
        <x:v>1</x:v>
      </x:c>
      <x:c r="O84" s="22" t="str">
        <x:v>是</x:v>
      </x:c>
      <x:c r="P84" s="22" t="n">
        <x:v>-0.11788498564075993</x:v>
      </x:c>
      <x:c r="Q84" s="22" t="n">
        <x:v>-0.11788498564075993</x:v>
      </x:c>
      <x:c r="R84" s="22" t="n">
        <x:v>-0.11788498564075993</x:v>
      </x:c>
      <x:c r="S84" s="23" t="n">
        <x:f>IF(O84="是",MAX(0,MIN(1,(P84-'总览与权重'!$B$21)/('总览与权重'!$C$21-'总览与权重'!$B$21))),"NA")</x:f>
        <x:v>0.4950881255983017</x:v>
      </x:c>
      <x:c r="T84" s="23" t="n">
        <x:f>IF(O84="是",MAX(0,MIN(1,(Q84-'总览与权重'!$B$22)/('总览与权重'!$C$22-'总览与权重'!$B$22))),"NA")</x:f>
        <x:v>0.44105750717962006</x:v>
      </x:c>
      <x:c r="U84" s="23" t="n">
        <x:f>IF(O84="是",MAX(0,MIN(1,(R84-'总览与权重'!$B$23)/('总览与权重'!$C$23-'总览与权重'!$B$23))),"NA")</x:f>
        <x:v>0.44105750717962006</x:v>
      </x:c>
      <x:c r="V84" s="23" t="n">
        <x:f>IF(O84="是",J84,"NA")</x:f>
        <x:v>1</x:v>
      </x:c>
      <x:c r="W84" s="22" t="str">
        <x:v>完整</x:v>
      </x:c>
      <x:c r="X84" s="22" t="n">
        <x:v>1</x:v>
      </x:c>
      <x:c r="Y84" s="22" t="n">
        <x:v>0</x:v>
      </x:c>
      <x:c r="Z84" s="22" t="n">
        <x:v>0</x:v>
      </x:c>
      <x:c r="AA84" s="22" t="n">
        <x:v>0</x:v>
      </x:c>
      <x:c r="AB84" s="22" t="str">
        <x:v>知识点理解与概念探究；正向评价（不计能力分）</x:v>
      </x:c>
      <x:c r="AC84" s="22" t="str">
        <x:v>NA</x:v>
      </x:c>
      <x:c r="AD84" s="22" t="str">
        <x:v>NA</x:v>
      </x:c>
      <x:c r="AE84" s="22" t="str">
        <x:v>["S0230"]</x:v>
      </x:c>
      <x:c r="AF84" s="22" t="str">
        <x:v>["2025秋:2025秋-数学模型-问答记录导出20260502导出_已标注_已更新.xlsx:问答记录:235"]</x:v>
      </x:c>
      <x:c r="AG84" s="22" t="str">
        <x:v>evidence/student_evidence.jsonl；student_key=2025秋:259324</x:v>
      </x:c>
      <x:c r="AH84" s="27" t="str">
        <x:v>同一锚点起止1条：未形成独立重复测量。</x:v>
      </x:c>
    </x:row>
    <x:row r="85" ht="48" customHeight="1">
      <x:c r="A85" s="21" t="str">
        <x:v>2025秋:259325</x:v>
      </x:c>
      <x:c r="B85" s="22" t="str">
        <x:v>s3</x:v>
      </x:c>
      <x:c r="C85" s="24" t="n">
        <x:v>1</x:v>
      </x:c>
      <x:c r="D85" s="24" t="n">
        <x:v>1</x:v>
      </x:c>
      <x:c r="E85" s="22" t="n">
        <x:v>0</x:v>
      </x:c>
      <x:c r="F85" s="22" t="n">
        <x:v>0</x:v>
      </x:c>
      <x:c r="G85" s="22" t="n">
        <x:v>0</x:v>
      </x:c>
      <x:c r="H85" s="24" t="n">
        <x:v>2</x:v>
      </x:c>
      <x:c r="I85" s="24" t="n">
        <x:v>3</x:v>
      </x:c>
      <x:c r="J85" s="23" t="n">
        <x:f>IF(I85&gt;0,H85/I85,"NA")</x:f>
        <x:v>0.6666666666666666</x:v>
      </x:c>
      <x:c r="K85" s="23" t="n">
        <x:f>MAX(0,MIN(1,(E85-'总览与权重'!$B$18)/('总览与权重'!$C$18-'总览与权重'!$B$18)))</x:f>
        <x:v>0</x:v>
      </x:c>
      <x:c r="L85" s="23" t="n">
        <x:f>MAX(0,MIN(1,(F85-'总览与权重'!$B$19)/('总览与权重'!$C$19-'总览与权重'!$B$19)))</x:f>
        <x:v>0</x:v>
      </x:c>
      <x:c r="M85" s="23" t="n">
        <x:f>MAX(0,MIN(1,(G85-'总览与权重'!$B$20)/('总览与权重'!$C$20-'总览与权重'!$B$20)))</x:f>
        <x:v>0</x:v>
      </x:c>
      <x:c r="N85" s="23" t="n">
        <x:f>J85</x:f>
        <x:v>0.6666666666666666</x:v>
      </x:c>
      <x:c r="O85" s="22" t="str">
        <x:v>否</x:v>
      </x:c>
      <x:c r="P85" s="22" t="str">
        <x:v>NA</x:v>
      </x:c>
      <x:c r="Q85" s="22" t="str">
        <x:v>NA</x:v>
      </x:c>
      <x:c r="R85" s="22" t="str">
        <x:v>NA</x:v>
      </x:c>
      <x:c r="S85" s="23" t="str">
        <x:f>IF(O85="是",MAX(0,MIN(1,(P85-'总览与权重'!$B$21)/('总览与权重'!$C$21-'总览与权重'!$B$21))),"NA")</x:f>
        <x:v>NA</x:v>
      </x:c>
      <x:c r="T85" s="23" t="str">
        <x:f>IF(O85="是",MAX(0,MIN(1,(Q85-'总览与权重'!$B$22)/('总览与权重'!$C$22-'总览与权重'!$B$22))),"NA")</x:f>
        <x:v>NA</x:v>
      </x:c>
      <x:c r="U85" s="23" t="str">
        <x:f>IF(O85="是",MAX(0,MIN(1,(R85-'总览与权重'!$B$23)/('总览与权重'!$C$23-'总览与权重'!$B$23))),"NA")</x:f>
        <x:v>NA</x:v>
      </x:c>
      <x:c r="V85" s="23" t="str">
        <x:f>IF(O85="是",J85,"NA")</x:f>
        <x:v>NA</x:v>
      </x:c>
      <x:c r="W85" s="22" t="str">
        <x:v>无完整领域最早before配对</x:v>
      </x:c>
      <x:c r="X85" s="22" t="n">
        <x:v>1</x:v>
      </x:c>
      <x:c r="Y85" s="22" t="n">
        <x:v>0</x:v>
      </x:c>
      <x:c r="Z85" s="22" t="n">
        <x:v>0</x:v>
      </x:c>
      <x:c r="AA85" s="22" t="n">
        <x:v>0</x:v>
      </x:c>
      <x:c r="AB85" s="22" t="str">
        <x:v>知识点理解与概念探究；正向评价（不计能力分）</x:v>
      </x:c>
      <x:c r="AC85" s="22" t="str">
        <x:v>NA</x:v>
      </x:c>
      <x:c r="AD85" s="22" t="str">
        <x:v>NA</x:v>
      </x:c>
      <x:c r="AE85" s="22" t="str">
        <x:v>["S0744"]</x:v>
      </x:c>
      <x:c r="AF85" s="22" t="str">
        <x:v>["2025秋:2025秋-数学模型-问答记录导出20260502导出_已标注_已更新.xlsx:问答记录:773"]</x:v>
      </x:c>
      <x:c r="AG85" s="22" t="str">
        <x:v>evidence/student_evidence.jsonl；student_key=2025秋:259325</x:v>
      </x:c>
      <x:c r="AH85" s="27" t="str">
        <x:v>同一锚点起止1条：未形成独立重复测量。</x:v>
      </x:c>
    </x:row>
    <x:row r="86" ht="23" customHeight="1">
      <x:c r="A86" s="21" t="str">
        <x:v>2025秋:259326</x:v>
      </x:c>
      <x:c r="B86" s="22" t="str">
        <x:v>s3</x:v>
      </x:c>
      <x:c r="C86" s="24" t="n">
        <x:v>1</x:v>
      </x:c>
      <x:c r="D86" s="24" t="n">
        <x:v>1</x:v>
      </x:c>
      <x:c r="E86" s="22" t="n">
        <x:v>0.3582214187327823</x:v>
      </x:c>
      <x:c r="F86" s="22" t="n">
        <x:v>0.3582214187327823</x:v>
      </x:c>
      <x:c r="G86" s="22" t="n">
        <x:v>0.3582214187327823</x:v>
      </x:c>
      <x:c r="H86" s="24" t="n">
        <x:v>1</x:v>
      </x:c>
      <x:c r="I86" s="24" t="n">
        <x:v>1</x:v>
      </x:c>
      <x:c r="J86" s="23" t="n">
        <x:f>IF(I86&gt;0,H86/I86,"NA")</x:f>
        <x:v>1</x:v>
      </x:c>
      <x:c r="K86" s="23" t="n">
        <x:f>MAX(0,MIN(1,(E86-'总览与权重'!$B$18)/('总览与权重'!$C$18-'总览与权重'!$B$18)))</x:f>
        <x:v>0.029851784894398523</x:v>
      </x:c>
      <x:c r="L86" s="23" t="n">
        <x:f>MAX(0,MIN(1,(F86-'总览与权重'!$B$19)/('总览与权重'!$C$19-'总览与权重'!$B$19)))</x:f>
        <x:v>0.3582214187327823</x:v>
      </x:c>
      <x:c r="M86" s="23" t="n">
        <x:f>MAX(0,MIN(1,(G86-'总览与权重'!$B$20)/('总览与权重'!$C$20-'总览与权重'!$B$20)))</x:f>
        <x:v>0.3582214187327823</x:v>
      </x:c>
      <x:c r="N86" s="23" t="n">
        <x:f>J86</x:f>
        <x:v>1</x:v>
      </x:c>
      <x:c r="O86" s="22" t="str">
        <x:v>是</x:v>
      </x:c>
      <x:c r="P86" s="22" t="n">
        <x:v>0.22138913308043204</x:v>
      </x:c>
      <x:c r="Q86" s="22" t="n">
        <x:v>0.22138913308043204</x:v>
      </x:c>
      <x:c r="R86" s="22" t="n">
        <x:v>0.22138913308043204</x:v>
      </x:c>
      <x:c r="S86" s="23" t="n">
        <x:f>IF(O86="是",MAX(0,MIN(1,(P86-'总览与权重'!$B$21)/('总览与权重'!$C$21-'总览与权重'!$B$21))),"NA")</x:f>
        <x:v>0.5092245472116846</x:v>
      </x:c>
      <x:c r="T86" s="23" t="n">
        <x:f>IF(O86="是",MAX(0,MIN(1,(Q86-'总览与权重'!$B$22)/('总览与权重'!$C$22-'总览与权重'!$B$22))),"NA")</x:f>
        <x:v>0.610694566540216</x:v>
      </x:c>
      <x:c r="U86" s="23" t="n">
        <x:f>IF(O86="是",MAX(0,MIN(1,(R86-'总览与权重'!$B$23)/('总览与权重'!$C$23-'总览与权重'!$B$23))),"NA")</x:f>
        <x:v>0.610694566540216</x:v>
      </x:c>
      <x:c r="V86" s="23" t="n">
        <x:f>IF(O86="是",J86,"NA")</x:f>
        <x:v>1</x:v>
      </x:c>
      <x:c r="W86" s="22" t="str">
        <x:v>完整</x:v>
      </x:c>
      <x:c r="X86" s="22" t="n">
        <x:v>1</x:v>
      </x:c>
      <x:c r="Y86" s="22" t="n">
        <x:v>0</x:v>
      </x:c>
      <x:c r="Z86" s="22" t="n">
        <x:v>-0.25</x:v>
      </x:c>
      <x:c r="AA86" s="22" t="n">
        <x:v>-0.119047619048</x:v>
      </x:c>
      <x:c r="AB86" s="22" t="str">
        <x:v>知识点理解与概念探究；正负并存或有条件评价（不计能力分）</x:v>
      </x:c>
      <x:c r="AC86" s="22" t="str">
        <x:v>NA</x:v>
      </x:c>
      <x:c r="AD86" s="22" t="str">
        <x:v>NA</x:v>
      </x:c>
      <x:c r="AE86" s="22" t="str">
        <x:v>["S0496"]</x:v>
      </x:c>
      <x:c r="AF86" s="22" t="str">
        <x:v>["2025秋:2025秋-数学模型-问答记录导出20260502导出_已标注_已更新.xlsx:问答记录:508"]</x:v>
      </x:c>
      <x:c r="AG86" s="22" t="str">
        <x:v>evidence/student_evidence.jsonl；student_key=2025秋:259326</x:v>
      </x:c>
      <x:c r="AH86" s="27" t="str"/>
    </x:row>
    <x:row r="87" ht="48" customHeight="1">
      <x:c r="A87" s="21" t="str">
        <x:v>2025秋:259329</x:v>
      </x:c>
      <x:c r="B87" s="22" t="str">
        <x:v>s6</x:v>
      </x:c>
      <x:c r="C87" s="24" t="n">
        <x:v>1</x:v>
      </x:c>
      <x:c r="D87" s="24" t="n">
        <x:v>1</x:v>
      </x:c>
      <x:c r="E87" s="22" t="n">
        <x:v>0.8</x:v>
      </x:c>
      <x:c r="F87" s="22" t="n">
        <x:v>0.8</x:v>
      </x:c>
      <x:c r="G87" s="22" t="n">
        <x:v>0.8</x:v>
      </x:c>
      <x:c r="H87" s="24" t="n">
        <x:v>2</x:v>
      </x:c>
      <x:c r="I87" s="24" t="n">
        <x:v>2</x:v>
      </x:c>
      <x:c r="J87" s="23" t="n">
        <x:f>IF(I87&gt;0,H87/I87,"NA")</x:f>
        <x:v>1</x:v>
      </x:c>
      <x:c r="K87" s="23" t="n">
        <x:f>MAX(0,MIN(1,(E87-'总览与权重'!$B$18)/('总览与权重'!$C$18-'总览与权重'!$B$18)))</x:f>
        <x:v>0.06666666666666667</x:v>
      </x:c>
      <x:c r="L87" s="23" t="n">
        <x:f>MAX(0,MIN(1,(F87-'总览与权重'!$B$19)/('总览与权重'!$C$19-'总览与权重'!$B$19)))</x:f>
        <x:v>0.8</x:v>
      </x:c>
      <x:c r="M87" s="23" t="n">
        <x:f>MAX(0,MIN(1,(G87-'总览与权重'!$B$20)/('总览与权重'!$C$20-'总览与权重'!$B$20)))</x:f>
        <x:v>0.8</x:v>
      </x:c>
      <x:c r="N87" s="23" t="n">
        <x:f>J87</x:f>
        <x:v>1</x:v>
      </x:c>
      <x:c r="O87" s="22" t="str">
        <x:v>是</x:v>
      </x:c>
      <x:c r="P87" s="22" t="n">
        <x:v>0.6422857142857143</x:v>
      </x:c>
      <x:c r="Q87" s="22" t="n">
        <x:v>0.6422857142857143</x:v>
      </x:c>
      <x:c r="R87" s="22" t="n">
        <x:v>0.6422857142857143</x:v>
      </x:c>
      <x:c r="S87" s="23" t="n">
        <x:f>IF(O87="是",MAX(0,MIN(1,(P87-'总览与权重'!$B$21)/('总览与权重'!$C$21-'总览与权重'!$B$21))),"NA")</x:f>
        <x:v>0.5267619047619048</x:v>
      </x:c>
      <x:c r="T87" s="23" t="n">
        <x:f>IF(O87="是",MAX(0,MIN(1,(Q87-'总览与权重'!$B$22)/('总览与权重'!$C$22-'总览与权重'!$B$22))),"NA")</x:f>
        <x:v>0.8211428571428572</x:v>
      </x:c>
      <x:c r="U87" s="23" t="n">
        <x:f>IF(O87="是",MAX(0,MIN(1,(R87-'总览与权重'!$B$23)/('总览与权重'!$C$23-'总览与权重'!$B$23))),"NA")</x:f>
        <x:v>0.8211428571428572</x:v>
      </x:c>
      <x:c r="V87" s="23" t="n">
        <x:f>IF(O87="是",J87,"NA")</x:f>
        <x:v>1</x:v>
      </x:c>
      <x:c r="W87" s="22" t="str">
        <x:v>完整</x:v>
      </x:c>
      <x:c r="X87" s="22" t="n">
        <x:v>2</x:v>
      </x:c>
      <x:c r="Y87" s="22" t="n">
        <x:v>0.6321205588285577</x:v>
      </x:c>
      <x:c r="Z87" s="22" t="n">
        <x:v>-0.12</x:v>
      </x:c>
      <x:c r="AA87" s="22" t="n">
        <x:v>0.207547169811</x:v>
      </x:c>
      <x:c r="AB87" s="22" t="str">
        <x:v>知识点理解与概念探究；正向评价（不计能力分）</x:v>
      </x:c>
      <x:c r="AC87" s="22" t="str">
        <x:v>NA</x:v>
      </x:c>
      <x:c r="AD87" s="22" t="str">
        <x:v>NA</x:v>
      </x:c>
      <x:c r="AE87" s="22" t="str">
        <x:v>["S0112"]</x:v>
      </x:c>
      <x:c r="AF87" s="22" t="str">
        <x:v>["2025秋:2025秋-数学模型-问答记录导出20260502导出_已标注_已更新.xlsx:问答记录:115"]</x:v>
      </x:c>
      <x:c r="AG87" s="22" t="str">
        <x:v>evidence/student_evidence.jsonl；student_key=2025秋:259329</x:v>
      </x:c>
      <x:c r="AH87" s="27" t="str">
        <x:v>S0112库存案例为文字框架，未见完整方程、求解及验证；L6构造要求需复核。</x:v>
      </x:c>
    </x:row>
    <x:row r="88" ht="23" customHeight="1">
      <x:c r="A88" s="21" t="str">
        <x:v>2025秋:259333</x:v>
      </x:c>
      <x:c r="B88" s="22" t="str">
        <x:v>s3</x:v>
      </x:c>
      <x:c r="C88" s="24" t="n">
        <x:v>1</x:v>
      </x:c>
      <x:c r="D88" s="24" t="n">
        <x:v>1</x:v>
      </x:c>
      <x:c r="E88" s="22" t="n">
        <x:v>0.31986204222885284</x:v>
      </x:c>
      <x:c r="F88" s="22" t="n">
        <x:v>0.31986204222885284</x:v>
      </x:c>
      <x:c r="G88" s="22" t="n">
        <x:v>0.31986204222885284</x:v>
      </x:c>
      <x:c r="H88" s="24" t="n">
        <x:v>2</x:v>
      </x:c>
      <x:c r="I88" s="24" t="n">
        <x:v>2</x:v>
      </x:c>
      <x:c r="J88" s="23" t="n">
        <x:f>IF(I88&gt;0,H88/I88,"NA")</x:f>
        <x:v>1</x:v>
      </x:c>
      <x:c r="K88" s="23" t="n">
        <x:f>MAX(0,MIN(1,(E88-'总览与权重'!$B$18)/('总览与权重'!$C$18-'总览与权重'!$B$18)))</x:f>
        <x:v>0.026655170185737737</x:v>
      </x:c>
      <x:c r="L88" s="23" t="n">
        <x:f>MAX(0,MIN(1,(F88-'总览与权重'!$B$19)/('总览与权重'!$C$19-'总览与权重'!$B$19)))</x:f>
        <x:v>0.31986204222885284</x:v>
      </x:c>
      <x:c r="M88" s="23" t="n">
        <x:f>MAX(0,MIN(1,(G88-'总览与权重'!$B$20)/('总览与权重'!$C$20-'总览与权重'!$B$20)))</x:f>
        <x:v>0.31986204222885284</x:v>
      </x:c>
      <x:c r="N88" s="23" t="n">
        <x:f>J88</x:f>
        <x:v>1</x:v>
      </x:c>
      <x:c r="O88" s="22" t="str">
        <x:v>否</x:v>
      </x:c>
      <x:c r="P88" s="22" t="str">
        <x:v>NA</x:v>
      </x:c>
      <x:c r="Q88" s="22" t="str">
        <x:v>NA</x:v>
      </x:c>
      <x:c r="R88" s="22" t="str">
        <x:v>NA</x:v>
      </x:c>
      <x:c r="S88" s="23" t="str">
        <x:f>IF(O88="是",MAX(0,MIN(1,(P88-'总览与权重'!$B$21)/('总览与权重'!$C$21-'总览与权重'!$B$21))),"NA")</x:f>
        <x:v>NA</x:v>
      </x:c>
      <x:c r="T88" s="23" t="str">
        <x:f>IF(O88="是",MAX(0,MIN(1,(Q88-'总览与权重'!$B$22)/('总览与权重'!$C$22-'总览与权重'!$B$22))),"NA")</x:f>
        <x:v>NA</x:v>
      </x:c>
      <x:c r="U88" s="23" t="str">
        <x:f>IF(O88="是",MAX(0,MIN(1,(R88-'总览与权重'!$B$23)/('总览与权重'!$C$23-'总览与权重'!$B$23))),"NA")</x:f>
        <x:v>NA</x:v>
      </x:c>
      <x:c r="V88" s="23" t="str">
        <x:f>IF(O88="是",J88,"NA")</x:f>
        <x:v>NA</x:v>
      </x:c>
      <x:c r="W88" s="22" t="str">
        <x:v>无完整领域最早before配对</x:v>
      </x:c>
      <x:c r="X88" s="22" t="n">
        <x:v>1</x:v>
      </x:c>
      <x:c r="Y88" s="22" t="n">
        <x:v>0</x:v>
      </x:c>
      <x:c r="Z88" s="22" t="n">
        <x:v>-0.25</x:v>
      </x:c>
      <x:c r="AA88" s="22" t="n">
        <x:v>-0.119047619048</x:v>
      </x:c>
      <x:c r="AB88" s="22" t="str">
        <x:v>知识点理解与概念探究；正向评价（不计能力分）</x:v>
      </x:c>
      <x:c r="AC88" s="22" t="str">
        <x:v>NA</x:v>
      </x:c>
      <x:c r="AD88" s="22" t="str">
        <x:v>NA</x:v>
      </x:c>
      <x:c r="AE88" s="22" t="str">
        <x:v>["S0360"]</x:v>
      </x:c>
      <x:c r="AF88" s="22" t="str">
        <x:v>["2025秋:2025秋-数学模型-问答记录导出20260502导出_已标注_已更新.xlsx:问答记录:370"]</x:v>
      </x:c>
      <x:c r="AG88" s="22" t="str">
        <x:v>evidence/student_evidence.jsonl；student_key=2025秋:259333</x:v>
      </x:c>
      <x:c r="AH88" s="27" t="str"/>
    </x:row>
    <x:row r="89" ht="23" customHeight="1">
      <x:c r="A89" s="21" t="str">
        <x:v>2025秋:259334</x:v>
      </x:c>
      <x:c r="B89" s="22" t="str">
        <x:v>s3</x:v>
      </x:c>
      <x:c r="C89" s="24" t="n">
        <x:v>1</x:v>
      </x:c>
      <x:c r="D89" s="24" t="n">
        <x:v>1</x:v>
      </x:c>
      <x:c r="E89" s="22" t="n">
        <x:v>0.3523822742847367</x:v>
      </x:c>
      <x:c r="F89" s="22" t="n">
        <x:v>0.3523822742847367</x:v>
      </x:c>
      <x:c r="G89" s="22" t="n">
        <x:v>0.3523822742847367</x:v>
      </x:c>
      <x:c r="H89" s="24" t="n">
        <x:v>1</x:v>
      </x:c>
      <x:c r="I89" s="24" t="n">
        <x:v>1</x:v>
      </x:c>
      <x:c r="J89" s="23" t="n">
        <x:f>IF(I89&gt;0,H89/I89,"NA")</x:f>
        <x:v>1</x:v>
      </x:c>
      <x:c r="K89" s="23" t="n">
        <x:f>MAX(0,MIN(1,(E89-'总览与权重'!$B$18)/('总览与权重'!$C$18-'总览与权重'!$B$18)))</x:f>
        <x:v>0.029365189523728057</x:v>
      </x:c>
      <x:c r="L89" s="23" t="n">
        <x:f>MAX(0,MIN(1,(F89-'总览与权重'!$B$19)/('总览与权重'!$C$19-'总览与权重'!$B$19)))</x:f>
        <x:v>0.3523822742847367</x:v>
      </x:c>
      <x:c r="M89" s="23" t="n">
        <x:f>MAX(0,MIN(1,(G89-'总览与权重'!$B$20)/('总览与权重'!$C$20-'总览与权重'!$B$20)))</x:f>
        <x:v>0.3523822742847367</x:v>
      </x:c>
      <x:c r="N89" s="23" t="n">
        <x:f>J89</x:f>
        <x:v>1</x:v>
      </x:c>
      <x:c r="O89" s="22" t="str">
        <x:v>是</x:v>
      </x:c>
      <x:c r="P89" s="22" t="n">
        <x:v>0.21557834752864694</x:v>
      </x:c>
      <x:c r="Q89" s="22" t="n">
        <x:v>0.21557834752864694</x:v>
      </x:c>
      <x:c r="R89" s="22" t="n">
        <x:v>0.21557834752864694</x:v>
      </x:c>
      <x:c r="S89" s="23" t="n">
        <x:f>IF(O89="是",MAX(0,MIN(1,(P89-'总览与权重'!$B$21)/('总览与权重'!$C$21-'总览与权重'!$B$21))),"NA")</x:f>
        <x:v>0.5089824311470269</x:v>
      </x:c>
      <x:c r="T89" s="23" t="n">
        <x:f>IF(O89="是",MAX(0,MIN(1,(Q89-'总览与权重'!$B$22)/('总览与权重'!$C$22-'总览与权重'!$B$22))),"NA")</x:f>
        <x:v>0.6077891737643235</x:v>
      </x:c>
      <x:c r="U89" s="23" t="n">
        <x:f>IF(O89="是",MAX(0,MIN(1,(R89-'总览与权重'!$B$23)/('总览与权重'!$C$23-'总览与权重'!$B$23))),"NA")</x:f>
        <x:v>0.6077891737643235</x:v>
      </x:c>
      <x:c r="V89" s="23" t="n">
        <x:f>IF(O89="是",J89,"NA")</x:f>
        <x:v>1</x:v>
      </x:c>
      <x:c r="W89" s="22" t="str">
        <x:v>完整</x:v>
      </x:c>
      <x:c r="X89" s="22" t="n">
        <x:v>2</x:v>
      </x:c>
      <x:c r="Y89" s="22" t="n">
        <x:v>0.6321205588285577</x:v>
      </x:c>
      <x:c r="Z89" s="22" t="n">
        <x:v>-0.25</x:v>
      </x:c>
      <x:c r="AA89" s="22" t="n">
        <x:v>-0.119047619048</x:v>
      </x:c>
      <x:c r="AB89" s="22" t="str">
        <x:v>知识点理解与概念探究；正向评价（不计能力分）</x:v>
      </x:c>
      <x:c r="AC89" s="22" t="str">
        <x:v>NA</x:v>
      </x:c>
      <x:c r="AD89" s="22" t="str">
        <x:v>NA</x:v>
      </x:c>
      <x:c r="AE89" s="22" t="str">
        <x:v>["S0399"]</x:v>
      </x:c>
      <x:c r="AF89" s="22" t="str">
        <x:v>["2025秋:2025秋-数学模型-问答记录导出20260502导出_已标注_已更新.xlsx:问答记录:410"]</x:v>
      </x:c>
      <x:c r="AG89" s="22" t="str">
        <x:v>evidence/student_evidence.jsonl；student_key=2025秋:259334</x:v>
      </x:c>
      <x:c r="AH89" s="27" t="str"/>
    </x:row>
    <x:row r="90" ht="23" customHeight="1">
      <x:c r="A90" s="21" t="str">
        <x:v>2025秋:259335</x:v>
      </x:c>
      <x:c r="B90" s="22" t="str">
        <x:v>s3</x:v>
      </x:c>
      <x:c r="C90" s="24" t="n">
        <x:v>1</x:v>
      </x:c>
      <x:c r="D90" s="24" t="n">
        <x:v>1</x:v>
      </x:c>
      <x:c r="E90" s="22" t="n">
        <x:v>0.5126783968719453</x:v>
      </x:c>
      <x:c r="F90" s="22" t="n">
        <x:v>0.5126783968719453</x:v>
      </x:c>
      <x:c r="G90" s="22" t="n">
        <x:v>0.5126783968719453</x:v>
      </x:c>
      <x:c r="H90" s="24" t="n">
        <x:v>1</x:v>
      </x:c>
      <x:c r="I90" s="24" t="n">
        <x:v>2</x:v>
      </x:c>
      <x:c r="J90" s="23" t="n">
        <x:f>IF(I90&gt;0,H90/I90,"NA")</x:f>
        <x:v>0.5</x:v>
      </x:c>
      <x:c r="K90" s="23" t="n">
        <x:f>MAX(0,MIN(1,(E90-'总览与权重'!$B$18)/('总览与权重'!$C$18-'总览与权重'!$B$18)))</x:f>
        <x:v>0.042723199739328775</x:v>
      </x:c>
      <x:c r="L90" s="23" t="n">
        <x:f>MAX(0,MIN(1,(F90-'总览与权重'!$B$19)/('总览与权重'!$C$19-'总览与权重'!$B$19)))</x:f>
        <x:v>0.5126783968719453</x:v>
      </x:c>
      <x:c r="M90" s="23" t="n">
        <x:f>MAX(0,MIN(1,(G90-'总览与权重'!$B$20)/('总览与权重'!$C$20-'总览与权重'!$B$20)))</x:f>
        <x:v>0.5126783968719453</x:v>
      </x:c>
      <x:c r="N90" s="23" t="n">
        <x:f>J90</x:f>
        <x:v>0.5</x:v>
      </x:c>
      <x:c r="O90" s="22" t="str">
        <x:v>是</x:v>
      </x:c>
      <x:c r="P90" s="22" t="n">
        <x:v>0.3758744701158555</x:v>
      </x:c>
      <x:c r="Q90" s="22" t="n">
        <x:v>0.3758744701158555</x:v>
      </x:c>
      <x:c r="R90" s="22" t="n">
        <x:v>0.3758744701158555</x:v>
      </x:c>
      <x:c r="S90" s="23" t="n">
        <x:f>IF(O90="是",MAX(0,MIN(1,(P90-'总览与权重'!$B$21)/('总览与权重'!$C$21-'总览与权重'!$B$21))),"NA")</x:f>
        <x:v>0.5156614362548273</x:v>
      </x:c>
      <x:c r="T90" s="23" t="n">
        <x:f>IF(O90="是",MAX(0,MIN(1,(Q90-'总览与权重'!$B$22)/('总览与权重'!$C$22-'总览与权重'!$B$22))),"NA")</x:f>
        <x:v>0.6879372350579278</x:v>
      </x:c>
      <x:c r="U90" s="23" t="n">
        <x:f>IF(O90="是",MAX(0,MIN(1,(R90-'总览与权重'!$B$23)/('总览与权重'!$C$23-'总览与权重'!$B$23))),"NA")</x:f>
        <x:v>0.6879372350579278</x:v>
      </x:c>
      <x:c r="V90" s="23" t="n">
        <x:f>IF(O90="是",J90,"NA")</x:f>
        <x:v>0.5</x:v>
      </x:c>
      <x:c r="W90" s="22" t="str">
        <x:v>完整</x:v>
      </x:c>
      <x:c r="X90" s="22" t="n">
        <x:v>2</x:v>
      </x:c>
      <x:c r="Y90" s="22" t="n">
        <x:v>0.6321205588285577</x:v>
      </x:c>
      <x:c r="Z90" s="22" t="n">
        <x:v>0.05</x:v>
      </x:c>
      <x:c r="AA90" s="22" t="n">
        <x:v>0.547619047619</x:v>
      </x:c>
      <x:c r="AB90" s="22" t="str">
        <x:v>知识点理解与概念探究；正向评价（不计能力分）</x:v>
      </x:c>
      <x:c r="AC90" s="22" t="str">
        <x:v>NA</x:v>
      </x:c>
      <x:c r="AD90" s="22" t="str">
        <x:v>NA</x:v>
      </x:c>
      <x:c r="AE90" s="22" t="str">
        <x:v>["S0299"]</x:v>
      </x:c>
      <x:c r="AF90" s="22" t="str">
        <x:v>["2025秋:2025秋-数学模型-问答记录导出20260502导出_已标注_已更新.xlsx:问答记录:307"]</x:v>
      </x:c>
      <x:c r="AG90" s="22" t="str">
        <x:v>evidence/student_evidence.jsonl；student_key=2025秋:259335</x:v>
      </x:c>
      <x:c r="AH90" s="27" t="str"/>
    </x:row>
    <x:row r="91" ht="23" customHeight="1">
      <x:c r="A91" s="21" t="str">
        <x:v>2025秋:259336</x:v>
      </x:c>
      <x:c r="B91" s="22" t="str">
        <x:v>s3</x:v>
      </x:c>
      <x:c r="C91" s="24" t="n">
        <x:v>1</x:v>
      </x:c>
      <x:c r="D91" s="24" t="n">
        <x:v>1</x:v>
      </x:c>
      <x:c r="E91" s="22" t="n">
        <x:v>0.3818843761667175</x:v>
      </x:c>
      <x:c r="F91" s="22" t="n">
        <x:v>0.3818843761667175</x:v>
      </x:c>
      <x:c r="G91" s="22" t="n">
        <x:v>0.3818843761667175</x:v>
      </x:c>
      <x:c r="H91" s="24" t="n">
        <x:v>1</x:v>
      </x:c>
      <x:c r="I91" s="24" t="n">
        <x:v>3</x:v>
      </x:c>
      <x:c r="J91" s="23" t="n">
        <x:f>IF(I91&gt;0,H91/I91,"NA")</x:f>
        <x:v>0.3333333333333333</x:v>
      </x:c>
      <x:c r="K91" s="23" t="n">
        <x:f>MAX(0,MIN(1,(E91-'总览与权重'!$B$18)/('总览与权重'!$C$18-'总览与权重'!$B$18)))</x:f>
        <x:v>0.03182369801389313</x:v>
      </x:c>
      <x:c r="L91" s="23" t="n">
        <x:f>MAX(0,MIN(1,(F91-'总览与权重'!$B$19)/('总览与权重'!$C$19-'总览与权重'!$B$19)))</x:f>
        <x:v>0.3818843761667175</x:v>
      </x:c>
      <x:c r="M91" s="23" t="n">
        <x:f>MAX(0,MIN(1,(G91-'总览与权重'!$B$20)/('总览与权重'!$C$20-'总览与权重'!$B$20)))</x:f>
        <x:v>0.3818843761667175</x:v>
      </x:c>
      <x:c r="N91" s="23" t="n">
        <x:f>J91</x:f>
        <x:v>0.3333333333333333</x:v>
      </x:c>
      <x:c r="O91" s="22" t="str">
        <x:v>是</x:v>
      </x:c>
      <x:c r="P91" s="22" t="n">
        <x:v>0.24505209051436724</x:v>
      </x:c>
      <x:c r="Q91" s="22" t="n">
        <x:v>0.24505209051436724</x:v>
      </x:c>
      <x:c r="R91" s="22" t="n">
        <x:v>0.24505209051436724</x:v>
      </x:c>
      <x:c r="S91" s="23" t="n">
        <x:f>IF(O91="是",MAX(0,MIN(1,(P91-'总览与权重'!$B$21)/('总览与权重'!$C$21-'总览与权重'!$B$21))),"NA")</x:f>
        <x:v>0.510210503771432</x:v>
      </x:c>
      <x:c r="T91" s="23" t="n">
        <x:f>IF(O91="是",MAX(0,MIN(1,(Q91-'总览与权重'!$B$22)/('总览与权重'!$C$22-'总览与权重'!$B$22))),"NA")</x:f>
        <x:v>0.6225260452571836</x:v>
      </x:c>
      <x:c r="U91" s="23" t="n">
        <x:f>IF(O91="是",MAX(0,MIN(1,(R91-'总览与权重'!$B$23)/('总览与权重'!$C$23-'总览与权重'!$B$23))),"NA")</x:f>
        <x:v>0.6225260452571836</x:v>
      </x:c>
      <x:c r="V91" s="23" t="n">
        <x:f>IF(O91="是",J91,"NA")</x:f>
        <x:v>0.3333333333333333</x:v>
      </x:c>
      <x:c r="W91" s="22" t="str">
        <x:v>完整</x:v>
      </x:c>
      <x:c r="X91" s="22" t="n">
        <x:v>2</x:v>
      </x:c>
      <x:c r="Y91" s="22" t="n">
        <x:v>0.6321205588285577</x:v>
      </x:c>
      <x:c r="Z91" s="22" t="n">
        <x:v>-0.25</x:v>
      </x:c>
      <x:c r="AA91" s="22" t="n">
        <x:v>-0.119047619048</x:v>
      </x:c>
      <x:c r="AB91" s="22" t="str">
        <x:v>知识点理解与概念探究；正向评价（不计能力分）</x:v>
      </x:c>
      <x:c r="AC91" s="22" t="str">
        <x:v>NA</x:v>
      </x:c>
      <x:c r="AD91" s="22" t="str">
        <x:v>NA</x:v>
      </x:c>
      <x:c r="AE91" s="22" t="str">
        <x:v>["S0286"]</x:v>
      </x:c>
      <x:c r="AF91" s="22" t="str">
        <x:v>["2025秋:2025秋-数学模型-问答记录导出20260502导出_已标注_已更新.xlsx:问答记录:294"]</x:v>
      </x:c>
      <x:c r="AG91" s="22" t="str">
        <x:v>evidence/student_evidence.jsonl；student_key=2025秋:259336</x:v>
      </x:c>
      <x:c r="AH91" s="27" t="str"/>
    </x:row>
    <x:row r="92" ht="23" customHeight="1">
      <x:c r="A92" s="21" t="str">
        <x:v>2025秋:259339</x:v>
      </x:c>
      <x:c r="B92" s="22" t="str">
        <x:v>s3</x:v>
      </x:c>
      <x:c r="C92" s="24" t="n">
        <x:v>1</x:v>
      </x:c>
      <x:c r="D92" s="24" t="n">
        <x:v>1</x:v>
      </x:c>
      <x:c r="E92" s="22" t="n">
        <x:v>0.28612964660060725</x:v>
      </x:c>
      <x:c r="F92" s="22" t="n">
        <x:v>0.28612964660060725</x:v>
      </x:c>
      <x:c r="G92" s="22" t="n">
        <x:v>0.28612964660060725</x:v>
      </x:c>
      <x:c r="H92" s="24" t="n">
        <x:v>1</x:v>
      </x:c>
      <x:c r="I92" s="24" t="n">
        <x:v>3</x:v>
      </x:c>
      <x:c r="J92" s="23" t="n">
        <x:f>IF(I92&gt;0,H92/I92,"NA")</x:f>
        <x:v>0.3333333333333333</x:v>
      </x:c>
      <x:c r="K92" s="23" t="n">
        <x:f>MAX(0,MIN(1,(E92-'总览与权重'!$B$18)/('总览与权重'!$C$18-'总览与权重'!$B$18)))</x:f>
        <x:v>0.02384413721671727</x:v>
      </x:c>
      <x:c r="L92" s="23" t="n">
        <x:f>MAX(0,MIN(1,(F92-'总览与权重'!$B$19)/('总览与权重'!$C$19-'总览与权重'!$B$19)))</x:f>
        <x:v>0.28612964660060725</x:v>
      </x:c>
      <x:c r="M92" s="23" t="n">
        <x:f>MAX(0,MIN(1,(G92-'总览与权重'!$B$20)/('总览与权重'!$C$20-'总览与权重'!$B$20)))</x:f>
        <x:v>0.28612964660060725</x:v>
      </x:c>
      <x:c r="N92" s="23" t="n">
        <x:f>J92</x:f>
        <x:v>0.3333333333333333</x:v>
      </x:c>
      <x:c r="O92" s="22" t="str">
        <x:v>否</x:v>
      </x:c>
      <x:c r="P92" s="22" t="str">
        <x:v>NA</x:v>
      </x:c>
      <x:c r="Q92" s="22" t="str">
        <x:v>NA</x:v>
      </x:c>
      <x:c r="R92" s="22" t="str">
        <x:v>NA</x:v>
      </x:c>
      <x:c r="S92" s="23" t="str">
        <x:f>IF(O92="是",MAX(0,MIN(1,(P92-'总览与权重'!$B$21)/('总览与权重'!$C$21-'总览与权重'!$B$21))),"NA")</x:f>
        <x:v>NA</x:v>
      </x:c>
      <x:c r="T92" s="23" t="str">
        <x:f>IF(O92="是",MAX(0,MIN(1,(Q92-'总览与权重'!$B$22)/('总览与权重'!$C$22-'总览与权重'!$B$22))),"NA")</x:f>
        <x:v>NA</x:v>
      </x:c>
      <x:c r="U92" s="23" t="str">
        <x:f>IF(O92="是",MAX(0,MIN(1,(R92-'总览与权重'!$B$23)/('总览与权重'!$C$23-'总览与权重'!$B$23))),"NA")</x:f>
        <x:v>NA</x:v>
      </x:c>
      <x:c r="V92" s="23" t="str">
        <x:f>IF(O92="是",J92,"NA")</x:f>
        <x:v>NA</x:v>
      </x:c>
      <x:c r="W92" s="22" t="str">
        <x:v>无完整领域最早before配对</x:v>
      </x:c>
      <x:c r="X92" s="22" t="n">
        <x:v>2</x:v>
      </x:c>
      <x:c r="Y92" s="22" t="n">
        <x:v>0.6321205588285577</x:v>
      </x:c>
      <x:c r="Z92" s="22" t="n">
        <x:v>-0.25</x:v>
      </x:c>
      <x:c r="AA92" s="22" t="n">
        <x:v>-0.119047619048</x:v>
      </x:c>
      <x:c r="AB92" s="22" t="str">
        <x:v>知识点理解与概念探究；无明确评价（不计能力分）</x:v>
      </x:c>
      <x:c r="AC92" s="22" t="str">
        <x:v>NA</x:v>
      </x:c>
      <x:c r="AD92" s="22" t="str">
        <x:v>NA</x:v>
      </x:c>
      <x:c r="AE92" s="22" t="str">
        <x:v>["S0119"]</x:v>
      </x:c>
      <x:c r="AF92" s="22" t="str">
        <x:v>["2025秋:2025秋-数学模型-问答记录导出20260502导出_已标注_已更新.xlsx:问答记录:122"]</x:v>
      </x:c>
      <x:c r="AG92" s="22" t="str">
        <x:v>evidence/student_evidence.jsonl；student_key=2025秋:259339</x:v>
      </x:c>
      <x:c r="AH92" s="27" t="str"/>
    </x:row>
    <x:row r="93" ht="23" customHeight="1">
      <x:c r="A93" s="21" t="str">
        <x:v>2025秋:259342</x:v>
      </x:c>
      <x:c r="B93" s="22" t="str">
        <x:v>s3</x:v>
      </x:c>
      <x:c r="C93" s="24" t="n">
        <x:v>1</x:v>
      </x:c>
      <x:c r="D93" s="24" t="n">
        <x:v>1</x:v>
      </x:c>
      <x:c r="E93" s="22" t="n">
        <x:v>0</x:v>
      </x:c>
      <x:c r="F93" s="22" t="n">
        <x:v>0</x:v>
      </x:c>
      <x:c r="G93" s="22" t="n">
        <x:v>0</x:v>
      </x:c>
      <x:c r="H93" s="24" t="n">
        <x:v>1</x:v>
      </x:c>
      <x:c r="I93" s="24" t="n">
        <x:v>1</x:v>
      </x:c>
      <x:c r="J93" s="23" t="n">
        <x:f>IF(I93&gt;0,H93/I93,"NA")</x:f>
        <x:v>1</x:v>
      </x:c>
      <x:c r="K93" s="23" t="n">
        <x:f>MAX(0,MIN(1,(E93-'总览与权重'!$B$18)/('总览与权重'!$C$18-'总览与权重'!$B$18)))</x:f>
        <x:v>0</x:v>
      </x:c>
      <x:c r="L93" s="23" t="n">
        <x:f>MAX(0,MIN(1,(F93-'总览与权重'!$B$19)/('总览与权重'!$C$19-'总览与权重'!$B$19)))</x:f>
        <x:v>0</x:v>
      </x:c>
      <x:c r="M93" s="23" t="n">
        <x:f>MAX(0,MIN(1,(G93-'总览与权重'!$B$20)/('总览与权重'!$C$20-'总览与权重'!$B$20)))</x:f>
        <x:v>0</x:v>
      </x:c>
      <x:c r="N93" s="23" t="n">
        <x:f>J93</x:f>
        <x:v>1</x:v>
      </x:c>
      <x:c r="O93" s="22" t="str">
        <x:v>是</x:v>
      </x:c>
      <x:c r="P93" s="22" t="n">
        <x:v>-0.07517810241281792</x:v>
      </x:c>
      <x:c r="Q93" s="22" t="n">
        <x:v>-0.0939726280160224</x:v>
      </x:c>
      <x:c r="R93" s="22" t="n">
        <x:v>-0.09397262801602238</x:v>
      </x:c>
      <x:c r="S93" s="23" t="n">
        <x:f>IF(O93="是",MAX(0,MIN(1,(P93-'总览与权重'!$B$21)/('总览与权重'!$C$21-'总览与权重'!$B$21))),"NA")</x:f>
        <x:v>0.4968675790661326</x:v>
      </x:c>
      <x:c r="T93" s="23" t="n">
        <x:f>IF(O93="是",MAX(0,MIN(1,(Q93-'总览与权重'!$B$22)/('总览与权重'!$C$22-'总览与权重'!$B$22))),"NA")</x:f>
        <x:v>0.4530136859919888</x:v>
      </x:c>
      <x:c r="U93" s="23" t="n">
        <x:f>IF(O93="是",MAX(0,MIN(1,(R93-'总览与权重'!$B$23)/('总览与权重'!$C$23-'总览与权重'!$B$23))),"NA")</x:f>
        <x:v>0.4530136859919888</x:v>
      </x:c>
      <x:c r="V93" s="23" t="n">
        <x:f>IF(O93="是",J93,"NA")</x:f>
        <x:v>1</x:v>
      </x:c>
      <x:c r="W93" s="22" t="str">
        <x:v>完整</x:v>
      </x:c>
      <x:c r="X93" s="22" t="n">
        <x:v>2</x:v>
      </x:c>
      <x:c r="Y93" s="22" t="n">
        <x:v>0.6321205588285577</x:v>
      </x:c>
      <x:c r="Z93" s="22" t="n">
        <x:v>0</x:v>
      </x:c>
      <x:c r="AA93" s="22" t="n">
        <x:v>0</x:v>
      </x:c>
      <x:c r="AB93" s="22" t="str">
        <x:v>未匹配场景/评价记录</x:v>
      </x:c>
      <x:c r="AC93" s="22" t="str">
        <x:v>NA</x:v>
      </x:c>
      <x:c r="AD93" s="22" t="str">
        <x:v>NA</x:v>
      </x:c>
      <x:c r="AE93" s="22" t="str">
        <x:v>["S0177"]</x:v>
      </x:c>
      <x:c r="AF93" s="22" t="str">
        <x:v>["2025秋:2025秋-数学模型-问答记录导出20260502导出_已标注_已更新.xlsx:问答记录:180"]</x:v>
      </x:c>
      <x:c r="AG93" s="22" t="str">
        <x:v>evidence/student_evidence.jsonl；student_key=2025秋:259342</x:v>
      </x:c>
      <x:c r="AH93" s="27" t="str"/>
    </x:row>
    <x:row r="94" ht="48" customHeight="1">
      <x:c r="A94" s="21" t="str">
        <x:v>2025秋:259346</x:v>
      </x:c>
      <x:c r="B94" s="22" t="str">
        <x:v>s3</x:v>
      </x:c>
      <x:c r="C94" s="24" t="n">
        <x:v>1</x:v>
      </x:c>
      <x:c r="D94" s="24" t="n">
        <x:v>1</x:v>
      </x:c>
      <x:c r="E94" s="22" t="n">
        <x:v>0</x:v>
      </x:c>
      <x:c r="F94" s="22" t="n">
        <x:v>0</x:v>
      </x:c>
      <x:c r="G94" s="22" t="n">
        <x:v>0</x:v>
      </x:c>
      <x:c r="H94" s="24" t="n">
        <x:v>1</x:v>
      </x:c>
      <x:c r="I94" s="24" t="n">
        <x:v>2</x:v>
      </x:c>
      <x:c r="J94" s="23" t="n">
        <x:f>IF(I94&gt;0,H94/I94,"NA")</x:f>
        <x:v>0.5</x:v>
      </x:c>
      <x:c r="K94" s="23" t="n">
        <x:f>MAX(0,MIN(1,(E94-'总览与权重'!$B$18)/('总览与权重'!$C$18-'总览与权重'!$B$18)))</x:f>
        <x:v>0</x:v>
      </x:c>
      <x:c r="L94" s="23" t="n">
        <x:f>MAX(0,MIN(1,(F94-'总览与权重'!$B$19)/('总览与权重'!$C$19-'总览与权重'!$B$19)))</x:f>
        <x:v>0</x:v>
      </x:c>
      <x:c r="M94" s="23" t="n">
        <x:f>MAX(0,MIN(1,(G94-'总览与权重'!$B$20)/('总览与权重'!$C$20-'总览与权重'!$B$20)))</x:f>
        <x:v>0</x:v>
      </x:c>
      <x:c r="N94" s="23" t="n">
        <x:f>J94</x:f>
        <x:v>0.5</x:v>
      </x:c>
      <x:c r="O94" s="22" t="str">
        <x:v>是</x:v>
      </x:c>
      <x:c r="P94" s="22" t="n">
        <x:v>-0.13683228565235026</x:v>
      </x:c>
      <x:c r="Q94" s="22" t="n">
        <x:v>-0.13683228565235026</x:v>
      </x:c>
      <x:c r="R94" s="22" t="n">
        <x:v>-0.13683228565235026</x:v>
      </x:c>
      <x:c r="S94" s="23" t="n">
        <x:f>IF(O94="是",MAX(0,MIN(1,(P94-'总览与权重'!$B$21)/('总览与权重'!$C$21-'总览与权重'!$B$21))),"NA")</x:f>
        <x:v>0.4942986547644854</x:v>
      </x:c>
      <x:c r="T94" s="23" t="n">
        <x:f>IF(O94="是",MAX(0,MIN(1,(Q94-'总览与权重'!$B$22)/('总览与权重'!$C$22-'总览与权重'!$B$22))),"NA")</x:f>
        <x:v>0.43158385717382486</x:v>
      </x:c>
      <x:c r="U94" s="23" t="n">
        <x:f>IF(O94="是",MAX(0,MIN(1,(R94-'总览与权重'!$B$23)/('总览与权重'!$C$23-'总览与权重'!$B$23))),"NA")</x:f>
        <x:v>0.43158385717382486</x:v>
      </x:c>
      <x:c r="V94" s="23" t="n">
        <x:f>IF(O94="是",J94,"NA")</x:f>
        <x:v>0.5</x:v>
      </x:c>
      <x:c r="W94" s="22" t="str">
        <x:v>完整</x:v>
      </x:c>
      <x:c r="X94" s="22" t="n">
        <x:v>1</x:v>
      </x:c>
      <x:c r="Y94" s="22" t="n">
        <x:v>0</x:v>
      </x:c>
      <x:c r="Z94" s="22" t="n">
        <x:v>0</x:v>
      </x:c>
      <x:c r="AA94" s="22" t="n">
        <x:v>0</x:v>
      </x:c>
      <x:c r="AB94" s="22" t="str">
        <x:v>知识点理解与概念探究；正向评价（不计能力分）</x:v>
      </x:c>
      <x:c r="AC94" s="22" t="str">
        <x:v>NA</x:v>
      </x:c>
      <x:c r="AD94" s="22" t="str">
        <x:v>NA</x:v>
      </x:c>
      <x:c r="AE94" s="22" t="str">
        <x:v>["S0672"]</x:v>
      </x:c>
      <x:c r="AF94" s="22" t="str">
        <x:v>["2025秋:2025秋-数学模型-问答记录导出20260502导出_已标注_已更新.xlsx:问答记录:698"]</x:v>
      </x:c>
      <x:c r="AG94" s="22" t="str">
        <x:v>evidence/student_evidence.jsonl；student_key=2025秋:259346</x:v>
      </x:c>
      <x:c r="AH94" s="27" t="str">
        <x:v>同一锚点起止1条：未形成独立重复测量。</x:v>
      </x:c>
    </x:row>
    <x:row r="95" ht="23" customHeight="1">
      <x:c r="A95" s="21" t="str">
        <x:v>2025秋:259400</x:v>
      </x:c>
      <x:c r="B95" s="22" t="str">
        <x:v>s3</x:v>
      </x:c>
      <x:c r="C95" s="24" t="n">
        <x:v>1</x:v>
      </x:c>
      <x:c r="D95" s="24" t="n">
        <x:v>1</x:v>
      </x:c>
      <x:c r="E95" s="22" t="n">
        <x:v>0.12463678436529121</x:v>
      </x:c>
      <x:c r="F95" s="22" t="n">
        <x:v>0.12463678436529121</x:v>
      </x:c>
      <x:c r="G95" s="22" t="n">
        <x:v>0.12463678436529121</x:v>
      </x:c>
      <x:c r="H95" s="24" t="n">
        <x:v>1</x:v>
      </x:c>
      <x:c r="I95" s="24" t="n">
        <x:v>1</x:v>
      </x:c>
      <x:c r="J95" s="23" t="n">
        <x:f>IF(I95&gt;0,H95/I95,"NA")</x:f>
        <x:v>1</x:v>
      </x:c>
      <x:c r="K95" s="23" t="n">
        <x:f>MAX(0,MIN(1,(E95-'总览与权重'!$B$18)/('总览与权重'!$C$18-'总览与权重'!$B$18)))</x:f>
        <x:v>0.0103863986971076</x:v>
      </x:c>
      <x:c r="L95" s="23" t="n">
        <x:f>MAX(0,MIN(1,(F95-'总览与权重'!$B$19)/('总览与权重'!$C$19-'总览与权重'!$B$19)))</x:f>
        <x:v>0.12463678436529121</x:v>
      </x:c>
      <x:c r="M95" s="23" t="n">
        <x:f>MAX(0,MIN(1,(G95-'总览与权重'!$B$20)/('总览与权重'!$C$20-'总览与权重'!$B$20)))</x:f>
        <x:v>0.12463678436529121</x:v>
      </x:c>
      <x:c r="N95" s="23" t="n">
        <x:f>J95</x:f>
        <x:v>1</x:v>
      </x:c>
      <x:c r="O95" s="22" t="str">
        <x:v>是</x:v>
      </x:c>
      <x:c r="P95" s="22" t="n">
        <x:v>0.04749570402703911</x:v>
      </x:c>
      <x:c r="Q95" s="22" t="n">
        <x:v>0.07915950671173184</x:v>
      </x:c>
      <x:c r="R95" s="22" t="n">
        <x:v>0.07915950671173183</x:v>
      </x:c>
      <x:c r="S95" s="23" t="n">
        <x:f>IF(O95="是",MAX(0,MIN(1,(P95-'总览与权重'!$B$21)/('总览与权重'!$C$21-'总览与权重'!$B$21))),"NA")</x:f>
        <x:v>0.5019789876677933</x:v>
      </x:c>
      <x:c r="T95" s="23" t="n">
        <x:f>IF(O95="是",MAX(0,MIN(1,(Q95-'总览与权重'!$B$22)/('总览与权重'!$C$22-'总览与权重'!$B$22))),"NA")</x:f>
        <x:v>0.5395797533558659</x:v>
      </x:c>
      <x:c r="U95" s="23" t="n">
        <x:f>IF(O95="是",MAX(0,MIN(1,(R95-'总览与权重'!$B$23)/('总览与权重'!$C$23-'总览与权重'!$B$23))),"NA")</x:f>
        <x:v>0.5395797533558659</x:v>
      </x:c>
      <x:c r="V95" s="23" t="n">
        <x:f>IF(O95="是",J95,"NA")</x:f>
        <x:v>1</x:v>
      </x:c>
      <x:c r="W95" s="22" t="str">
        <x:v>完整</x:v>
      </x:c>
      <x:c r="X95" s="22" t="n">
        <x:v>1</x:v>
      </x:c>
      <x:c r="Y95" s="22" t="n">
        <x:v>0</x:v>
      </x:c>
      <x:c r="Z95" s="22" t="n">
        <x:v>0.3</x:v>
      </x:c>
      <x:c r="AA95" s="22" t="n">
        <x:v>0.666666666667</x:v>
      </x:c>
      <x:c r="AB95" s="22" t="str">
        <x:v>课程答疑复习与资源使用；正向评价（不计能力分）</x:v>
      </x:c>
      <x:c r="AC95" s="22" t="str">
        <x:v>NA</x:v>
      </x:c>
      <x:c r="AD95" s="22" t="str">
        <x:v>NA</x:v>
      </x:c>
      <x:c r="AE95" s="22" t="str">
        <x:v>["S0343"]</x:v>
      </x:c>
      <x:c r="AF95" s="22" t="str">
        <x:v>["2025秋:2025秋-数学模型-问答记录导出20260502导出_已标注_已更新.xlsx:问答记录:351"]</x:v>
      </x:c>
      <x:c r="AG95" s="22" t="str">
        <x:v>evidence/student_evidence.jsonl；student_key=2025秋:259400</x:v>
      </x:c>
      <x:c r="AH95" s="27" t="str"/>
    </x:row>
    <x:row r="96" ht="23" customHeight="1">
      <x:c r="A96" s="21" t="str">
        <x:v>2025秋:259401</x:v>
      </x:c>
      <x:c r="B96" s="22" t="str">
        <x:v>s3</x:v>
      </x:c>
      <x:c r="C96" s="24" t="n">
        <x:v>1</x:v>
      </x:c>
      <x:c r="D96" s="24" t="n">
        <x:v>1</x:v>
      </x:c>
      <x:c r="E96" s="22" t="n">
        <x:v>0.49311023863755865</x:v>
      </x:c>
      <x:c r="F96" s="22" t="n">
        <x:v>0.49311023863755865</x:v>
      </x:c>
      <x:c r="G96" s="22" t="n">
        <x:v>0.49311023863755865</x:v>
      </x:c>
      <x:c r="H96" s="24" t="n">
        <x:v>2</x:v>
      </x:c>
      <x:c r="I96" s="24" t="n">
        <x:v>2</x:v>
      </x:c>
      <x:c r="J96" s="23" t="n">
        <x:f>IF(I96&gt;0,H96/I96,"NA")</x:f>
        <x:v>1</x:v>
      </x:c>
      <x:c r="K96" s="23" t="n">
        <x:f>MAX(0,MIN(1,(E96-'总览与权重'!$B$18)/('总览与权重'!$C$18-'总览与权重'!$B$18)))</x:f>
        <x:v>0.04109251988646322</x:v>
      </x:c>
      <x:c r="L96" s="23" t="n">
        <x:f>MAX(0,MIN(1,(F96-'总览与权重'!$B$19)/('总览与权重'!$C$19-'总览与权重'!$B$19)))</x:f>
        <x:v>0.49311023863755865</x:v>
      </x:c>
      <x:c r="M96" s="23" t="n">
        <x:f>MAX(0,MIN(1,(G96-'总览与权重'!$B$20)/('总览与权重'!$C$20-'总览与权重'!$B$20)))</x:f>
        <x:v>0.49311023863755865</x:v>
      </x:c>
      <x:c r="N96" s="23" t="n">
        <x:f>J96</x:f>
        <x:v>1</x:v>
      </x:c>
      <x:c r="O96" s="22" t="str">
        <x:v>否</x:v>
      </x:c>
      <x:c r="P96" s="22" t="str">
        <x:v>NA</x:v>
      </x:c>
      <x:c r="Q96" s="22" t="str">
        <x:v>NA</x:v>
      </x:c>
      <x:c r="R96" s="22" t="str">
        <x:v>NA</x:v>
      </x:c>
      <x:c r="S96" s="23" t="str">
        <x:f>IF(O96="是",MAX(0,MIN(1,(P96-'总览与权重'!$B$21)/('总览与权重'!$C$21-'总览与权重'!$B$21))),"NA")</x:f>
        <x:v>NA</x:v>
      </x:c>
      <x:c r="T96" s="23" t="str">
        <x:f>IF(O96="是",MAX(0,MIN(1,(Q96-'总览与权重'!$B$22)/('总览与权重'!$C$22-'总览与权重'!$B$22))),"NA")</x:f>
        <x:v>NA</x:v>
      </x:c>
      <x:c r="U96" s="23" t="str">
        <x:f>IF(O96="是",MAX(0,MIN(1,(R96-'总览与权重'!$B$23)/('总览与权重'!$C$23-'总览与权重'!$B$23))),"NA")</x:f>
        <x:v>NA</x:v>
      </x:c>
      <x:c r="V96" s="23" t="str">
        <x:f>IF(O96="是",J96,"NA")</x:f>
        <x:v>NA</x:v>
      </x:c>
      <x:c r="W96" s="22" t="str">
        <x:v>无完整领域最早before配对</x:v>
      </x:c>
      <x:c r="X96" s="22" t="n">
        <x:v>1</x:v>
      </x:c>
      <x:c r="Y96" s="22" t="n">
        <x:v>0</x:v>
      </x:c>
      <x:c r="Z96" s="22" t="n">
        <x:v>0.05</x:v>
      </x:c>
      <x:c r="AA96" s="22" t="n">
        <x:v>0.547619047619</x:v>
      </x:c>
      <x:c r="AB96" s="22" t="str">
        <x:v>知识点理解与概念探究；正向评价（不计能力分）</x:v>
      </x:c>
      <x:c r="AC96" s="22" t="str">
        <x:v>NA</x:v>
      </x:c>
      <x:c r="AD96" s="22" t="str">
        <x:v>NA</x:v>
      </x:c>
      <x:c r="AE96" s="22" t="str">
        <x:v>["S0378"]</x:v>
      </x:c>
      <x:c r="AF96" s="22" t="str">
        <x:v>["2025秋:2025秋-数学模型-问答记录导出20260502导出_已标注_已更新.xlsx:问答记录:389"]</x:v>
      </x:c>
      <x:c r="AG96" s="22" t="str">
        <x:v>evidence/student_evidence.jsonl；student_key=2025秋:259401</x:v>
      </x:c>
      <x:c r="AH96" s="27" t="str"/>
    </x:row>
    <x:row r="97" ht="23" customHeight="1">
      <x:c r="A97" s="21" t="str">
        <x:v>2025秋:259403</x:v>
      </x:c>
      <x:c r="B97" s="22" t="str">
        <x:v>s3</x:v>
      </x:c>
      <x:c r="C97" s="24" t="n">
        <x:v>1</x:v>
      </x:c>
      <x:c r="D97" s="24" t="n">
        <x:v>1</x:v>
      </x:c>
      <x:c r="E97" s="22" t="n">
        <x:v>0.3798100244161617</x:v>
      </x:c>
      <x:c r="F97" s="22" t="n">
        <x:v>0.3798100244161617</x:v>
      </x:c>
      <x:c r="G97" s="22" t="n">
        <x:v>0.3798100244161617</x:v>
      </x:c>
      <x:c r="H97" s="24" t="n">
        <x:v>1</x:v>
      </x:c>
      <x:c r="I97" s="24" t="n">
        <x:v>2</x:v>
      </x:c>
      <x:c r="J97" s="23" t="n">
        <x:f>IF(I97&gt;0,H97/I97,"NA")</x:f>
        <x:v>0.5</x:v>
      </x:c>
      <x:c r="K97" s="23" t="n">
        <x:f>MAX(0,MIN(1,(E97-'总览与权重'!$B$18)/('总览与权重'!$C$18-'总览与权重'!$B$18)))</x:f>
        <x:v>0.031650835368013476</x:v>
      </x:c>
      <x:c r="L97" s="23" t="n">
        <x:f>MAX(0,MIN(1,(F97-'总览与权重'!$B$19)/('总览与权重'!$C$19-'总览与权重'!$B$19)))</x:f>
        <x:v>0.3798100244161617</x:v>
      </x:c>
      <x:c r="M97" s="23" t="n">
        <x:f>MAX(0,MIN(1,(G97-'总览与权重'!$B$20)/('总览与权重'!$C$20-'总览与权重'!$B$20)))</x:f>
        <x:v>0.3798100244161617</x:v>
      </x:c>
      <x:c r="N97" s="23" t="n">
        <x:f>J97</x:f>
        <x:v>0.5</x:v>
      </x:c>
      <x:c r="O97" s="22" t="str">
        <x:v>是</x:v>
      </x:c>
      <x:c r="P97" s="22" t="n">
        <x:v>0.24297773876381143</x:v>
      </x:c>
      <x:c r="Q97" s="22" t="n">
        <x:v>0.24297773876381143</x:v>
      </x:c>
      <x:c r="R97" s="22" t="n">
        <x:v>0.24297773876381143</x:v>
      </x:c>
      <x:c r="S97" s="23" t="n">
        <x:f>IF(O97="是",MAX(0,MIN(1,(P97-'总览与权重'!$B$21)/('总览与权重'!$C$21-'总览与权重'!$B$21))),"NA")</x:f>
        <x:v>0.5101240724484921</x:v>
      </x:c>
      <x:c r="T97" s="23" t="n">
        <x:f>IF(O97="是",MAX(0,MIN(1,(Q97-'总览与权重'!$B$22)/('总览与权重'!$C$22-'总览与权重'!$B$22))),"NA")</x:f>
        <x:v>0.6214888693819057</x:v>
      </x:c>
      <x:c r="U97" s="23" t="n">
        <x:f>IF(O97="是",MAX(0,MIN(1,(R97-'总览与权重'!$B$23)/('总览与权重'!$C$23-'总览与权重'!$B$23))),"NA")</x:f>
        <x:v>0.6214888693819057</x:v>
      </x:c>
      <x:c r="V97" s="23" t="n">
        <x:f>IF(O97="是",J97,"NA")</x:f>
        <x:v>0.5</x:v>
      </x:c>
      <x:c r="W97" s="22" t="str">
        <x:v>完整</x:v>
      </x:c>
      <x:c r="X97" s="22" t="n">
        <x:v>1</x:v>
      </x:c>
      <x:c r="Y97" s="22" t="n">
        <x:v>0</x:v>
      </x:c>
      <x:c r="Z97" s="22" t="n">
        <x:v>-0.25</x:v>
      </x:c>
      <x:c r="AA97" s="22" t="n">
        <x:v>-0.119047619048</x:v>
      </x:c>
      <x:c r="AB97" s="22" t="str">
        <x:v>知识点理解与概念探究；无明确评价（不计能力分）</x:v>
      </x:c>
      <x:c r="AC97" s="22" t="str">
        <x:v>NA</x:v>
      </x:c>
      <x:c r="AD97" s="22" t="str">
        <x:v>NA</x:v>
      </x:c>
      <x:c r="AE97" s="22" t="str">
        <x:v>["S0382"]</x:v>
      </x:c>
      <x:c r="AF97" s="22" t="str">
        <x:v>["2025秋:2025秋-数学模型-问答记录导出20260502导出_已标注_已更新.xlsx:问答记录:393"]</x:v>
      </x:c>
      <x:c r="AG97" s="22" t="str">
        <x:v>evidence/student_evidence.jsonl；student_key=2025秋:259403</x:v>
      </x:c>
      <x:c r="AH97" s="27" t="str"/>
    </x:row>
    <x:row r="98" ht="23" customHeight="1">
      <x:c r="A98" s="21" t="str">
        <x:v>2025秋:259404</x:v>
      </x:c>
      <x:c r="B98" s="22" t="str">
        <x:v>s3</x:v>
      </x:c>
      <x:c r="C98" s="24" t="n">
        <x:v>1</x:v>
      </x:c>
      <x:c r="D98" s="24" t="n">
        <x:v>1</x:v>
      </x:c>
      <x:c r="E98" s="22" t="n">
        <x:v>0</x:v>
      </x:c>
      <x:c r="F98" s="22" t="n">
        <x:v>0</x:v>
      </x:c>
      <x:c r="G98" s="22" t="n">
        <x:v>0</x:v>
      </x:c>
      <x:c r="H98" s="24" t="n">
        <x:v>1</x:v>
      </x:c>
      <x:c r="I98" s="24" t="n">
        <x:v>1</x:v>
      </x:c>
      <x:c r="J98" s="23" t="n">
        <x:f>IF(I98&gt;0,H98/I98,"NA")</x:f>
        <x:v>1</x:v>
      </x:c>
      <x:c r="K98" s="23" t="n">
        <x:f>MAX(0,MIN(1,(E98-'总览与权重'!$B$18)/('总览与权重'!$C$18-'总览与权重'!$B$18)))</x:f>
        <x:v>0</x:v>
      </x:c>
      <x:c r="L98" s="23" t="n">
        <x:f>MAX(0,MIN(1,(F98-'总览与权重'!$B$19)/('总览与权重'!$C$19-'总览与权重'!$B$19)))</x:f>
        <x:v>0</x:v>
      </x:c>
      <x:c r="M98" s="23" t="n">
        <x:f>MAX(0,MIN(1,(G98-'总览与权重'!$B$20)/('总览与权重'!$C$20-'总览与权重'!$B$20)))</x:f>
        <x:v>0</x:v>
      </x:c>
      <x:c r="N98" s="23" t="n">
        <x:f>J98</x:f>
        <x:v>1</x:v>
      </x:c>
      <x:c r="O98" s="22" t="str">
        <x:v>是</x:v>
      </x:c>
      <x:c r="P98" s="22" t="n">
        <x:v>-0.0760685021771465</x:v>
      </x:c>
      <x:c r="Q98" s="22" t="n">
        <x:v>-0.09508562772143313</x:v>
      </x:c>
      <x:c r="R98" s="22" t="n">
        <x:v>-0.09508562772143313</x:v>
      </x:c>
      <x:c r="S98" s="23" t="n">
        <x:f>IF(O98="是",MAX(0,MIN(1,(P98-'总览与权重'!$B$21)/('总览与权重'!$C$21-'总览与权重'!$B$21))),"NA")</x:f>
        <x:v>0.4968304790759522</x:v>
      </x:c>
      <x:c r="T98" s="23" t="n">
        <x:f>IF(O98="是",MAX(0,MIN(1,(Q98-'总览与权重'!$B$22)/('总览与权重'!$C$22-'总览与权重'!$B$22))),"NA")</x:f>
        <x:v>0.45245718613928343</x:v>
      </x:c>
      <x:c r="U98" s="23" t="n">
        <x:f>IF(O98="是",MAX(0,MIN(1,(R98-'总览与权重'!$B$23)/('总览与权重'!$C$23-'总览与权重'!$B$23))),"NA")</x:f>
        <x:v>0.45245718613928343</x:v>
      </x:c>
      <x:c r="V98" s="23" t="n">
        <x:f>IF(O98="是",J98,"NA")</x:f>
        <x:v>1</x:v>
      </x:c>
      <x:c r="W98" s="22" t="str">
        <x:v>完整</x:v>
      </x:c>
      <x:c r="X98" s="22" t="n">
        <x:v>2</x:v>
      </x:c>
      <x:c r="Y98" s="22" t="n">
        <x:v>0.6321205588285577</x:v>
      </x:c>
      <x:c r="Z98" s="22" t="n">
        <x:v>0</x:v>
      </x:c>
      <x:c r="AA98" s="22" t="n">
        <x:v>0</x:v>
      </x:c>
      <x:c r="AB98" s="22" t="str">
        <x:v>知识点理解与概念探究；正向评价（不计能力分）</x:v>
      </x:c>
      <x:c r="AC98" s="22" t="str">
        <x:v>NA</x:v>
      </x:c>
      <x:c r="AD98" s="22" t="str">
        <x:v>NA</x:v>
      </x:c>
      <x:c r="AE98" s="22" t="str">
        <x:v>["S0293"]</x:v>
      </x:c>
      <x:c r="AF98" s="22" t="str">
        <x:v>["2025秋:2025秋-数学模型-问答记录导出20260502导出_已标注_已更新.xlsx:问答记录:301"]</x:v>
      </x:c>
      <x:c r="AG98" s="22" t="str">
        <x:v>evidence/student_evidence.jsonl；student_key=2025秋:259404</x:v>
      </x:c>
      <x:c r="AH98" s="27" t="str"/>
    </x:row>
    <x:row r="99" ht="23" customHeight="1">
      <x:c r="A99" s="21" t="str">
        <x:v>2025秋:259405</x:v>
      </x:c>
      <x:c r="B99" s="22" t="str">
        <x:v>s3</x:v>
      </x:c>
      <x:c r="C99" s="24" t="n">
        <x:v>1</x:v>
      </x:c>
      <x:c r="D99" s="24" t="n">
        <x:v>1</x:v>
      </x:c>
      <x:c r="E99" s="22" t="n">
        <x:v>0</x:v>
      </x:c>
      <x:c r="F99" s="22" t="n">
        <x:v>0</x:v>
      </x:c>
      <x:c r="G99" s="22" t="n">
        <x:v>0</x:v>
      </x:c>
      <x:c r="H99" s="24" t="n">
        <x:v>1</x:v>
      </x:c>
      <x:c r="I99" s="24" t="n">
        <x:v>2</x:v>
      </x:c>
      <x:c r="J99" s="23" t="n">
        <x:f>IF(I99&gt;0,H99/I99,"NA")</x:f>
        <x:v>0.5</x:v>
      </x:c>
      <x:c r="K99" s="23" t="n">
        <x:f>MAX(0,MIN(1,(E99-'总览与权重'!$B$18)/('总览与权重'!$C$18-'总览与权重'!$B$18)))</x:f>
        <x:v>0</x:v>
      </x:c>
      <x:c r="L99" s="23" t="n">
        <x:f>MAX(0,MIN(1,(F99-'总览与权重'!$B$19)/('总览与权重'!$C$19-'总览与权重'!$B$19)))</x:f>
        <x:v>0</x:v>
      </x:c>
      <x:c r="M99" s="23" t="n">
        <x:f>MAX(0,MIN(1,(G99-'总览与权重'!$B$20)/('总览与权重'!$C$20-'总览与权重'!$B$20)))</x:f>
        <x:v>0</x:v>
      </x:c>
      <x:c r="N99" s="23" t="n">
        <x:f>J99</x:f>
        <x:v>0.5</x:v>
      </x:c>
      <x:c r="O99" s="22" t="str">
        <x:v>否</x:v>
      </x:c>
      <x:c r="P99" s="22" t="str">
        <x:v>NA</x:v>
      </x:c>
      <x:c r="Q99" s="22" t="str">
        <x:v>NA</x:v>
      </x:c>
      <x:c r="R99" s="22" t="str">
        <x:v>NA</x:v>
      </x:c>
      <x:c r="S99" s="23" t="str">
        <x:f>IF(O99="是",MAX(0,MIN(1,(P99-'总览与权重'!$B$21)/('总览与权重'!$C$21-'总览与权重'!$B$21))),"NA")</x:f>
        <x:v>NA</x:v>
      </x:c>
      <x:c r="T99" s="23" t="str">
        <x:f>IF(O99="是",MAX(0,MIN(1,(Q99-'总览与权重'!$B$22)/('总览与权重'!$C$22-'总览与权重'!$B$22))),"NA")</x:f>
        <x:v>NA</x:v>
      </x:c>
      <x:c r="U99" s="23" t="str">
        <x:f>IF(O99="是",MAX(0,MIN(1,(R99-'总览与权重'!$B$23)/('总览与权重'!$C$23-'总览与权重'!$B$23))),"NA")</x:f>
        <x:v>NA</x:v>
      </x:c>
      <x:c r="V99" s="23" t="str">
        <x:f>IF(O99="是",J99,"NA")</x:f>
        <x:v>NA</x:v>
      </x:c>
      <x:c r="W99" s="22" t="str">
        <x:v>无完整领域最早before配对</x:v>
      </x:c>
      <x:c r="X99" s="22" t="n">
        <x:v>2</x:v>
      </x:c>
      <x:c r="Y99" s="22" t="n">
        <x:v>0.6321205588285577</x:v>
      </x:c>
      <x:c r="Z99" s="22" t="n">
        <x:v>0</x:v>
      </x:c>
      <x:c r="AA99" s="22" t="n">
        <x:v>0</x:v>
      </x:c>
      <x:c r="AB99" s="22" t="str">
        <x:v>知识点理解与概念探究；正向评价（不计能力分）</x:v>
      </x:c>
      <x:c r="AC99" s="22" t="str">
        <x:v>NA</x:v>
      </x:c>
      <x:c r="AD99" s="22" t="str">
        <x:v>NA</x:v>
      </x:c>
      <x:c r="AE99" s="22" t="str">
        <x:v>["S0219"]</x:v>
      </x:c>
      <x:c r="AF99" s="22" t="str">
        <x:v>["2025秋:2025秋-数学模型-问答记录导出20260502导出_已标注_已更新.xlsx:问答记录:224"]</x:v>
      </x:c>
      <x:c r="AG99" s="22" t="str">
        <x:v>evidence/student_evidence.jsonl；student_key=2025秋:259405</x:v>
      </x:c>
      <x:c r="AH99" s="27" t="str"/>
    </x:row>
    <x:row r="100" ht="23" customHeight="1">
      <x:c r="A100" s="21" t="str">
        <x:v>2025秋:259407</x:v>
      </x:c>
      <x:c r="B100" s="22" t="str">
        <x:v>s3</x:v>
      </x:c>
      <x:c r="C100" s="24" t="n">
        <x:v>1</x:v>
      </x:c>
      <x:c r="D100" s="24" t="n">
        <x:v>1</x:v>
      </x:c>
      <x:c r="E100" s="22" t="n">
        <x:v>0.5027078986587183</x:v>
      </x:c>
      <x:c r="F100" s="22" t="n">
        <x:v>0.5027078986587183</x:v>
      </x:c>
      <x:c r="G100" s="22" t="n">
        <x:v>0.5027078986587183</x:v>
      </x:c>
      <x:c r="H100" s="24" t="n">
        <x:v>2</x:v>
      </x:c>
      <x:c r="I100" s="24" t="n">
        <x:v>2</x:v>
      </x:c>
      <x:c r="J100" s="23" t="n">
        <x:f>IF(I100&gt;0,H100/I100,"NA")</x:f>
        <x:v>1</x:v>
      </x:c>
      <x:c r="K100" s="23" t="n">
        <x:f>MAX(0,MIN(1,(E100-'总览与权重'!$B$18)/('总览与权重'!$C$18-'总览与权重'!$B$18)))</x:f>
        <x:v>0.04189232488822653</x:v>
      </x:c>
      <x:c r="L100" s="23" t="n">
        <x:f>MAX(0,MIN(1,(F100-'总览与权重'!$B$19)/('总览与权重'!$C$19-'总览与权重'!$B$19)))</x:f>
        <x:v>0.5027078986587183</x:v>
      </x:c>
      <x:c r="M100" s="23" t="n">
        <x:f>MAX(0,MIN(1,(G100-'总览与权重'!$B$20)/('总览与权重'!$C$20-'总览与权重'!$B$20)))</x:f>
        <x:v>0.5027078986587183</x:v>
      </x:c>
      <x:c r="N100" s="23" t="n">
        <x:f>J100</x:f>
        <x:v>1</x:v>
      </x:c>
      <x:c r="O100" s="22" t="str">
        <x:v>是</x:v>
      </x:c>
      <x:c r="P100" s="22" t="n">
        <x:v>0.36587561300636806</x:v>
      </x:c>
      <x:c r="Q100" s="22" t="n">
        <x:v>0.36587561300636806</x:v>
      </x:c>
      <x:c r="R100" s="22" t="n">
        <x:v>0.36587561300636806</x:v>
      </x:c>
      <x:c r="S100" s="23" t="n">
        <x:f>IF(O100="是",MAX(0,MIN(1,(P100-'总览与权重'!$B$21)/('总览与权重'!$C$21-'总览与权重'!$B$21))),"NA")</x:f>
        <x:v>0.5152448172085987</x:v>
      </x:c>
      <x:c r="T100" s="23" t="n">
        <x:f>IF(O100="是",MAX(0,MIN(1,(Q100-'总览与权重'!$B$22)/('总览与权重'!$C$22-'总览与权重'!$B$22))),"NA")</x:f>
        <x:v>0.682937806503184</x:v>
      </x:c>
      <x:c r="U100" s="23" t="n">
        <x:f>IF(O100="是",MAX(0,MIN(1,(R100-'总览与权重'!$B$23)/('总览与权重'!$C$23-'总览与权重'!$B$23))),"NA")</x:f>
        <x:v>0.682937806503184</x:v>
      </x:c>
      <x:c r="V100" s="23" t="n">
        <x:f>IF(O100="是",J100,"NA")</x:f>
        <x:v>1</x:v>
      </x:c>
      <x:c r="W100" s="22" t="str">
        <x:v>完整</x:v>
      </x:c>
      <x:c r="X100" s="22" t="n">
        <x:v>1</x:v>
      </x:c>
      <x:c r="Y100" s="22" t="n">
        <x:v>0</x:v>
      </x:c>
      <x:c r="Z100" s="22" t="n">
        <x:v>0.05</x:v>
      </x:c>
      <x:c r="AA100" s="22" t="n">
        <x:v>0.547619047619</x:v>
      </x:c>
      <x:c r="AB100" s="22" t="str">
        <x:v>知识点理解与概念探究；正向评价（不计能力分）</x:v>
      </x:c>
      <x:c r="AC100" s="22" t="str">
        <x:v>NA</x:v>
      </x:c>
      <x:c r="AD100" s="22" t="str">
        <x:v>NA</x:v>
      </x:c>
      <x:c r="AE100" s="22" t="str">
        <x:v>["S0036"]</x:v>
      </x:c>
      <x:c r="AF100" s="22" t="str">
        <x:v>["2025秋:2025秋-数学模型-问答记录导出20260502导出_已标注_已更新.xlsx:问答记录:38"]</x:v>
      </x:c>
      <x:c r="AG100" s="22" t="str">
        <x:v>evidence/student_evidence.jsonl；student_key=2025秋:259407</x:v>
      </x:c>
      <x:c r="AH100" s="27" t="str"/>
    </x:row>
    <x:row r="101" ht="48" customHeight="1">
      <x:c r="A101" s="21" t="str">
        <x:v>2025秋:259419</x:v>
      </x:c>
      <x:c r="B101" s="22" t="str">
        <x:v>s3</x:v>
      </x:c>
      <x:c r="C101" s="24" t="n">
        <x:v>1</x:v>
      </x:c>
      <x:c r="D101" s="24" t="n">
        <x:v>1</x:v>
      </x:c>
      <x:c r="E101" s="22" t="n">
        <x:v>0</x:v>
      </x:c>
      <x:c r="F101" s="22" t="n">
        <x:v>0</x:v>
      </x:c>
      <x:c r="G101" s="22" t="n">
        <x:v>0</x:v>
      </x:c>
      <x:c r="H101" s="24" t="n">
        <x:v>3</x:v>
      </x:c>
      <x:c r="I101" s="24" t="n">
        <x:v>4</x:v>
      </x:c>
      <x:c r="J101" s="23" t="n">
        <x:f>IF(I101&gt;0,H101/I101,"NA")</x:f>
        <x:v>0.75</x:v>
      </x:c>
      <x:c r="K101" s="23" t="n">
        <x:f>MAX(0,MIN(1,(E101-'总览与权重'!$B$18)/('总览与权重'!$C$18-'总览与权重'!$B$18)))</x:f>
        <x:v>0</x:v>
      </x:c>
      <x:c r="L101" s="23" t="n">
        <x:f>MAX(0,MIN(1,(F101-'总览与权重'!$B$19)/('总览与权重'!$C$19-'总览与权重'!$B$19)))</x:f>
        <x:v>0</x:v>
      </x:c>
      <x:c r="M101" s="23" t="n">
        <x:f>MAX(0,MIN(1,(G101-'总览与权重'!$B$20)/('总览与权重'!$C$20-'总览与权重'!$B$20)))</x:f>
        <x:v>0</x:v>
      </x:c>
      <x:c r="N101" s="23" t="n">
        <x:f>J101</x:f>
        <x:v>0.75</x:v>
      </x:c>
      <x:c r="O101" s="22" t="str">
        <x:v>否</x:v>
      </x:c>
      <x:c r="P101" s="22" t="str">
        <x:v>NA</x:v>
      </x:c>
      <x:c r="Q101" s="22" t="str">
        <x:v>NA</x:v>
      </x:c>
      <x:c r="R101" s="22" t="str">
        <x:v>NA</x:v>
      </x:c>
      <x:c r="S101" s="23" t="str">
        <x:f>IF(O101="是",MAX(0,MIN(1,(P101-'总览与权重'!$B$21)/('总览与权重'!$C$21-'总览与权重'!$B$21))),"NA")</x:f>
        <x:v>NA</x:v>
      </x:c>
      <x:c r="T101" s="23" t="str">
        <x:f>IF(O101="是",MAX(0,MIN(1,(Q101-'总览与权重'!$B$22)/('总览与权重'!$C$22-'总览与权重'!$B$22))),"NA")</x:f>
        <x:v>NA</x:v>
      </x:c>
      <x:c r="U101" s="23" t="str">
        <x:f>IF(O101="是",MAX(0,MIN(1,(R101-'总览与权重'!$B$23)/('总览与权重'!$C$23-'总览与权重'!$B$23))),"NA")</x:f>
        <x:v>NA</x:v>
      </x:c>
      <x:c r="V101" s="23" t="str">
        <x:f>IF(O101="是",J101,"NA")</x:f>
        <x:v>NA</x:v>
      </x:c>
      <x:c r="W101" s="22" t="str">
        <x:v>无完整领域最早before配对</x:v>
      </x:c>
      <x:c r="X101" s="22" t="n">
        <x:v>2</x:v>
      </x:c>
      <x:c r="Y101" s="22" t="n">
        <x:v>0.6321205588285577</x:v>
      </x:c>
      <x:c r="Z101" s="22" t="n">
        <x:v>0</x:v>
      </x:c>
      <x:c r="AA101" s="22" t="n">
        <x:v>0</x:v>
      </x:c>
      <x:c r="AB101" s="22" t="str">
        <x:v>知识点理解与概念探究；正向评价（不计能力分）</x:v>
      </x:c>
      <x:c r="AC101" s="22" t="str">
        <x:v>NA</x:v>
      </x:c>
      <x:c r="AD101" s="22" t="str">
        <x:v>NA</x:v>
      </x:c>
      <x:c r="AE101" s="22" t="str">
        <x:v>["S0056"]</x:v>
      </x:c>
      <x:c r="AF101" s="22" t="str">
        <x:v>["2025秋:2025秋-数学模型-问答记录导出20260502导出_已标注_已更新.xlsx:问答记录:58"]</x:v>
      </x:c>
      <x:c r="AG101" s="22" t="str">
        <x:v>evidence/student_evidence.jsonl；student_key=2025秋:259419</x:v>
      </x:c>
      <x:c r="AH101" s="27" t="str">
        <x:v>同一锚点起止1条：未形成独立重复测量。</x:v>
      </x:c>
    </x:row>
    <x:row r="102" ht="23" customHeight="1">
      <x:c r="A102" s="21" t="str">
        <x:v>2025秋:259422</x:v>
      </x:c>
      <x:c r="B102" s="22" t="str">
        <x:v>s3</x:v>
      </x:c>
      <x:c r="C102" s="24" t="n">
        <x:v>1</x:v>
      </x:c>
      <x:c r="D102" s="24" t="n">
        <x:v>1</x:v>
      </x:c>
      <x:c r="E102" s="22" t="n">
        <x:v>0</x:v>
      </x:c>
      <x:c r="F102" s="22" t="n">
        <x:v>0</x:v>
      </x:c>
      <x:c r="G102" s="22" t="n">
        <x:v>0</x:v>
      </x:c>
      <x:c r="H102" s="24" t="n">
        <x:v>1</x:v>
      </x:c>
      <x:c r="I102" s="24" t="n">
        <x:v>2</x:v>
      </x:c>
      <x:c r="J102" s="23" t="n">
        <x:f>IF(I102&gt;0,H102/I102,"NA")</x:f>
        <x:v>0.5</x:v>
      </x:c>
      <x:c r="K102" s="23" t="n">
        <x:f>MAX(0,MIN(1,(E102-'总览与权重'!$B$18)/('总览与权重'!$C$18-'总览与权重'!$B$18)))</x:f>
        <x:v>0</x:v>
      </x:c>
      <x:c r="L102" s="23" t="n">
        <x:f>MAX(0,MIN(1,(F102-'总览与权重'!$B$19)/('总览与权重'!$C$19-'总览与权重'!$B$19)))</x:f>
        <x:v>0</x:v>
      </x:c>
      <x:c r="M102" s="23" t="n">
        <x:f>MAX(0,MIN(1,(G102-'总览与权重'!$B$20)/('总览与权重'!$C$20-'总览与权重'!$B$20)))</x:f>
        <x:v>0</x:v>
      </x:c>
      <x:c r="N102" s="23" t="n">
        <x:f>J102</x:f>
        <x:v>0.5</x:v>
      </x:c>
      <x:c r="O102" s="22" t="str">
        <x:v>是</x:v>
      </x:c>
      <x:c r="P102" s="22" t="n">
        <x:v>-0.13680392675608974</x:v>
      </x:c>
      <x:c r="Q102" s="22" t="n">
        <x:v>-0.13680392675608974</x:v>
      </x:c>
      <x:c r="R102" s="22" t="n">
        <x:v>-0.13680392675608974</x:v>
      </x:c>
      <x:c r="S102" s="23" t="n">
        <x:f>IF(O102="是",MAX(0,MIN(1,(P102-'总览与权重'!$B$21)/('总览与权重'!$C$21-'总览与权重'!$B$21))),"NA")</x:f>
        <x:v>0.49429983638516295</x:v>
      </x:c>
      <x:c r="T102" s="23" t="n">
        <x:f>IF(O102="是",MAX(0,MIN(1,(Q102-'总览与权重'!$B$22)/('总览与权重'!$C$22-'总览与权重'!$B$22))),"NA")</x:f>
        <x:v>0.4315980366219551</x:v>
      </x:c>
      <x:c r="U102" s="23" t="n">
        <x:f>IF(O102="是",MAX(0,MIN(1,(R102-'总览与权重'!$B$23)/('总览与权重'!$C$23-'总览与权重'!$B$23))),"NA")</x:f>
        <x:v>0.4315980366219551</x:v>
      </x:c>
      <x:c r="V102" s="23" t="n">
        <x:f>IF(O102="是",J102,"NA")</x:f>
        <x:v>0.5</x:v>
      </x:c>
      <x:c r="W102" s="22" t="str">
        <x:v>完整</x:v>
      </x:c>
      <x:c r="X102" s="22" t="n">
        <x:v>2</x:v>
      </x:c>
      <x:c r="Y102" s="22" t="n">
        <x:v>0.6321205588285577</x:v>
      </x:c>
      <x:c r="Z102" s="22" t="n">
        <x:v>0</x:v>
      </x:c>
      <x:c r="AA102" s="22" t="n">
        <x:v>0</x:v>
      </x:c>
      <x:c r="AB102" s="22" t="str">
        <x:v>未匹配场景/评价记录</x:v>
      </x:c>
      <x:c r="AC102" s="22" t="str">
        <x:v>NA</x:v>
      </x:c>
      <x:c r="AD102" s="22" t="str">
        <x:v>NA</x:v>
      </x:c>
      <x:c r="AE102" s="22" t="str">
        <x:v>["S0421"]</x:v>
      </x:c>
      <x:c r="AF102" s="22" t="str">
        <x:v>["2025秋:2025秋-数学模型-问答记录导出20260502导出_已标注_已更新.xlsx:问答记录:432"]</x:v>
      </x:c>
      <x:c r="AG102" s="22" t="str">
        <x:v>evidence/student_evidence.jsonl；student_key=2025秋:259422</x:v>
      </x:c>
      <x:c r="AH102" s="27" t="str"/>
    </x:row>
    <x:row r="103" ht="23" customHeight="1">
      <x:c r="A103" s="21" t="str">
        <x:v>2025秋:259425</x:v>
      </x:c>
      <x:c r="B103" s="22" t="str">
        <x:v>s3</x:v>
      </x:c>
      <x:c r="C103" s="24" t="n">
        <x:v>1</x:v>
      </x:c>
      <x:c r="D103" s="24" t="n">
        <x:v>1</x:v>
      </x:c>
      <x:c r="E103" s="22" t="n">
        <x:v>0.3583636510631417</x:v>
      </x:c>
      <x:c r="F103" s="22" t="n">
        <x:v>0.3583636510631417</x:v>
      </x:c>
      <x:c r="G103" s="22" t="n">
        <x:v>0.3583636510631417</x:v>
      </x:c>
      <x:c r="H103" s="24" t="n">
        <x:v>2</x:v>
      </x:c>
      <x:c r="I103" s="24" t="n">
        <x:v>2</x:v>
      </x:c>
      <x:c r="J103" s="23" t="n">
        <x:f>IF(I103&gt;0,H103/I103,"NA")</x:f>
        <x:v>1</x:v>
      </x:c>
      <x:c r="K103" s="23" t="n">
        <x:f>MAX(0,MIN(1,(E103-'总览与权重'!$B$18)/('总览与权重'!$C$18-'总览与权重'!$B$18)))</x:f>
        <x:v>0.029863637588595143</x:v>
      </x:c>
      <x:c r="L103" s="23" t="n">
        <x:f>MAX(0,MIN(1,(F103-'总览与权重'!$B$19)/('总览与权重'!$C$19-'总览与权重'!$B$19)))</x:f>
        <x:v>0.3583636510631417</x:v>
      </x:c>
      <x:c r="M103" s="23" t="n">
        <x:f>MAX(0,MIN(1,(G103-'总览与权重'!$B$20)/('总览与权重'!$C$20-'总览与权重'!$B$20)))</x:f>
        <x:v>0.3583636510631417</x:v>
      </x:c>
      <x:c r="N103" s="23" t="n">
        <x:f>J103</x:f>
        <x:v>1</x:v>
      </x:c>
      <x:c r="O103" s="22" t="str">
        <x:v>是</x:v>
      </x:c>
      <x:c r="P103" s="22" t="n">
        <x:v>0.22155972430705198</x:v>
      </x:c>
      <x:c r="Q103" s="22" t="n">
        <x:v>0.22155972430705198</x:v>
      </x:c>
      <x:c r="R103" s="22" t="n">
        <x:v>0.22155972430705198</x:v>
      </x:c>
      <x:c r="S103" s="23" t="n">
        <x:f>IF(O103="是",MAX(0,MIN(1,(P103-'总览与权重'!$B$21)/('总览与权重'!$C$21-'总览与权重'!$B$21))),"NA")</x:f>
        <x:v>0.5092316551794606</x:v>
      </x:c>
      <x:c r="T103" s="23" t="n">
        <x:f>IF(O103="是",MAX(0,MIN(1,(Q103-'总览与权重'!$B$22)/('总览与权重'!$C$22-'总览与权重'!$B$22))),"NA")</x:f>
        <x:v>0.610779862153526</x:v>
      </x:c>
      <x:c r="U103" s="23" t="n">
        <x:f>IF(O103="是",MAX(0,MIN(1,(R103-'总览与权重'!$B$23)/('总览与权重'!$C$23-'总览与权重'!$B$23))),"NA")</x:f>
        <x:v>0.610779862153526</x:v>
      </x:c>
      <x:c r="V103" s="23" t="n">
        <x:f>IF(O103="是",J103,"NA")</x:f>
        <x:v>1</x:v>
      </x:c>
      <x:c r="W103" s="22" t="str">
        <x:v>完整</x:v>
      </x:c>
      <x:c r="X103" s="22" t="n">
        <x:v>1</x:v>
      </x:c>
      <x:c r="Y103" s="22" t="n">
        <x:v>0</x:v>
      </x:c>
      <x:c r="Z103" s="22" t="n">
        <x:v>-0.25</x:v>
      </x:c>
      <x:c r="AA103" s="22" t="n">
        <x:v>-0.119047619048</x:v>
      </x:c>
      <x:c r="AB103" s="22" t="str">
        <x:v>知识点理解与概念探究；正向评价（不计能力分）</x:v>
      </x:c>
      <x:c r="AC103" s="22" t="str">
        <x:v>NA</x:v>
      </x:c>
      <x:c r="AD103" s="22" t="str">
        <x:v>NA</x:v>
      </x:c>
      <x:c r="AE103" s="22" t="str">
        <x:v>["S0037"]</x:v>
      </x:c>
      <x:c r="AF103" s="22" t="str">
        <x:v>["2025秋:2025秋-数学模型-问答记录导出20260502导出_已标注_已更新.xlsx:问答记录:39"]</x:v>
      </x:c>
      <x:c r="AG103" s="22" t="str">
        <x:v>evidence/student_evidence.jsonl；student_key=2025秋:259425</x:v>
      </x:c>
      <x:c r="AH103" s="27" t="str"/>
    </x:row>
    <x:row r="104" ht="23" customHeight="1">
      <x:c r="A104" s="21" t="str">
        <x:v>2025秋:259430</x:v>
      </x:c>
      <x:c r="B104" s="22" t="str">
        <x:v>s3</x:v>
      </x:c>
      <x:c r="C104" s="24" t="n">
        <x:v>1</x:v>
      </x:c>
      <x:c r="D104" s="24" t="n">
        <x:v>1</x:v>
      </x:c>
      <x:c r="E104" s="22" t="n">
        <x:v>0</x:v>
      </x:c>
      <x:c r="F104" s="22" t="n">
        <x:v>0</x:v>
      </x:c>
      <x:c r="G104" s="22" t="n">
        <x:v>0</x:v>
      </x:c>
      <x:c r="H104" s="24" t="n">
        <x:v>1</x:v>
      </x:c>
      <x:c r="I104" s="24" t="n">
        <x:v>1</x:v>
      </x:c>
      <x:c r="J104" s="23" t="n">
        <x:f>IF(I104&gt;0,H104/I104,"NA")</x:f>
        <x:v>1</x:v>
      </x:c>
      <x:c r="K104" s="23" t="n">
        <x:f>MAX(0,MIN(1,(E104-'总览与权重'!$B$18)/('总览与权重'!$C$18-'总览与权重'!$B$18)))</x:f>
        <x:v>0</x:v>
      </x:c>
      <x:c r="L104" s="23" t="n">
        <x:f>MAX(0,MIN(1,(F104-'总览与权重'!$B$19)/('总览与权重'!$C$19-'总览与权重'!$B$19)))</x:f>
        <x:v>0</x:v>
      </x:c>
      <x:c r="M104" s="23" t="n">
        <x:f>MAX(0,MIN(1,(G104-'总览与权重'!$B$20)/('总览与权重'!$C$20-'总览与权重'!$B$20)))</x:f>
        <x:v>0</x:v>
      </x:c>
      <x:c r="N104" s="23" t="n">
        <x:f>J104</x:f>
        <x:v>1</x:v>
      </x:c>
      <x:c r="O104" s="22" t="str">
        <x:v>是</x:v>
      </x:c>
      <x:c r="P104" s="22" t="n">
        <x:v>-0.13683228565235026</x:v>
      </x:c>
      <x:c r="Q104" s="22" t="n">
        <x:v>-0.13683228565235026</x:v>
      </x:c>
      <x:c r="R104" s="22" t="n">
        <x:v>-0.13683228565235026</x:v>
      </x:c>
      <x:c r="S104" s="23" t="n">
        <x:f>IF(O104="是",MAX(0,MIN(1,(P104-'总览与权重'!$B$21)/('总览与权重'!$C$21-'总览与权重'!$B$21))),"NA")</x:f>
        <x:v>0.4942986547644854</x:v>
      </x:c>
      <x:c r="T104" s="23" t="n">
        <x:f>IF(O104="是",MAX(0,MIN(1,(Q104-'总览与权重'!$B$22)/('总览与权重'!$C$22-'总览与权重'!$B$22))),"NA")</x:f>
        <x:v>0.43158385717382486</x:v>
      </x:c>
      <x:c r="U104" s="23" t="n">
        <x:f>IF(O104="是",MAX(0,MIN(1,(R104-'总览与权重'!$B$23)/('总览与权重'!$C$23-'总览与权重'!$B$23))),"NA")</x:f>
        <x:v>0.43158385717382486</x:v>
      </x:c>
      <x:c r="V104" s="23" t="n">
        <x:f>IF(O104="是",J104,"NA")</x:f>
        <x:v>1</x:v>
      </x:c>
      <x:c r="W104" s="22" t="str">
        <x:v>完整</x:v>
      </x:c>
      <x:c r="X104" s="22" t="n">
        <x:v>1</x:v>
      </x:c>
      <x:c r="Y104" s="22" t="n">
        <x:v>0</x:v>
      </x:c>
      <x:c r="Z104" s="22" t="n">
        <x:v>0</x:v>
      </x:c>
      <x:c r="AA104" s="22" t="n">
        <x:v>0</x:v>
      </x:c>
      <x:c r="AB104" s="22" t="str">
        <x:v>知识点理解与概念探究；正向评价（不计能力分）</x:v>
      </x:c>
      <x:c r="AC104" s="22" t="str">
        <x:v>NA</x:v>
      </x:c>
      <x:c r="AD104" s="22" t="str">
        <x:v>NA</x:v>
      </x:c>
      <x:c r="AE104" s="22" t="str">
        <x:v>["S0181"]</x:v>
      </x:c>
      <x:c r="AF104" s="22" t="str">
        <x:v>["2025秋:2025秋-数学模型-问答记录导出20260502导出_已标注_已更新.xlsx:问答记录:184"]</x:v>
      </x:c>
      <x:c r="AG104" s="22" t="str">
        <x:v>evidence/student_evidence.jsonl；student_key=2025秋:259430</x:v>
      </x:c>
      <x:c r="AH104" s="27" t="str"/>
    </x:row>
    <x:row r="105" ht="23" customHeight="1">
      <x:c r="A105" s="21" t="str">
        <x:v>2025秋:259431</x:v>
      </x:c>
      <x:c r="B105" s="22" t="str">
        <x:v>s3</x:v>
      </x:c>
      <x:c r="C105" s="24" t="n">
        <x:v>1</x:v>
      </x:c>
      <x:c r="D105" s="24" t="n">
        <x:v>1</x:v>
      </x:c>
      <x:c r="E105" s="22" t="n">
        <x:v>0</x:v>
      </x:c>
      <x:c r="F105" s="22" t="n">
        <x:v>0</x:v>
      </x:c>
      <x:c r="G105" s="22" t="n">
        <x:v>0</x:v>
      </x:c>
      <x:c r="H105" s="24" t="n">
        <x:v>1</x:v>
      </x:c>
      <x:c r="I105" s="24" t="n">
        <x:v>1</x:v>
      </x:c>
      <x:c r="J105" s="23" t="n">
        <x:f>IF(I105&gt;0,H105/I105,"NA")</x:f>
        <x:v>1</x:v>
      </x:c>
      <x:c r="K105" s="23" t="n">
        <x:f>MAX(0,MIN(1,(E105-'总览与权重'!$B$18)/('总览与权重'!$C$18-'总览与权重'!$B$18)))</x:f>
        <x:v>0</x:v>
      </x:c>
      <x:c r="L105" s="23" t="n">
        <x:f>MAX(0,MIN(1,(F105-'总览与权重'!$B$19)/('总览与权重'!$C$19-'总览与权重'!$B$19)))</x:f>
        <x:v>0</x:v>
      </x:c>
      <x:c r="M105" s="23" t="n">
        <x:f>MAX(0,MIN(1,(G105-'总览与权重'!$B$20)/('总览与权重'!$C$20-'总览与权重'!$B$20)))</x:f>
        <x:v>0</x:v>
      </x:c>
      <x:c r="N105" s="23" t="n">
        <x:f>J105</x:f>
        <x:v>1</x:v>
      </x:c>
      <x:c r="O105" s="22" t="str">
        <x:v>是</x:v>
      </x:c>
      <x:c r="P105" s="22" t="n">
        <x:v>-0.13683228565235026</x:v>
      </x:c>
      <x:c r="Q105" s="22" t="n">
        <x:v>-0.13683228565235026</x:v>
      </x:c>
      <x:c r="R105" s="22" t="n">
        <x:v>-0.13683228565235026</x:v>
      </x:c>
      <x:c r="S105" s="23" t="n">
        <x:f>IF(O105="是",MAX(0,MIN(1,(P105-'总览与权重'!$B$21)/('总览与权重'!$C$21-'总览与权重'!$B$21))),"NA")</x:f>
        <x:v>0.4942986547644854</x:v>
      </x:c>
      <x:c r="T105" s="23" t="n">
        <x:f>IF(O105="是",MAX(0,MIN(1,(Q105-'总览与权重'!$B$22)/('总览与权重'!$C$22-'总览与权重'!$B$22))),"NA")</x:f>
        <x:v>0.43158385717382486</x:v>
      </x:c>
      <x:c r="U105" s="23" t="n">
        <x:f>IF(O105="是",MAX(0,MIN(1,(R105-'总览与权重'!$B$23)/('总览与权重'!$C$23-'总览与权重'!$B$23))),"NA")</x:f>
        <x:v>0.43158385717382486</x:v>
      </x:c>
      <x:c r="V105" s="23" t="n">
        <x:f>IF(O105="是",J105,"NA")</x:f>
        <x:v>1</x:v>
      </x:c>
      <x:c r="W105" s="22" t="str">
        <x:v>完整</x:v>
      </x:c>
      <x:c r="X105" s="22" t="n">
        <x:v>1</x:v>
      </x:c>
      <x:c r="Y105" s="22" t="n">
        <x:v>0</x:v>
      </x:c>
      <x:c r="Z105" s="22" t="n">
        <x:v>0</x:v>
      </x:c>
      <x:c r="AA105" s="22" t="n">
        <x:v>0</x:v>
      </x:c>
      <x:c r="AB105" s="22" t="str">
        <x:v>知识点理解与概念探究；正向评价（不计能力分）</x:v>
      </x:c>
      <x:c r="AC105" s="22" t="str">
        <x:v>NA</x:v>
      </x:c>
      <x:c r="AD105" s="22" t="str">
        <x:v>NA</x:v>
      </x:c>
      <x:c r="AE105" s="22" t="str">
        <x:v>["S0500"]</x:v>
      </x:c>
      <x:c r="AF105" s="22" t="str">
        <x:v>["2025秋:2025秋-数学模型-问答记录导出20260502导出_已标注_已更新.xlsx:问答记录:512"]</x:v>
      </x:c>
      <x:c r="AG105" s="22" t="str">
        <x:v>evidence/student_evidence.jsonl；student_key=2025秋:259431</x:v>
      </x:c>
      <x:c r="AH105" s="27" t="str"/>
    </x:row>
    <x:row r="106" ht="23" customHeight="1">
      <x:c r="A106" s="21" t="str">
        <x:v>2025秋:259437</x:v>
      </x:c>
      <x:c r="B106" s="22" t="str">
        <x:v>s3</x:v>
      </x:c>
      <x:c r="C106" s="24" t="n">
        <x:v>2</x:v>
      </x:c>
      <x:c r="D106" s="24" t="n">
        <x:v>2</x:v>
      </x:c>
      <x:c r="E106" s="22" t="n">
        <x:v>0.32470914657481825</x:v>
      </x:c>
      <x:c r="F106" s="22" t="n">
        <x:v>0.16235457328740913</x:v>
      </x:c>
      <x:c r="G106" s="22" t="n">
        <x:v>0.32470914657481825</x:v>
      </x:c>
      <x:c r="H106" s="24" t="n">
        <x:v>2</x:v>
      </x:c>
      <x:c r="I106" s="24" t="n">
        <x:v>2</x:v>
      </x:c>
      <x:c r="J106" s="23" t="n">
        <x:f>IF(I106&gt;0,H106/I106,"NA")</x:f>
        <x:v>1</x:v>
      </x:c>
      <x:c r="K106" s="23" t="n">
        <x:f>MAX(0,MIN(1,(E106-'总览与权重'!$B$18)/('总览与权重'!$C$18-'总览与权重'!$B$18)))</x:f>
        <x:v>0.02705909554790152</x:v>
      </x:c>
      <x:c r="L106" s="23" t="n">
        <x:f>MAX(0,MIN(1,(F106-'总览与权重'!$B$19)/('总览与权重'!$C$19-'总览与权重'!$B$19)))</x:f>
        <x:v>0.16235457328740913</x:v>
      </x:c>
      <x:c r="M106" s="23" t="n">
        <x:f>MAX(0,MIN(1,(G106-'总览与权重'!$B$20)/('总览与权重'!$C$20-'总览与权重'!$B$20)))</x:f>
        <x:v>0.32470914657481825</x:v>
      </x:c>
      <x:c r="N106" s="23" t="n">
        <x:f>J106</x:f>
        <x:v>1</x:v>
      </x:c>
      <x:c r="O106" s="22" t="str">
        <x:v>是</x:v>
      </x:c>
      <x:c r="P106" s="22" t="n">
        <x:v>0.17953779434192269</x:v>
      </x:c>
      <x:c r="Q106" s="22" t="n">
        <x:v>0.11221112146370167</x:v>
      </x:c>
      <x:c r="R106" s="22" t="n">
        <x:v>0.2068241609340583</x:v>
      </x:c>
      <x:c r="S106" s="23" t="n">
        <x:f>IF(O106="是",MAX(0,MIN(1,(P106-'总览与权重'!$B$21)/('总览与权重'!$C$21-'总览与权重'!$B$21))),"NA")</x:f>
        <x:v>0.5074807414309134</x:v>
      </x:c>
      <x:c r="T106" s="23" t="n">
        <x:f>IF(O106="是",MAX(0,MIN(1,(Q106-'总览与权重'!$B$22)/('总览与权重'!$C$22-'总览与权重'!$B$22))),"NA")</x:f>
        <x:v>0.5561055607318508</x:v>
      </x:c>
      <x:c r="U106" s="23" t="n">
        <x:f>IF(O106="是",MAX(0,MIN(1,(R106-'总览与权重'!$B$23)/('总览与权重'!$C$23-'总览与权重'!$B$23))),"NA")</x:f>
        <x:v>0.6034120804670291</x:v>
      </x:c>
      <x:c r="V106" s="23" t="n">
        <x:f>IF(O106="是",J106,"NA")</x:f>
        <x:v>1</x:v>
      </x:c>
      <x:c r="W106" s="22" t="str">
        <x:v>完整</x:v>
      </x:c>
      <x:c r="X106" s="22" t="n">
        <x:v>3</x:v>
      </x:c>
      <x:c r="Y106" s="22" t="n">
        <x:v>0.8646647167633873</x:v>
      </x:c>
      <x:c r="Z106" s="22" t="n">
        <x:v>-0.25</x:v>
      </x:c>
      <x:c r="AA106" s="22" t="n">
        <x:v>-0.238095238095</x:v>
      </x:c>
      <x:c r="AB106" s="22" t="str">
        <x:v>知识点理解与概念探究；正向评价（不计能力分）</x:v>
      </x:c>
      <x:c r="AC106" s="22" t="str">
        <x:v>NA</x:v>
      </x:c>
      <x:c r="AD106" s="22" t="str">
        <x:v>NA</x:v>
      </x:c>
      <x:c r="AE106" s="22" t="str">
        <x:v>["S0187","S0384"]</x:v>
      </x:c>
      <x:c r="AF106" s="22" t="str">
        <x:v>["2025秋:2025秋-数学模型-问答记录导出20260502导出_已标注_已更新.xlsx:问答记录:190","2025秋:2025秋-数学模型-问答记录导出20260502导出_已标注_已更新.xlsx:问答记录:395"]</x:v>
      </x:c>
      <x:c r="AG106" s="22" t="str">
        <x:v>evidence/student_evidence.jsonl；student_key=2025秋:259437</x:v>
      </x:c>
      <x:c r="AH106" s="27" t="str"/>
    </x:row>
    <x:row r="107" ht="23" customHeight="1">
      <x:c r="A107" s="21" t="str">
        <x:v>2025秋:259442</x:v>
      </x:c>
      <x:c r="B107" s="22" t="str">
        <x:v>s6</x:v>
      </x:c>
      <x:c r="C107" s="24" t="n">
        <x:v>1</x:v>
      </x:c>
      <x:c r="D107" s="24" t="n">
        <x:v>1</x:v>
      </x:c>
      <x:c r="E107" s="22" t="n">
        <x:v>0.2</x:v>
      </x:c>
      <x:c r="F107" s="22" t="n">
        <x:v>0.2</x:v>
      </x:c>
      <x:c r="G107" s="22" t="n">
        <x:v>0.2</x:v>
      </x:c>
      <x:c r="H107" s="24" t="n">
        <x:v>2</x:v>
      </x:c>
      <x:c r="I107" s="24" t="n">
        <x:v>2</x:v>
      </x:c>
      <x:c r="J107" s="23" t="n">
        <x:f>IF(I107&gt;0,H107/I107,"NA")</x:f>
        <x:v>1</x:v>
      </x:c>
      <x:c r="K107" s="23" t="n">
        <x:f>MAX(0,MIN(1,(E107-'总览与权重'!$B$18)/('总览与权重'!$C$18-'总览与权重'!$B$18)))</x:f>
        <x:v>0.016666666666666666</x:v>
      </x:c>
      <x:c r="L107" s="23" t="n">
        <x:f>MAX(0,MIN(1,(F107-'总览与权重'!$B$19)/('总览与权重'!$C$19-'总览与权重'!$B$19)))</x:f>
        <x:v>0.2</x:v>
      </x:c>
      <x:c r="M107" s="23" t="n">
        <x:f>MAX(0,MIN(1,(G107-'总览与权重'!$B$20)/('总览与权重'!$C$20-'总览与权重'!$B$20)))</x:f>
        <x:v>0.2</x:v>
      </x:c>
      <x:c r="N107" s="23" t="n">
        <x:f>J107</x:f>
        <x:v>1</x:v>
      </x:c>
      <x:c r="O107" s="22" t="str">
        <x:v>否</x:v>
      </x:c>
      <x:c r="P107" s="22" t="str">
        <x:v>NA</x:v>
      </x:c>
      <x:c r="Q107" s="22" t="str">
        <x:v>NA</x:v>
      </x:c>
      <x:c r="R107" s="22" t="str">
        <x:v>NA</x:v>
      </x:c>
      <x:c r="S107" s="23" t="str">
        <x:f>IF(O107="是",MAX(0,MIN(1,(P107-'总览与权重'!$B$21)/('总览与权重'!$C$21-'总览与权重'!$B$21))),"NA")</x:f>
        <x:v>NA</x:v>
      </x:c>
      <x:c r="T107" s="23" t="str">
        <x:f>IF(O107="是",MAX(0,MIN(1,(Q107-'总览与权重'!$B$22)/('总览与权重'!$C$22-'总览与权重'!$B$22))),"NA")</x:f>
        <x:v>NA</x:v>
      </x:c>
      <x:c r="U107" s="23" t="str">
        <x:f>IF(O107="是",MAX(0,MIN(1,(R107-'总览与权重'!$B$23)/('总览与权重'!$C$23-'总览与权重'!$B$23))),"NA")</x:f>
        <x:v>NA</x:v>
      </x:c>
      <x:c r="V107" s="23" t="str">
        <x:f>IF(O107="是",J107,"NA")</x:f>
        <x:v>NA</x:v>
      </x:c>
      <x:c r="W107" s="22" t="str">
        <x:v>无完整领域最早before配对</x:v>
      </x:c>
      <x:c r="X107" s="22" t="n">
        <x:v>2</x:v>
      </x:c>
      <x:c r="Y107" s="22" t="n">
        <x:v>0.6321205588285577</x:v>
      </x:c>
      <x:c r="Z107" s="22" t="n">
        <x:v>0.18</x:v>
      </x:c>
      <x:c r="AA107" s="22" t="n">
        <x:v>0.349056603774</x:v>
      </x:c>
      <x:c r="AB107" s="22" t="str">
        <x:v>知识点理解与概念探究；正负并存或有条件评价（不计能力分）</x:v>
      </x:c>
      <x:c r="AC107" s="22" t="str">
        <x:v>NA</x:v>
      </x:c>
      <x:c r="AD107" s="22" t="str">
        <x:v>NA</x:v>
      </x:c>
      <x:c r="AE107" s="22" t="str">
        <x:v>["S0497"]</x:v>
      </x:c>
      <x:c r="AF107" s="22" t="str">
        <x:v>["2025秋:2025秋-数学模型-问答记录导出20260502导出_已标注_已更新.xlsx:问答记录:509"]</x:v>
      </x:c>
      <x:c r="AG107" s="22" t="str">
        <x:v>evidence/student_evidence.jsonl；student_key=2025秋:259442</x:v>
      </x:c>
      <x:c r="AH107" s="27" t="str"/>
    </x:row>
    <x:row r="108" ht="23" customHeight="1">
      <x:c r="A108" s="21" t="str">
        <x:v>2025秋:259449</x:v>
      </x:c>
      <x:c r="B108" s="22" t="str">
        <x:v>s3</x:v>
      </x:c>
      <x:c r="C108" s="24" t="n">
        <x:v>2</x:v>
      </x:c>
      <x:c r="D108" s="24" t="n">
        <x:v>2</x:v>
      </x:c>
      <x:c r="E108" s="22" t="n">
        <x:v>0.13474373924149036</x:v>
      </x:c>
      <x:c r="F108" s="22" t="n">
        <x:v>0.06737186962074518</x:v>
      </x:c>
      <x:c r="G108" s="22" t="n">
        <x:v>0.13474373924149036</x:v>
      </x:c>
      <x:c r="H108" s="24" t="n">
        <x:v>2</x:v>
      </x:c>
      <x:c r="I108" s="24" t="n">
        <x:v>3</x:v>
      </x:c>
      <x:c r="J108" s="23" t="n">
        <x:f>IF(I108&gt;0,H108/I108,"NA")</x:f>
        <x:v>0.6666666666666666</x:v>
      </x:c>
      <x:c r="K108" s="23" t="n">
        <x:f>MAX(0,MIN(1,(E108-'总览与权重'!$B$18)/('总览与权重'!$C$18-'总览与权重'!$B$18)))</x:f>
        <x:v>0.011228644936790863</x:v>
      </x:c>
      <x:c r="L108" s="23" t="n">
        <x:f>MAX(0,MIN(1,(F108-'总览与权重'!$B$19)/('总览与权重'!$C$19-'总览与权重'!$B$19)))</x:f>
        <x:v>0.06737186962074518</x:v>
      </x:c>
      <x:c r="M108" s="23" t="n">
        <x:f>MAX(0,MIN(1,(G108-'总览与权重'!$B$20)/('总览与权重'!$C$20-'总览与权重'!$B$20)))</x:f>
        <x:v>0.13474373924149036</x:v>
      </x:c>
      <x:c r="N108" s="23" t="n">
        <x:f>J108</x:f>
        <x:v>0.6666666666666666</x:v>
      </x:c>
      <x:c r="O108" s="22" t="str">
        <x:v>是</x:v>
      </x:c>
      <x:c r="P108" s="22" t="n">
        <x:v>-0.08327240869959167</x:v>
      </x:c>
      <x:c r="Q108" s="22" t="n">
        <x:v>-0.05204525543724479</x:v>
      </x:c>
      <x:c r="R108" s="22" t="n">
        <x:v>0.08926646158793097</x:v>
      </x:c>
      <x:c r="S108" s="23" t="n">
        <x:f>IF(O108="是",MAX(0,MIN(1,(P108-'总览与权重'!$B$21)/('总览与权重'!$C$21-'总览与权重'!$B$21))),"NA")</x:f>
        <x:v>0.49653031630418365</x:v>
      </x:c>
      <x:c r="T108" s="23" t="n">
        <x:f>IF(O108="是",MAX(0,MIN(1,(Q108-'总览与权重'!$B$22)/('总览与权重'!$C$22-'总览与权重'!$B$22))),"NA")</x:f>
        <x:v>0.4739773722813776</x:v>
      </x:c>
      <x:c r="U108" s="23" t="n">
        <x:f>IF(O108="是",MAX(0,MIN(1,(R108-'总览与权重'!$B$23)/('总览与权重'!$C$23-'总览与权重'!$B$23))),"NA")</x:f>
        <x:v>0.5446332307939655</x:v>
      </x:c>
      <x:c r="V108" s="23" t="n">
        <x:f>IF(O108="是",J108,"NA")</x:f>
        <x:v>0.6666666666666666</x:v>
      </x:c>
      <x:c r="W108" s="22" t="str">
        <x:v>完整</x:v>
      </x:c>
      <x:c r="X108" s="22" t="n">
        <x:v>2</x:v>
      </x:c>
      <x:c r="Y108" s="22" t="n">
        <x:v>0.6321205588285577</x:v>
      </x:c>
      <x:c r="Z108" s="22" t="n">
        <x:v>-0.25</x:v>
      </x:c>
      <x:c r="AA108" s="22" t="n">
        <x:v>-0.238095238095</x:v>
      </x:c>
      <x:c r="AB108" s="22" t="str">
        <x:v>知识点理解与概念探究；正向评价（不计能力分）</x:v>
      </x:c>
      <x:c r="AC108" s="22" t="str">
        <x:v>NA</x:v>
      </x:c>
      <x:c r="AD108" s="22" t="str">
        <x:v>NA</x:v>
      </x:c>
      <x:c r="AE108" s="22" t="str">
        <x:v>["S0368","S0418"]</x:v>
      </x:c>
      <x:c r="AF108" s="22" t="str">
        <x:v>["2025秋:2025秋-数学模型-问答记录导出20260502导出_已标注_已更新.xlsx:问答记录:379","2025秋:2025秋-数学模型-问答记录导出20260502导出_已标注_已更新.xlsx:问答记录:429"]</x:v>
      </x:c>
      <x:c r="AG108" s="22" t="str">
        <x:v>evidence/student_evidence.jsonl；student_key=2025秋:259449</x:v>
      </x:c>
      <x:c r="AH108" s="27" t="str"/>
    </x:row>
    <x:row r="109" ht="23" customHeight="1">
      <x:c r="A109" s="21" t="str">
        <x:v>2025秋:259452</x:v>
      </x:c>
      <x:c r="B109" s="22" t="str">
        <x:v>s3</x:v>
      </x:c>
      <x:c r="C109" s="24" t="n">
        <x:v>1</x:v>
      </x:c>
      <x:c r="D109" s="24" t="n">
        <x:v>1</x:v>
      </x:c>
      <x:c r="E109" s="22" t="n">
        <x:v>0.13983393727457782</x:v>
      </x:c>
      <x:c r="F109" s="22" t="n">
        <x:v>0.13983393727457782</x:v>
      </x:c>
      <x:c r="G109" s="22" t="n">
        <x:v>0.13983393727457782</x:v>
      </x:c>
      <x:c r="H109" s="24" t="n">
        <x:v>1</x:v>
      </x:c>
      <x:c r="I109" s="24" t="n">
        <x:v>2</x:v>
      </x:c>
      <x:c r="J109" s="23" t="n">
        <x:f>IF(I109&gt;0,H109/I109,"NA")</x:f>
        <x:v>0.5</x:v>
      </x:c>
      <x:c r="K109" s="23" t="n">
        <x:f>MAX(0,MIN(1,(E109-'总览与权重'!$B$18)/('总览与权重'!$C$18-'总览与权重'!$B$18)))</x:f>
        <x:v>0.011652828106214819</x:v>
      </x:c>
      <x:c r="L109" s="23" t="n">
        <x:f>MAX(0,MIN(1,(F109-'总览与权重'!$B$19)/('总览与权重'!$C$19-'总览与权重'!$B$19)))</x:f>
        <x:v>0.13983393727457782</x:v>
      </x:c>
      <x:c r="M109" s="23" t="n">
        <x:f>MAX(0,MIN(1,(G109-'总览与权重'!$B$20)/('总览与权重'!$C$20-'总览与权重'!$B$20)))</x:f>
        <x:v>0.13983393727457782</x:v>
      </x:c>
      <x:c r="N109" s="23" t="n">
        <x:f>J109</x:f>
        <x:v>0.5</x:v>
      </x:c>
      <x:c r="O109" s="22" t="str">
        <x:v>是</x:v>
      </x:c>
      <x:c r="P109" s="22" t="n">
        <x:v>0.05661399577261107</x:v>
      </x:c>
      <x:c r="Q109" s="22" t="n">
        <x:v>0.09435665962101845</x:v>
      </x:c>
      <x:c r="R109" s="22" t="n">
        <x:v>0.09435665962101844</x:v>
      </x:c>
      <x:c r="S109" s="23" t="n">
        <x:f>IF(O109="是",MAX(0,MIN(1,(P109-'总览与权重'!$B$21)/('总览与权重'!$C$21-'总览与权重'!$B$21))),"NA")</x:f>
        <x:v>0.5023589164905254</x:v>
      </x:c>
      <x:c r="T109" s="23" t="n">
        <x:f>IF(O109="是",MAX(0,MIN(1,(Q109-'总览与权重'!$B$22)/('总览与权重'!$C$22-'总览与权重'!$B$22))),"NA")</x:f>
        <x:v>0.5471783298105092</x:v>
      </x:c>
      <x:c r="U109" s="23" t="n">
        <x:f>IF(O109="是",MAX(0,MIN(1,(R109-'总览与权重'!$B$23)/('总览与权重'!$C$23-'总览与权重'!$B$23))),"NA")</x:f>
        <x:v>0.5471783298105092</x:v>
      </x:c>
      <x:c r="V109" s="23" t="n">
        <x:f>IF(O109="是",J109,"NA")</x:f>
        <x:v>0.5</x:v>
      </x:c>
      <x:c r="W109" s="22" t="str">
        <x:v>完整</x:v>
      </x:c>
      <x:c r="X109" s="22" t="n">
        <x:v>1</x:v>
      </x:c>
      <x:c r="Y109" s="22" t="n">
        <x:v>0</x:v>
      </x:c>
      <x:c r="Z109" s="22" t="n">
        <x:v>-0.25</x:v>
      </x:c>
      <x:c r="AA109" s="22" t="n">
        <x:v>-0.119047619048</x:v>
      </x:c>
      <x:c r="AB109" s="22" t="str">
        <x:v>知识点理解与概念探究；正向评价（不计能力分）</x:v>
      </x:c>
      <x:c r="AC109" s="22" t="str">
        <x:v>NA</x:v>
      </x:c>
      <x:c r="AD109" s="22" t="str">
        <x:v>NA</x:v>
      </x:c>
      <x:c r="AE109" s="22" t="str">
        <x:v>["S0501"]</x:v>
      </x:c>
      <x:c r="AF109" s="22" t="str">
        <x:v>["2025秋:2025秋-数学模型-问答记录导出20260502导出_已标注_已更新.xlsx:问答记录:513"]</x:v>
      </x:c>
      <x:c r="AG109" s="22" t="str">
        <x:v>evidence/student_evidence.jsonl；student_key=2025秋:259452</x:v>
      </x:c>
      <x:c r="AH109" s="27" t="str"/>
    </x:row>
    <x:row r="110" ht="23" customHeight="1">
      <x:c r="A110" s="21" t="str">
        <x:v>2025秋:259778</x:v>
      </x:c>
      <x:c r="B110" s="22" t="str">
        <x:v>s3</x:v>
      </x:c>
      <x:c r="C110" s="24" t="n">
        <x:v>2</x:v>
      </x:c>
      <x:c r="D110" s="24" t="n">
        <x:v>1</x:v>
      </x:c>
      <x:c r="E110" s="22" t="n">
        <x:v>0</x:v>
      </x:c>
      <x:c r="F110" s="22" t="n">
        <x:v>0</x:v>
      </x:c>
      <x:c r="G110" s="22" t="n">
        <x:v>0</x:v>
      </x:c>
      <x:c r="H110" s="24" t="n">
        <x:v>2</x:v>
      </x:c>
      <x:c r="I110" s="24" t="n">
        <x:v>2</x:v>
      </x:c>
      <x:c r="J110" s="23" t="n">
        <x:f>IF(I110&gt;0,H110/I110,"NA")</x:f>
        <x:v>1</x:v>
      </x:c>
      <x:c r="K110" s="23" t="n">
        <x:f>MAX(0,MIN(1,(E110-'总览与权重'!$B$18)/('总览与权重'!$C$18-'总览与权重'!$B$18)))</x:f>
        <x:v>0</x:v>
      </x:c>
      <x:c r="L110" s="23" t="n">
        <x:f>MAX(0,MIN(1,(F110-'总览与权重'!$B$19)/('总览与权重'!$C$19-'总览与权重'!$B$19)))</x:f>
        <x:v>0</x:v>
      </x:c>
      <x:c r="M110" s="23" t="n">
        <x:f>MAX(0,MIN(1,(G110-'总览与权重'!$B$20)/('总览与权重'!$C$20-'总览与权重'!$B$20)))</x:f>
        <x:v>0</x:v>
      </x:c>
      <x:c r="N110" s="23" t="n">
        <x:f>J110</x:f>
        <x:v>1</x:v>
      </x:c>
      <x:c r="O110" s="22" t="str">
        <x:v>是</x:v>
      </x:c>
      <x:c r="P110" s="22" t="n">
        <x:v>-0.13683228565235026</x:v>
      </x:c>
      <x:c r="Q110" s="22" t="n">
        <x:v>-0.13683228565235026</x:v>
      </x:c>
      <x:c r="R110" s="22" t="n">
        <x:v>-0.13683228565235026</x:v>
      </x:c>
      <x:c r="S110" s="23" t="n">
        <x:f>IF(O110="是",MAX(0,MIN(1,(P110-'总览与权重'!$B$21)/('总览与权重'!$C$21-'总览与权重'!$B$21))),"NA")</x:f>
        <x:v>0.4942986547644854</x:v>
      </x:c>
      <x:c r="T110" s="23" t="n">
        <x:f>IF(O110="是",MAX(0,MIN(1,(Q110-'总览与权重'!$B$22)/('总览与权重'!$C$22-'总览与权重'!$B$22))),"NA")</x:f>
        <x:v>0.43158385717382486</x:v>
      </x:c>
      <x:c r="U110" s="23" t="n">
        <x:f>IF(O110="是",MAX(0,MIN(1,(R110-'总览与权重'!$B$23)/('总览与权重'!$C$23-'总览与权重'!$B$23))),"NA")</x:f>
        <x:v>0.43158385717382486</x:v>
      </x:c>
      <x:c r="V110" s="23" t="n">
        <x:f>IF(O110="是",J110,"NA")</x:f>
        <x:v>1</x:v>
      </x:c>
      <x:c r="W110" s="22" t="str">
        <x:v>完整</x:v>
      </x:c>
      <x:c r="X110" s="22" t="n">
        <x:v>1</x:v>
      </x:c>
      <x:c r="Y110" s="22" t="n">
        <x:v>0</x:v>
      </x:c>
      <x:c r="Z110" s="22" t="n">
        <x:v>0</x:v>
      </x:c>
      <x:c r="AA110" s="22" t="n">
        <x:v>0</x:v>
      </x:c>
      <x:c r="AB110" s="22" t="str">
        <x:v>知识点理解与概念探究；正向评价（不计能力分）</x:v>
      </x:c>
      <x:c r="AC110" s="22" t="str">
        <x:v>NA</x:v>
      </x:c>
      <x:c r="AD110" s="22" t="str">
        <x:v>NA</x:v>
      </x:c>
      <x:c r="AE110" s="22" t="str">
        <x:v>["S0102","S0432"]</x:v>
      </x:c>
      <x:c r="AF110" s="22" t="str">
        <x:v>["2025秋:2025秋-数学模型-问答记录导出20260502导出_已标注_已更新.xlsx:问答记录:105","2025秋:2025秋-数学模型-问答记录导出20260502导出_已标注_已更新.xlsx:问答记录:444"]</x:v>
      </x:c>
      <x:c r="AG110" s="22" t="str">
        <x:v>evidence/student_evidence.jsonl；student_key=2025秋:259778</x:v>
      </x:c>
      <x:c r="AH110" s="27" t="str"/>
    </x:row>
    <x:row r="111" ht="23" customHeight="1">
      <x:c r="A111" s="21" t="str">
        <x:v>2025秋:259789</x:v>
      </x:c>
      <x:c r="B111" s="22" t="str">
        <x:v>s3</x:v>
      </x:c>
      <x:c r="C111" s="24" t="n">
        <x:v>1</x:v>
      </x:c>
      <x:c r="D111" s="24" t="n">
        <x:v>1</x:v>
      </x:c>
      <x:c r="E111" s="22" t="n">
        <x:v>0.3502220596156387</x:v>
      </x:c>
      <x:c r="F111" s="22" t="n">
        <x:v>0.3502220596156387</x:v>
      </x:c>
      <x:c r="G111" s="22" t="n">
        <x:v>0.3502220596156387</x:v>
      </x:c>
      <x:c r="H111" s="24" t="n">
        <x:v>1</x:v>
      </x:c>
      <x:c r="I111" s="24" t="n">
        <x:v>1</x:v>
      </x:c>
      <x:c r="J111" s="23" t="n">
        <x:f>IF(I111&gt;0,H111/I111,"NA")</x:f>
        <x:v>1</x:v>
      </x:c>
      <x:c r="K111" s="23" t="n">
        <x:f>MAX(0,MIN(1,(E111-'总览与权重'!$B$18)/('总览与权重'!$C$18-'总览与权重'!$B$18)))</x:f>
        <x:v>0.029185171634636558</x:v>
      </x:c>
      <x:c r="L111" s="23" t="n">
        <x:f>MAX(0,MIN(1,(F111-'总览与权重'!$B$19)/('总览与权重'!$C$19-'总览与权重'!$B$19)))</x:f>
        <x:v>0.3502220596156387</x:v>
      </x:c>
      <x:c r="M111" s="23" t="n">
        <x:f>MAX(0,MIN(1,(G111-'总览与权重'!$B$20)/('总览与权重'!$C$20-'总览与权重'!$B$20)))</x:f>
        <x:v>0.3502220596156387</x:v>
      </x:c>
      <x:c r="N111" s="23" t="n">
        <x:f>J111</x:f>
        <x:v>1</x:v>
      </x:c>
      <x:c r="O111" s="22" t="str">
        <x:v>是</x:v>
      </x:c>
      <x:c r="P111" s="22" t="n">
        <x:v>0.21341813285954894</x:v>
      </x:c>
      <x:c r="Q111" s="22" t="n">
        <x:v>0.21341813285954894</x:v>
      </x:c>
      <x:c r="R111" s="22" t="n">
        <x:v>0.21341813285954894</x:v>
      </x:c>
      <x:c r="S111" s="23" t="n">
        <x:f>IF(O111="是",MAX(0,MIN(1,(P111-'总览与权重'!$B$21)/('总览与权重'!$C$21-'总览与权重'!$B$21))),"NA")</x:f>
        <x:v>0.5088924222024812</x:v>
      </x:c>
      <x:c r="T111" s="23" t="n">
        <x:f>IF(O111="是",MAX(0,MIN(1,(Q111-'总览与权重'!$B$22)/('总览与权重'!$C$22-'总览与权重'!$B$22))),"NA")</x:f>
        <x:v>0.6067090664297745</x:v>
      </x:c>
      <x:c r="U111" s="23" t="n">
        <x:f>IF(O111="是",MAX(0,MIN(1,(R111-'总览与权重'!$B$23)/('总览与权重'!$C$23-'总览与权重'!$B$23))),"NA")</x:f>
        <x:v>0.6067090664297745</x:v>
      </x:c>
      <x:c r="V111" s="23" t="n">
        <x:f>IF(O111="是",J111,"NA")</x:f>
        <x:v>1</x:v>
      </x:c>
      <x:c r="W111" s="22" t="str">
        <x:v>完整</x:v>
      </x:c>
      <x:c r="X111" s="22" t="n">
        <x:v>1</x:v>
      </x:c>
      <x:c r="Y111" s="22" t="n">
        <x:v>0</x:v>
      </x:c>
      <x:c r="Z111" s="22" t="n">
        <x:v>-0.25</x:v>
      </x:c>
      <x:c r="AA111" s="22" t="n">
        <x:v>-0.119047619048</x:v>
      </x:c>
      <x:c r="AB111" s="22" t="str">
        <x:v>知识点理解与概念探究；正负并存或有条件评价（不计能力分）</x:v>
      </x:c>
      <x:c r="AC111" s="22" t="str">
        <x:v>NA</x:v>
      </x:c>
      <x:c r="AD111" s="22" t="str">
        <x:v>NA</x:v>
      </x:c>
      <x:c r="AE111" s="22" t="str">
        <x:v>["S0022"]</x:v>
      </x:c>
      <x:c r="AF111" s="22" t="str">
        <x:v>["2025秋:2025秋-数学模型-问答记录导出20260502导出_已标注_已更新.xlsx:问答记录:24"]</x:v>
      </x:c>
      <x:c r="AG111" s="22" t="str">
        <x:v>evidence/student_evidence.jsonl；student_key=2025秋:259789</x:v>
      </x:c>
      <x:c r="AH111" s="27" t="str"/>
    </x:row>
    <x:row r="112" ht="23" customHeight="1">
      <x:c r="A112" s="21" t="str">
        <x:v>2025秋:259790</x:v>
      </x:c>
      <x:c r="B112" s="22" t="str">
        <x:v>s3</x:v>
      </x:c>
      <x:c r="C112" s="24" t="n">
        <x:v>1</x:v>
      </x:c>
      <x:c r="D112" s="24" t="n">
        <x:v>1</x:v>
      </x:c>
      <x:c r="E112" s="22" t="n">
        <x:v>0.4507124617453851</x:v>
      </x:c>
      <x:c r="F112" s="22" t="n">
        <x:v>0.4507124617453851</x:v>
      </x:c>
      <x:c r="G112" s="22" t="n">
        <x:v>0.4507124617453851</x:v>
      </x:c>
      <x:c r="H112" s="24" t="n">
        <x:v>2</x:v>
      </x:c>
      <x:c r="I112" s="24" t="n">
        <x:v>3</x:v>
      </x:c>
      <x:c r="J112" s="23" t="n">
        <x:f>IF(I112&gt;0,H112/I112,"NA")</x:f>
        <x:v>0.6666666666666666</x:v>
      </x:c>
      <x:c r="K112" s="23" t="n">
        <x:f>MAX(0,MIN(1,(E112-'总览与权重'!$B$18)/('总览与权重'!$C$18-'总览与权重'!$B$18)))</x:f>
        <x:v>0.037559371812115425</x:v>
      </x:c>
      <x:c r="L112" s="23" t="n">
        <x:f>MAX(0,MIN(1,(F112-'总览与权重'!$B$19)/('总览与权重'!$C$19-'总览与权重'!$B$19)))</x:f>
        <x:v>0.4507124617453851</x:v>
      </x:c>
      <x:c r="M112" s="23" t="n">
        <x:f>MAX(0,MIN(1,(G112-'总览与权重'!$B$20)/('总览与权重'!$C$20-'总览与权重'!$B$20)))</x:f>
        <x:v>0.4507124617453851</x:v>
      </x:c>
      <x:c r="N112" s="23" t="n">
        <x:f>J112</x:f>
        <x:v>0.6666666666666666</x:v>
      </x:c>
      <x:c r="O112" s="22" t="str">
        <x:v>否</x:v>
      </x:c>
      <x:c r="P112" s="22" t="str">
        <x:v>NA</x:v>
      </x:c>
      <x:c r="Q112" s="22" t="str">
        <x:v>NA</x:v>
      </x:c>
      <x:c r="R112" s="22" t="str">
        <x:v>NA</x:v>
      </x:c>
      <x:c r="S112" s="23" t="str">
        <x:f>IF(O112="是",MAX(0,MIN(1,(P112-'总览与权重'!$B$21)/('总览与权重'!$C$21-'总览与权重'!$B$21))),"NA")</x:f>
        <x:v>NA</x:v>
      </x:c>
      <x:c r="T112" s="23" t="str">
        <x:f>IF(O112="是",MAX(0,MIN(1,(Q112-'总览与权重'!$B$22)/('总览与权重'!$C$22-'总览与权重'!$B$22))),"NA")</x:f>
        <x:v>NA</x:v>
      </x:c>
      <x:c r="U112" s="23" t="str">
        <x:f>IF(O112="是",MAX(0,MIN(1,(R112-'总览与权重'!$B$23)/('总览与权重'!$C$23-'总览与权重'!$B$23))),"NA")</x:f>
        <x:v>NA</x:v>
      </x:c>
      <x:c r="V112" s="23" t="str">
        <x:f>IF(O112="是",J112,"NA")</x:f>
        <x:v>NA</x:v>
      </x:c>
      <x:c r="W112" s="22" t="str">
        <x:v>无完整领域最早before配对</x:v>
      </x:c>
      <x:c r="X112" s="22" t="n">
        <x:v>2</x:v>
      </x:c>
      <x:c r="Y112" s="22" t="n">
        <x:v>0.6321205588285577</x:v>
      </x:c>
      <x:c r="Z112" s="22" t="n">
        <x:v>0.05</x:v>
      </x:c>
      <x:c r="AA112" s="22" t="n">
        <x:v>0.547619047619</x:v>
      </x:c>
      <x:c r="AB112" s="22" t="str">
        <x:v>课程答疑复习与资源使用；正向评价（不计能力分）</x:v>
      </x:c>
      <x:c r="AC112" s="22" t="str">
        <x:v>NA</x:v>
      </x:c>
      <x:c r="AD112" s="22" t="str">
        <x:v>NA</x:v>
      </x:c>
      <x:c r="AE112" s="22" t="str">
        <x:v>["S0060"]</x:v>
      </x:c>
      <x:c r="AF112" s="22" t="str">
        <x:v>["2025秋:2025秋-数学模型-问答记录导出20260502导出_已标注_已更新.xlsx:问答记录:63"]</x:v>
      </x:c>
      <x:c r="AG112" s="22" t="str">
        <x:v>evidence/student_evidence.jsonl；student_key=2025秋:259790</x:v>
      </x:c>
      <x:c r="AH112" s="27" t="str"/>
    </x:row>
    <x:row r="113" ht="48" customHeight="1">
      <x:c r="A113" s="21" t="str">
        <x:v>2025秋:259843</x:v>
      </x:c>
      <x:c r="B113" s="22" t="str">
        <x:v>s3</x:v>
      </x:c>
      <x:c r="C113" s="24" t="n">
        <x:v>1</x:v>
      </x:c>
      <x:c r="D113" s="24" t="n">
        <x:v>1</x:v>
      </x:c>
      <x:c r="E113" s="22" t="n">
        <x:v>0</x:v>
      </x:c>
      <x:c r="F113" s="22" t="n">
        <x:v>0</x:v>
      </x:c>
      <x:c r="G113" s="22" t="n">
        <x:v>0</x:v>
      </x:c>
      <x:c r="H113" s="24" t="n">
        <x:v>1</x:v>
      </x:c>
      <x:c r="I113" s="24" t="n">
        <x:v>1</x:v>
      </x:c>
      <x:c r="J113" s="23" t="n">
        <x:f>IF(I113&gt;0,H113/I113,"NA")</x:f>
        <x:v>1</x:v>
      </x:c>
      <x:c r="K113" s="23" t="n">
        <x:f>MAX(0,MIN(1,(E113-'总览与权重'!$B$18)/('总览与权重'!$C$18-'总览与权重'!$B$18)))</x:f>
        <x:v>0</x:v>
      </x:c>
      <x:c r="L113" s="23" t="n">
        <x:f>MAX(0,MIN(1,(F113-'总览与权重'!$B$19)/('总览与权重'!$C$19-'总览与权重'!$B$19)))</x:f>
        <x:v>0</x:v>
      </x:c>
      <x:c r="M113" s="23" t="n">
        <x:f>MAX(0,MIN(1,(G113-'总览与权重'!$B$20)/('总览与权重'!$C$20-'总览与权重'!$B$20)))</x:f>
        <x:v>0</x:v>
      </x:c>
      <x:c r="N113" s="23" t="n">
        <x:f>J113</x:f>
        <x:v>1</x:v>
      </x:c>
      <x:c r="O113" s="22" t="str">
        <x:v>是</x:v>
      </x:c>
      <x:c r="P113" s="22" t="n">
        <x:v>-0.13680392675608974</x:v>
      </x:c>
      <x:c r="Q113" s="22" t="n">
        <x:v>-0.13680392675608974</x:v>
      </x:c>
      <x:c r="R113" s="22" t="n">
        <x:v>-0.13680392675608974</x:v>
      </x:c>
      <x:c r="S113" s="23" t="n">
        <x:f>IF(O113="是",MAX(0,MIN(1,(P113-'总览与权重'!$B$21)/('总览与权重'!$C$21-'总览与权重'!$B$21))),"NA")</x:f>
        <x:v>0.49429983638516295</x:v>
      </x:c>
      <x:c r="T113" s="23" t="n">
        <x:f>IF(O113="是",MAX(0,MIN(1,(Q113-'总览与权重'!$B$22)/('总览与权重'!$C$22-'总览与权重'!$B$22))),"NA")</x:f>
        <x:v>0.4315980366219551</x:v>
      </x:c>
      <x:c r="U113" s="23" t="n">
        <x:f>IF(O113="是",MAX(0,MIN(1,(R113-'总览与权重'!$B$23)/('总览与权重'!$C$23-'总览与权重'!$B$23))),"NA")</x:f>
        <x:v>0.4315980366219551</x:v>
      </x:c>
      <x:c r="V113" s="23" t="n">
        <x:f>IF(O113="是",J113,"NA")</x:f>
        <x:v>1</x:v>
      </x:c>
      <x:c r="W113" s="22" t="str">
        <x:v>完整</x:v>
      </x:c>
      <x:c r="X113" s="22" t="n">
        <x:v>2</x:v>
      </x:c>
      <x:c r="Y113" s="22" t="n">
        <x:v>0.6321205588285577</x:v>
      </x:c>
      <x:c r="Z113" s="22" t="n">
        <x:v>0</x:v>
      </x:c>
      <x:c r="AA113" s="22" t="n">
        <x:v>0</x:v>
      </x:c>
      <x:c r="AB113" s="22" t="str">
        <x:v>知识点理解与概念探究；正向评价（不计能力分）</x:v>
      </x:c>
      <x:c r="AC113" s="22" t="str">
        <x:v>NA</x:v>
      </x:c>
      <x:c r="AD113" s="22" t="str">
        <x:v>NA</x:v>
      </x:c>
      <x:c r="AE113" s="22" t="str">
        <x:v>["S0080"]</x:v>
      </x:c>
      <x:c r="AF113" s="22" t="str">
        <x:v>["2025秋:2025秋-数学模型-问答记录导出20260502导出_已标注_已更新.xlsx:问答记录:83"]</x:v>
      </x:c>
      <x:c r="AG113" s="22" t="str">
        <x:v>evidence/student_evidence.jsonl；student_key=2025秋:259843</x:v>
      </x:c>
      <x:c r="AH113" s="27" t="str">
        <x:v>同一锚点起止1条：未形成独立重复测量。</x:v>
      </x:c>
    </x:row>
    <x:row r="114" ht="48" customHeight="1">
      <x:c r="A114" s="21" t="str">
        <x:v>2025秋:259851</x:v>
      </x:c>
      <x:c r="B114" s="22" t="str">
        <x:v>s3</x:v>
      </x:c>
      <x:c r="C114" s="24" t="n">
        <x:v>1</x:v>
      </x:c>
      <x:c r="D114" s="24" t="n">
        <x:v>1</x:v>
      </x:c>
      <x:c r="E114" s="22" t="n">
        <x:v>0.10721531946577315</x:v>
      </x:c>
      <x:c r="F114" s="22" t="n">
        <x:v>0.10721531946577315</x:v>
      </x:c>
      <x:c r="G114" s="22" t="n">
        <x:v>0.10721531946577315</x:v>
      </x:c>
      <x:c r="H114" s="24" t="n">
        <x:v>2</x:v>
      </x:c>
      <x:c r="I114" s="24" t="n">
        <x:v>4</x:v>
      </x:c>
      <x:c r="J114" s="23" t="n">
        <x:f>IF(I114&gt;0,H114/I114,"NA")</x:f>
        <x:v>0.5</x:v>
      </x:c>
      <x:c r="K114" s="23" t="n">
        <x:f>MAX(0,MIN(1,(E114-'总览与权重'!$B$18)/('总览与权重'!$C$18-'总览与权重'!$B$18)))</x:f>
        <x:v>0.008934609955481095</x:v>
      </x:c>
      <x:c r="L114" s="23" t="n">
        <x:f>MAX(0,MIN(1,(F114-'总览与权重'!$B$19)/('总览与权重'!$C$19-'总览与权重'!$B$19)))</x:f>
        <x:v>0.10721531946577315</x:v>
      </x:c>
      <x:c r="M114" s="23" t="n">
        <x:f>MAX(0,MIN(1,(G114-'总览与权重'!$B$20)/('总览与权重'!$C$20-'总览与权重'!$B$20)))</x:f>
        <x:v>0.10721531946577315</x:v>
      </x:c>
      <x:c r="N114" s="23" t="n">
        <x:f>J114</x:f>
        <x:v>0.5</x:v>
      </x:c>
      <x:c r="O114" s="22" t="str">
        <x:v>否</x:v>
      </x:c>
      <x:c r="P114" s="22" t="str">
        <x:v>NA</x:v>
      </x:c>
      <x:c r="Q114" s="22" t="str">
        <x:v>NA</x:v>
      </x:c>
      <x:c r="R114" s="22" t="str">
        <x:v>NA</x:v>
      </x:c>
      <x:c r="S114" s="23" t="str">
        <x:f>IF(O114="是",MAX(0,MIN(1,(P114-'总览与权重'!$B$21)/('总览与权重'!$C$21-'总览与权重'!$B$21))),"NA")</x:f>
        <x:v>NA</x:v>
      </x:c>
      <x:c r="T114" s="23" t="str">
        <x:f>IF(O114="是",MAX(0,MIN(1,(Q114-'总览与权重'!$B$22)/('总览与权重'!$C$22-'总览与权重'!$B$22))),"NA")</x:f>
        <x:v>NA</x:v>
      </x:c>
      <x:c r="U114" s="23" t="str">
        <x:f>IF(O114="是",MAX(0,MIN(1,(R114-'总览与权重'!$B$23)/('总览与权重'!$C$23-'总览与权重'!$B$23))),"NA")</x:f>
        <x:v>NA</x:v>
      </x:c>
      <x:c r="V114" s="23" t="str">
        <x:f>IF(O114="是",J114,"NA")</x:f>
        <x:v>NA</x:v>
      </x:c>
      <x:c r="W114" s="22" t="str">
        <x:v>无完整领域最早before配对</x:v>
      </x:c>
      <x:c r="X114" s="22" t="n">
        <x:v>1</x:v>
      </x:c>
      <x:c r="Y114" s="22" t="n">
        <x:v>0</x:v>
      </x:c>
      <x:c r="Z114" s="22" t="n">
        <x:v>0.3</x:v>
      </x:c>
      <x:c r="AA114" s="22" t="n">
        <x:v>0.666666666667</x:v>
      </x:c>
      <x:c r="AB114" s="22" t="str">
        <x:v>知识点理解与概念探究；正向评价（不计能力分）</x:v>
      </x:c>
      <x:c r="AC114" s="22" t="str">
        <x:v>NA</x:v>
      </x:c>
      <x:c r="AD114" s="22" t="str">
        <x:v>NA</x:v>
      </x:c>
      <x:c r="AE114" s="22" t="str">
        <x:v>["S0057"]</x:v>
      </x:c>
      <x:c r="AF114" s="22" t="str">
        <x:v>["2025秋:2025秋-数学模型-问答记录导出20260502导出_已标注_已更新.xlsx:问答记录:59"]</x:v>
      </x:c>
      <x:c r="AG114" s="22" t="str">
        <x:v>evidence/student_evidence.jsonl；student_key=2025秋:259851</x:v>
      </x:c>
      <x:c r="AH114" s="27" t="str">
        <x:v>同一锚点起止1条：未形成独立重复测量。</x:v>
      </x:c>
    </x:row>
    <x:row r="115" ht="23" customHeight="1">
      <x:c r="A115" s="21" t="str">
        <x:v>2025秋:259854</x:v>
      </x:c>
      <x:c r="B115" s="22" t="str">
        <x:v>s3</x:v>
      </x:c>
      <x:c r="C115" s="24" t="n">
        <x:v>1</x:v>
      </x:c>
      <x:c r="D115" s="24" t="n">
        <x:v>1</x:v>
      </x:c>
      <x:c r="E115" s="22" t="n">
        <x:v>0.15597735597735593</x:v>
      </x:c>
      <x:c r="F115" s="22" t="n">
        <x:v>0.15597735597735593</x:v>
      </x:c>
      <x:c r="G115" s="22" t="n">
        <x:v>0.15597735597735593</x:v>
      </x:c>
      <x:c r="H115" s="24" t="n">
        <x:v>1</x:v>
      </x:c>
      <x:c r="I115" s="24" t="n">
        <x:v>2</x:v>
      </x:c>
      <x:c r="J115" s="23" t="n">
        <x:f>IF(I115&gt;0,H115/I115,"NA")</x:f>
        <x:v>0.5</x:v>
      </x:c>
      <x:c r="K115" s="23" t="n">
        <x:f>MAX(0,MIN(1,(E115-'总览与权重'!$B$18)/('总览与权重'!$C$18-'总览与权重'!$B$18)))</x:f>
        <x:v>0.012998112998112994</x:v>
      </x:c>
      <x:c r="L115" s="23" t="n">
        <x:f>MAX(0,MIN(1,(F115-'总览与权重'!$B$19)/('总览与权重'!$C$19-'总览与权重'!$B$19)))</x:f>
        <x:v>0.15597735597735593</x:v>
      </x:c>
      <x:c r="M115" s="23" t="n">
        <x:f>MAX(0,MIN(1,(G115-'总览与权重'!$B$20)/('总览与权重'!$C$20-'总览与权重'!$B$20)))</x:f>
        <x:v>0.15597735597735593</x:v>
      </x:c>
      <x:c r="N115" s="23" t="n">
        <x:f>J115</x:f>
        <x:v>0.5</x:v>
      </x:c>
      <x:c r="O115" s="22" t="str">
        <x:v>否</x:v>
      </x:c>
      <x:c r="P115" s="22" t="str">
        <x:v>NA</x:v>
      </x:c>
      <x:c r="Q115" s="22" t="str">
        <x:v>NA</x:v>
      </x:c>
      <x:c r="R115" s="22" t="str">
        <x:v>NA</x:v>
      </x:c>
      <x:c r="S115" s="23" t="str">
        <x:f>IF(O115="是",MAX(0,MIN(1,(P115-'总览与权重'!$B$21)/('总览与权重'!$C$21-'总览与权重'!$B$21))),"NA")</x:f>
        <x:v>NA</x:v>
      </x:c>
      <x:c r="T115" s="23" t="str">
        <x:f>IF(O115="是",MAX(0,MIN(1,(Q115-'总览与权重'!$B$22)/('总览与权重'!$C$22-'总览与权重'!$B$22))),"NA")</x:f>
        <x:v>NA</x:v>
      </x:c>
      <x:c r="U115" s="23" t="str">
        <x:f>IF(O115="是",MAX(0,MIN(1,(R115-'总览与权重'!$B$23)/('总览与权重'!$C$23-'总览与权重'!$B$23))),"NA")</x:f>
        <x:v>NA</x:v>
      </x:c>
      <x:c r="V115" s="23" t="str">
        <x:f>IF(O115="是",J115,"NA")</x:f>
        <x:v>NA</x:v>
      </x:c>
      <x:c r="W115" s="22" t="str">
        <x:v>无完整领域最早before配对</x:v>
      </x:c>
      <x:c r="X115" s="22" t="n">
        <x:v>1</x:v>
      </x:c>
      <x:c r="Y115" s="22" t="n">
        <x:v>0</x:v>
      </x:c>
      <x:c r="Z115" s="22" t="n">
        <x:v>0.3</x:v>
      </x:c>
      <x:c r="AA115" s="22" t="n">
        <x:v>0.666666666667</x:v>
      </x:c>
      <x:c r="AB115" s="22" t="str">
        <x:v>知识点理解与概念探究；正向评价（不计能力分）</x:v>
      </x:c>
      <x:c r="AC115" s="22" t="str">
        <x:v>NA</x:v>
      </x:c>
      <x:c r="AD115" s="22" t="str">
        <x:v>NA</x:v>
      </x:c>
      <x:c r="AE115" s="22" t="str">
        <x:v>["S0274"]</x:v>
      </x:c>
      <x:c r="AF115" s="22" t="str">
        <x:v>["2025秋:2025秋-数学模型-问答记录导出20260502导出_已标注_已更新.xlsx:问答记录:282"]</x:v>
      </x:c>
      <x:c r="AG115" s="22" t="str">
        <x:v>evidence/student_evidence.jsonl；student_key=2025秋:259854</x:v>
      </x:c>
      <x:c r="AH115" s="27" t="str"/>
    </x:row>
    <x:row r="116" ht="23" customHeight="1">
      <x:c r="A116" s="21" t="str">
        <x:v>2025秋:259863</x:v>
      </x:c>
      <x:c r="B116" s="22" t="str">
        <x:v>s3</x:v>
      </x:c>
      <x:c r="C116" s="24" t="n">
        <x:v>2</x:v>
      </x:c>
      <x:c r="D116" s="24" t="n">
        <x:v>1</x:v>
      </x:c>
      <x:c r="E116" s="22" t="n">
        <x:v>0.28612964660060725</x:v>
      </x:c>
      <x:c r="F116" s="22" t="n">
        <x:v>0.28612964660060725</x:v>
      </x:c>
      <x:c r="G116" s="22" t="n">
        <x:v>0.28612964660060725</x:v>
      </x:c>
      <x:c r="H116" s="24" t="n">
        <x:v>2</x:v>
      </x:c>
      <x:c r="I116" s="24" t="n">
        <x:v>3</x:v>
      </x:c>
      <x:c r="J116" s="23" t="n">
        <x:f>IF(I116&gt;0,H116/I116,"NA")</x:f>
        <x:v>0.6666666666666666</x:v>
      </x:c>
      <x:c r="K116" s="23" t="n">
        <x:f>MAX(0,MIN(1,(E116-'总览与权重'!$B$18)/('总览与权重'!$C$18-'总览与权重'!$B$18)))</x:f>
        <x:v>0.02384413721671727</x:v>
      </x:c>
      <x:c r="L116" s="23" t="n">
        <x:f>MAX(0,MIN(1,(F116-'总览与权重'!$B$19)/('总览与权重'!$C$19-'总览与权重'!$B$19)))</x:f>
        <x:v>0.28612964660060725</x:v>
      </x:c>
      <x:c r="M116" s="23" t="n">
        <x:f>MAX(0,MIN(1,(G116-'总览与权重'!$B$20)/('总览与权重'!$C$20-'总览与权重'!$B$20)))</x:f>
        <x:v>0.28612964660060725</x:v>
      </x:c>
      <x:c r="N116" s="23" t="n">
        <x:f>J116</x:f>
        <x:v>0.6666666666666666</x:v>
      </x:c>
      <x:c r="O116" s="22" t="str">
        <x:v>是</x:v>
      </x:c>
      <x:c r="P116" s="22" t="n">
        <x:v>0.1537256148676679</x:v>
      </x:c>
      <x:c r="Q116" s="22" t="n">
        <x:v>0.19215701858458487</x:v>
      </x:c>
      <x:c r="R116" s="22" t="n">
        <x:v>0.19215701858458487</x:v>
      </x:c>
      <x:c r="S116" s="23" t="n">
        <x:f>IF(O116="是",MAX(0,MIN(1,(P116-'总览与权重'!$B$21)/('总览与权重'!$C$21-'总览与权重'!$B$21))),"NA")</x:f>
        <x:v>0.5064052339528194</x:v>
      </x:c>
      <x:c r="T116" s="23" t="n">
        <x:f>IF(O116="是",MAX(0,MIN(1,(Q116-'总览与权重'!$B$22)/('总览与权重'!$C$22-'总览与权重'!$B$22))),"NA")</x:f>
        <x:v>0.5960785092922924</x:v>
      </x:c>
      <x:c r="U116" s="23" t="n">
        <x:f>IF(O116="是",MAX(0,MIN(1,(R116-'总览与权重'!$B$23)/('总览与权重'!$C$23-'总览与权重'!$B$23))),"NA")</x:f>
        <x:v>0.5960785092922924</x:v>
      </x:c>
      <x:c r="V116" s="23" t="n">
        <x:f>IF(O116="是",J116,"NA")</x:f>
        <x:v>0.6666666666666666</x:v>
      </x:c>
      <x:c r="W116" s="22" t="str">
        <x:v>完整</x:v>
      </x:c>
      <x:c r="X116" s="22" t="n">
        <x:v>2</x:v>
      </x:c>
      <x:c r="Y116" s="22" t="n">
        <x:v>0.6321205588285577</x:v>
      </x:c>
      <x:c r="Z116" s="22" t="n">
        <x:v>-0.25</x:v>
      </x:c>
      <x:c r="AA116" s="22" t="n">
        <x:v>-0.238095238095</x:v>
      </x:c>
      <x:c r="AB116" s="22" t="str">
        <x:v>知识点理解与概念探究；正向评价（不计能力分）</x:v>
      </x:c>
      <x:c r="AC116" s="22" t="str">
        <x:v>NA</x:v>
      </x:c>
      <x:c r="AD116" s="22" t="str">
        <x:v>NA</x:v>
      </x:c>
      <x:c r="AE116" s="22" t="str">
        <x:v>["S0268","S0278"]</x:v>
      </x:c>
      <x:c r="AF116" s="22" t="str">
        <x:v>["2025秋:2025秋-数学模型-问答记录导出20260502导出_已标注_已更新.xlsx:问答记录:276","2025秋:2025秋-数学模型-问答记录导出20260502导出_已标注_已更新.xlsx:问答记录:286"]</x:v>
      </x:c>
      <x:c r="AG116" s="22" t="str">
        <x:v>evidence/student_evidence.jsonl；student_key=2025秋:259863</x:v>
      </x:c>
      <x:c r="AH116" s="27" t="str"/>
    </x:row>
    <x:row r="117" ht="23" customHeight="1">
      <x:c r="A117" s="21" t="str">
        <x:v>2025秋:259865</x:v>
      </x:c>
      <x:c r="B117" s="22" t="str">
        <x:v>s3</x:v>
      </x:c>
      <x:c r="C117" s="24" t="n">
        <x:v>1</x:v>
      </x:c>
      <x:c r="D117" s="24" t="n">
        <x:v>1</x:v>
      </x:c>
      <x:c r="E117" s="22" t="n">
        <x:v>0.32470914657481825</x:v>
      </x:c>
      <x:c r="F117" s="22" t="n">
        <x:v>0.32470914657481825</x:v>
      </x:c>
      <x:c r="G117" s="22" t="n">
        <x:v>0.32470914657481825</x:v>
      </x:c>
      <x:c r="H117" s="24" t="n">
        <x:v>1</x:v>
      </x:c>
      <x:c r="I117" s="24" t="n">
        <x:v>1</x:v>
      </x:c>
      <x:c r="J117" s="23" t="n">
        <x:f>IF(I117&gt;0,H117/I117,"NA")</x:f>
        <x:v>1</x:v>
      </x:c>
      <x:c r="K117" s="23" t="n">
        <x:f>MAX(0,MIN(1,(E117-'总览与权重'!$B$18)/('总览与权重'!$C$18-'总览与权重'!$B$18)))</x:f>
        <x:v>0.02705909554790152</x:v>
      </x:c>
      <x:c r="L117" s="23" t="n">
        <x:f>MAX(0,MIN(1,(F117-'总览与权重'!$B$19)/('总览与权重'!$C$19-'总览与权重'!$B$19)))</x:f>
        <x:v>0.32470914657481825</x:v>
      </x:c>
      <x:c r="M117" s="23" t="n">
        <x:f>MAX(0,MIN(1,(G117-'总览与权重'!$B$20)/('总览与权重'!$C$20-'总览与权重'!$B$20)))</x:f>
        <x:v>0.32470914657481825</x:v>
      </x:c>
      <x:c r="N117" s="23" t="n">
        <x:f>J117</x:f>
        <x:v>1</x:v>
      </x:c>
      <x:c r="O117" s="22" t="str">
        <x:v>是</x:v>
      </x:c>
      <x:c r="P117" s="22" t="n">
        <x:v>0.2068241609340583</x:v>
      </x:c>
      <x:c r="Q117" s="22" t="n">
        <x:v>0.2068241609340583</x:v>
      </x:c>
      <x:c r="R117" s="22" t="n">
        <x:v>0.2068241609340583</x:v>
      </x:c>
      <x:c r="S117" s="23" t="n">
        <x:f>IF(O117="是",MAX(0,MIN(1,(P117-'总览与权重'!$B$21)/('总览与权重'!$C$21-'总览与权重'!$B$21))),"NA")</x:f>
        <x:v>0.5086176733722524</x:v>
      </x:c>
      <x:c r="T117" s="23" t="n">
        <x:f>IF(O117="是",MAX(0,MIN(1,(Q117-'总览与权重'!$B$22)/('总览与权重'!$C$22-'总览与权重'!$B$22))),"NA")</x:f>
        <x:v>0.6034120804670291</x:v>
      </x:c>
      <x:c r="U117" s="23" t="n">
        <x:f>IF(O117="是",MAX(0,MIN(1,(R117-'总览与权重'!$B$23)/('总览与权重'!$C$23-'总览与权重'!$B$23))),"NA")</x:f>
        <x:v>0.6034120804670291</x:v>
      </x:c>
      <x:c r="V117" s="23" t="n">
        <x:f>IF(O117="是",J117,"NA")</x:f>
        <x:v>1</x:v>
      </x:c>
      <x:c r="W117" s="22" t="str">
        <x:v>完整</x:v>
      </x:c>
      <x:c r="X117" s="22" t="n">
        <x:v>2</x:v>
      </x:c>
      <x:c r="Y117" s="22" t="n">
        <x:v>0.6321205588285577</x:v>
      </x:c>
      <x:c r="Z117" s="22" t="n">
        <x:v>-0.25</x:v>
      </x:c>
      <x:c r="AA117" s="22" t="n">
        <x:v>-0.119047619048</x:v>
      </x:c>
      <x:c r="AB117" s="22" t="str">
        <x:v>知识点理解与概念探究；正向评价（不计能力分）</x:v>
      </x:c>
      <x:c r="AC117" s="22" t="str">
        <x:v>NA</x:v>
      </x:c>
      <x:c r="AD117" s="22" t="str">
        <x:v>NA</x:v>
      </x:c>
      <x:c r="AE117" s="22" t="str">
        <x:v>["S0397"]</x:v>
      </x:c>
      <x:c r="AF117" s="22" t="str">
        <x:v>["2025秋:2025秋-数学模型-问答记录导出20260502导出_已标注_已更新.xlsx:问答记录:408"]</x:v>
      </x:c>
      <x:c r="AG117" s="22" t="str">
        <x:v>evidence/student_evidence.jsonl；student_key=2025秋:259865</x:v>
      </x:c>
      <x:c r="AH117" s="27" t="str"/>
    </x:row>
    <x:row r="118" ht="48" customHeight="1">
      <x:c r="A118" s="21" t="str">
        <x:v>2025秋:259869</x:v>
      </x:c>
      <x:c r="B118" s="22" t="str">
        <x:v>s6</x:v>
      </x:c>
      <x:c r="C118" s="24" t="n">
        <x:v>1</x:v>
      </x:c>
      <x:c r="D118" s="24" t="n">
        <x:v>1</x:v>
      </x:c>
      <x:c r="E118" s="22" t="n">
        <x:v>1</x:v>
      </x:c>
      <x:c r="F118" s="22" t="n">
        <x:v>1</x:v>
      </x:c>
      <x:c r="G118" s="22" t="n">
        <x:v>1</x:v>
      </x:c>
      <x:c r="H118" s="24" t="n">
        <x:v>1</x:v>
      </x:c>
      <x:c r="I118" s="24" t="n">
        <x:v>2</x:v>
      </x:c>
      <x:c r="J118" s="23" t="n">
        <x:f>IF(I118&gt;0,H118/I118,"NA")</x:f>
        <x:v>0.5</x:v>
      </x:c>
      <x:c r="K118" s="23" t="n">
        <x:f>MAX(0,MIN(1,(E118-'总览与权重'!$B$18)/('总览与权重'!$C$18-'总览与权重'!$B$18)))</x:f>
        <x:v>0.08333333333333333</x:v>
      </x:c>
      <x:c r="L118" s="23" t="n">
        <x:f>MAX(0,MIN(1,(F118-'总览与权重'!$B$19)/('总览与权重'!$C$19-'总览与权重'!$B$19)))</x:f>
        <x:v>1</x:v>
      </x:c>
      <x:c r="M118" s="23" t="n">
        <x:f>MAX(0,MIN(1,(G118-'总览与权重'!$B$20)/('总览与权重'!$C$20-'总览与权重'!$B$20)))</x:f>
        <x:v>1</x:v>
      </x:c>
      <x:c r="N118" s="23" t="n">
        <x:f>J118</x:f>
        <x:v>0.5</x:v>
      </x:c>
      <x:c r="O118" s="22" t="str">
        <x:v>是</x:v>
      </x:c>
      <x:c r="P118" s="22" t="n">
        <x:v>0.8422857142857143</x:v>
      </x:c>
      <x:c r="Q118" s="22" t="n">
        <x:v>0.8422857142857143</x:v>
      </x:c>
      <x:c r="R118" s="22" t="n">
        <x:v>0.8422857142857143</x:v>
      </x:c>
      <x:c r="S118" s="23" t="n">
        <x:f>IF(O118="是",MAX(0,MIN(1,(P118-'总览与权重'!$B$21)/('总览与权重'!$C$21-'总览与权重'!$B$21))),"NA")</x:f>
        <x:v>0.5350952380952381</x:v>
      </x:c>
      <x:c r="T118" s="23" t="n">
        <x:f>IF(O118="是",MAX(0,MIN(1,(Q118-'总览与权重'!$B$22)/('总览与权重'!$C$22-'总览与权重'!$B$22))),"NA")</x:f>
        <x:v>0.9211428571428572</x:v>
      </x:c>
      <x:c r="U118" s="23" t="n">
        <x:f>IF(O118="是",MAX(0,MIN(1,(R118-'总览与权重'!$B$23)/('总览与权重'!$C$23-'总览与权重'!$B$23))),"NA")</x:f>
        <x:v>0.9211428571428572</x:v>
      </x:c>
      <x:c r="V118" s="23" t="n">
        <x:f>IF(O118="是",J118,"NA")</x:f>
        <x:v>0.5</x:v>
      </x:c>
      <x:c r="W118" s="22" t="str">
        <x:v>完整</x:v>
      </x:c>
      <x:c r="X118" s="22" t="n">
        <x:v>2</x:v>
      </x:c>
      <x:c r="Y118" s="22" t="n">
        <x:v>0.6321205588285577</x:v>
      </x:c>
      <x:c r="Z118" s="22" t="n">
        <x:v>0.06</x:v>
      </x:c>
      <x:c r="AA118" s="22" t="n">
        <x:v>0.556603773585</x:v>
      </x:c>
      <x:c r="AB118" s="22" t="str">
        <x:v>知识点理解与概念探究；正向评价（不计能力分）</x:v>
      </x:c>
      <x:c r="AC118" s="22" t="str">
        <x:v>NA</x:v>
      </x:c>
      <x:c r="AD118" s="22" t="str">
        <x:v>NA</x:v>
      </x:c>
      <x:c r="AE118" s="22" t="str">
        <x:v>["S0220"]</x:v>
      </x:c>
      <x:c r="AF118" s="22" t="str">
        <x:v>["2025秋:2025秋-数学模型-问答记录导出20260502导出_已标注_已更新.xlsx:问答记录:225"]</x:v>
      </x:c>
      <x:c r="AG118" s="22" t="str">
        <x:v>evidence/student_evidence.jsonl；student_key=2025秋:259869</x:v>
      </x:c>
      <x:c r="AH118" s="27" t="str">
        <x:v>S0220 L1→L6。高点为无人机局部方案，未见独立求解及最优性验证；L6充分性待复核。</x:v>
      </x:c>
    </x:row>
    <x:row r="119" ht="23" customHeight="1">
      <x:c r="A119" s="21" t="str">
        <x:v>2025秋:259873</x:v>
      </x:c>
      <x:c r="B119" s="22" t="str">
        <x:v>s3</x:v>
      </x:c>
      <x:c r="C119" s="24" t="n">
        <x:v>1</x:v>
      </x:c>
      <x:c r="D119" s="24" t="n">
        <x:v>1</x:v>
      </x:c>
      <x:c r="E119" s="22" t="n">
        <x:v>0</x:v>
      </x:c>
      <x:c r="F119" s="22" t="n">
        <x:v>0</x:v>
      </x:c>
      <x:c r="G119" s="22" t="n">
        <x:v>0</x:v>
      </x:c>
      <x:c r="H119" s="24" t="n">
        <x:v>1</x:v>
      </x:c>
      <x:c r="I119" s="24" t="n">
        <x:v>1</x:v>
      </x:c>
      <x:c r="J119" s="23" t="n">
        <x:f>IF(I119&gt;0,H119/I119,"NA")</x:f>
        <x:v>1</x:v>
      </x:c>
      <x:c r="K119" s="23" t="n">
        <x:f>MAX(0,MIN(1,(E119-'总览与权重'!$B$18)/('总览与权重'!$C$18-'总览与权重'!$B$18)))</x:f>
        <x:v>0</x:v>
      </x:c>
      <x:c r="L119" s="23" t="n">
        <x:f>MAX(0,MIN(1,(F119-'总览与权重'!$B$19)/('总览与权重'!$C$19-'总览与权重'!$B$19)))</x:f>
        <x:v>0</x:v>
      </x:c>
      <x:c r="M119" s="23" t="n">
        <x:f>MAX(0,MIN(1,(G119-'总览与权重'!$B$20)/('总览与权重'!$C$20-'总览与权重'!$B$20)))</x:f>
        <x:v>0</x:v>
      </x:c>
      <x:c r="N119" s="23" t="n">
        <x:f>J119</x:f>
        <x:v>1</x:v>
      </x:c>
      <x:c r="O119" s="22" t="str">
        <x:v>是</x:v>
      </x:c>
      <x:c r="P119" s="22" t="n">
        <x:v>-0.11788498564075993</x:v>
      </x:c>
      <x:c r="Q119" s="22" t="n">
        <x:v>-0.11788498564075993</x:v>
      </x:c>
      <x:c r="R119" s="22" t="n">
        <x:v>-0.11788498564075993</x:v>
      </x:c>
      <x:c r="S119" s="23" t="n">
        <x:f>IF(O119="是",MAX(0,MIN(1,(P119-'总览与权重'!$B$21)/('总览与权重'!$C$21-'总览与权重'!$B$21))),"NA")</x:f>
        <x:v>0.4950881255983017</x:v>
      </x:c>
      <x:c r="T119" s="23" t="n">
        <x:f>IF(O119="是",MAX(0,MIN(1,(Q119-'总览与权重'!$B$22)/('总览与权重'!$C$22-'总览与权重'!$B$22))),"NA")</x:f>
        <x:v>0.44105750717962006</x:v>
      </x:c>
      <x:c r="U119" s="23" t="n">
        <x:f>IF(O119="是",MAX(0,MIN(1,(R119-'总览与权重'!$B$23)/('总览与权重'!$C$23-'总览与权重'!$B$23))),"NA")</x:f>
        <x:v>0.44105750717962006</x:v>
      </x:c>
      <x:c r="V119" s="23" t="n">
        <x:f>IF(O119="是",J119,"NA")</x:f>
        <x:v>1</x:v>
      </x:c>
      <x:c r="W119" s="22" t="str">
        <x:v>完整</x:v>
      </x:c>
      <x:c r="X119" s="22" t="n">
        <x:v>2</x:v>
      </x:c>
      <x:c r="Y119" s="22" t="n">
        <x:v>0.6321205588285577</x:v>
      </x:c>
      <x:c r="Z119" s="22" t="n">
        <x:v>0</x:v>
      </x:c>
      <x:c r="AA119" s="22" t="n">
        <x:v>0</x:v>
      </x:c>
      <x:c r="AB119" s="22" t="str">
        <x:v>知识点理解与概念探究；正负并存或有条件评价（不计能力分）</x:v>
      </x:c>
      <x:c r="AC119" s="22" t="str">
        <x:v>NA</x:v>
      </x:c>
      <x:c r="AD119" s="22" t="str">
        <x:v>NA</x:v>
      </x:c>
      <x:c r="AE119" s="22" t="str">
        <x:v>["S0160"]</x:v>
      </x:c>
      <x:c r="AF119" s="22" t="str">
        <x:v>["2025秋:2025秋-数学模型-问答记录导出20260502导出_已标注_已更新.xlsx:问答记录:163"]</x:v>
      </x:c>
      <x:c r="AG119" s="22" t="str">
        <x:v>evidence/student_evidence.jsonl；student_key=2025秋:259873</x:v>
      </x:c>
      <x:c r="AH119" s="27" t="str"/>
    </x:row>
    <x:row r="120" ht="23" customHeight="1">
      <x:c r="A120" s="21" t="str">
        <x:v>2025秋:259877</x:v>
      </x:c>
      <x:c r="B120" s="22" t="str">
        <x:v>s3</x:v>
      </x:c>
      <x:c r="C120" s="24" t="n">
        <x:v>1</x:v>
      </x:c>
      <x:c r="D120" s="24" t="n">
        <x:v>1</x:v>
      </x:c>
      <x:c r="E120" s="22" t="n">
        <x:v>0.19600149507528775</x:v>
      </x:c>
      <x:c r="F120" s="22" t="n">
        <x:v>0.19600149507528775</x:v>
      </x:c>
      <x:c r="G120" s="22" t="n">
        <x:v>0.19600149507528775</x:v>
      </x:c>
      <x:c r="H120" s="24" t="n">
        <x:v>1</x:v>
      </x:c>
      <x:c r="I120" s="24" t="n">
        <x:v>1</x:v>
      </x:c>
      <x:c r="J120" s="23" t="n">
        <x:f>IF(I120&gt;0,H120/I120,"NA")</x:f>
        <x:v>1</x:v>
      </x:c>
      <x:c r="K120" s="23" t="n">
        <x:f>MAX(0,MIN(1,(E120-'总览与权重'!$B$18)/('总览与权重'!$C$18-'总览与权重'!$B$18)))</x:f>
        <x:v>0.016333457922940647</x:v>
      </x:c>
      <x:c r="L120" s="23" t="n">
        <x:f>MAX(0,MIN(1,(F120-'总览与权重'!$B$19)/('总览与权重'!$C$19-'总览与权重'!$B$19)))</x:f>
        <x:v>0.19600149507528775</x:v>
      </x:c>
      <x:c r="M120" s="23" t="n">
        <x:f>MAX(0,MIN(1,(G120-'总览与权重'!$B$20)/('总览与权重'!$C$20-'总览与权重'!$B$20)))</x:f>
        <x:v>0.19600149507528775</x:v>
      </x:c>
      <x:c r="N120" s="23" t="n">
        <x:f>J120</x:f>
        <x:v>1</x:v>
      </x:c>
      <x:c r="O120" s="22" t="str">
        <x:v>是</x:v>
      </x:c>
      <x:c r="P120" s="22" t="n">
        <x:v>0.08073269388308371</x:v>
      </x:c>
      <x:c r="Q120" s="22" t="n">
        <x:v>0.10091586735385463</x:v>
      </x:c>
      <x:c r="R120" s="22" t="n">
        <x:v>0.10091586735385462</x:v>
      </x:c>
      <x:c r="S120" s="23" t="n">
        <x:f>IF(O120="是",MAX(0,MIN(1,(P120-'总览与权重'!$B$21)/('总览与权重'!$C$21-'总览与权重'!$B$21))),"NA")</x:f>
        <x:v>0.5033638622451285</x:v>
      </x:c>
      <x:c r="T120" s="23" t="n">
        <x:f>IF(O120="是",MAX(0,MIN(1,(Q120-'总览与权重'!$B$22)/('总览与权重'!$C$22-'总览与权重'!$B$22))),"NA")</x:f>
        <x:v>0.5504579336769273</x:v>
      </x:c>
      <x:c r="U120" s="23" t="n">
        <x:f>IF(O120="是",MAX(0,MIN(1,(R120-'总览与权重'!$B$23)/('总览与权重'!$C$23-'总览与权重'!$B$23))),"NA")</x:f>
        <x:v>0.5504579336769273</x:v>
      </x:c>
      <x:c r="V120" s="23" t="n">
        <x:f>IF(O120="是",J120,"NA")</x:f>
        <x:v>1</x:v>
      </x:c>
      <x:c r="W120" s="22" t="str">
        <x:v>完整</x:v>
      </x:c>
      <x:c r="X120" s="22" t="n">
        <x:v>2</x:v>
      </x:c>
      <x:c r="Y120" s="22" t="n">
        <x:v>0.6321205588285577</x:v>
      </x:c>
      <x:c r="Z120" s="22" t="n">
        <x:v>0.3</x:v>
      </x:c>
      <x:c r="AA120" s="22" t="n">
        <x:v>0.666666666667</x:v>
      </x:c>
      <x:c r="AB120" s="22" t="str">
        <x:v>知识点理解与概念探究；正向评价（不计能力分）</x:v>
      </x:c>
      <x:c r="AC120" s="22" t="str">
        <x:v>NA</x:v>
      </x:c>
      <x:c r="AD120" s="22" t="str">
        <x:v>NA</x:v>
      </x:c>
      <x:c r="AE120" s="22" t="str">
        <x:v>["S0194"]</x:v>
      </x:c>
      <x:c r="AF120" s="22" t="str">
        <x:v>["2025秋:2025秋-数学模型-问答记录导出20260502导出_已标注_已更新.xlsx:问答记录:199"]</x:v>
      </x:c>
      <x:c r="AG120" s="22" t="str">
        <x:v>evidence/student_evidence.jsonl；student_key=2025秋:259877</x:v>
      </x:c>
      <x:c r="AH120" s="27" t="str"/>
    </x:row>
    <x:row r="121" ht="48" customHeight="1">
      <x:c r="A121" s="21" t="str">
        <x:v>2025秋:259885</x:v>
      </x:c>
      <x:c r="B121" s="22" t="str">
        <x:v>s3</x:v>
      </x:c>
      <x:c r="C121" s="24" t="n">
        <x:v>1</x:v>
      </x:c>
      <x:c r="D121" s="24" t="n">
        <x:v>1</x:v>
      </x:c>
      <x:c r="E121" s="22" t="n">
        <x:v>0</x:v>
      </x:c>
      <x:c r="F121" s="22" t="n">
        <x:v>0</x:v>
      </x:c>
      <x:c r="G121" s="22" t="n">
        <x:v>0</x:v>
      </x:c>
      <x:c r="H121" s="24" t="n">
        <x:v>1</x:v>
      </x:c>
      <x:c r="I121" s="24" t="n">
        <x:v>1</x:v>
      </x:c>
      <x:c r="J121" s="23" t="n">
        <x:f>IF(I121&gt;0,H121/I121,"NA")</x:f>
        <x:v>1</x:v>
      </x:c>
      <x:c r="K121" s="23" t="n">
        <x:f>MAX(0,MIN(1,(E121-'总览与权重'!$B$18)/('总览与权重'!$C$18-'总览与权重'!$B$18)))</x:f>
        <x:v>0</x:v>
      </x:c>
      <x:c r="L121" s="23" t="n">
        <x:f>MAX(0,MIN(1,(F121-'总览与权重'!$B$19)/('总览与权重'!$C$19-'总览与权重'!$B$19)))</x:f>
        <x:v>0</x:v>
      </x:c>
      <x:c r="M121" s="23" t="n">
        <x:f>MAX(0,MIN(1,(G121-'总览与权重'!$B$20)/('总览与权重'!$C$20-'总览与权重'!$B$20)))</x:f>
        <x:v>0</x:v>
      </x:c>
      <x:c r="N121" s="23" t="n">
        <x:f>J121</x:f>
        <x:v>1</x:v>
      </x:c>
      <x:c r="O121" s="22" t="str">
        <x:v>是</x:v>
      </x:c>
      <x:c r="P121" s="22" t="n">
        <x:v>-0.13683228565235026</x:v>
      </x:c>
      <x:c r="Q121" s="22" t="n">
        <x:v>-0.13683228565235026</x:v>
      </x:c>
      <x:c r="R121" s="22" t="n">
        <x:v>-0.13683228565235026</x:v>
      </x:c>
      <x:c r="S121" s="23" t="n">
        <x:f>IF(O121="是",MAX(0,MIN(1,(P121-'总览与权重'!$B$21)/('总览与权重'!$C$21-'总览与权重'!$B$21))),"NA")</x:f>
        <x:v>0.4942986547644854</x:v>
      </x:c>
      <x:c r="T121" s="23" t="n">
        <x:f>IF(O121="是",MAX(0,MIN(1,(Q121-'总览与权重'!$B$22)/('总览与权重'!$C$22-'总览与权重'!$B$22))),"NA")</x:f>
        <x:v>0.43158385717382486</x:v>
      </x:c>
      <x:c r="U121" s="23" t="n">
        <x:f>IF(O121="是",MAX(0,MIN(1,(R121-'总览与权重'!$B$23)/('总览与权重'!$C$23-'总览与权重'!$B$23))),"NA")</x:f>
        <x:v>0.43158385717382486</x:v>
      </x:c>
      <x:c r="V121" s="23" t="n">
        <x:f>IF(O121="是",J121,"NA")</x:f>
        <x:v>1</x:v>
      </x:c>
      <x:c r="W121" s="22" t="str">
        <x:v>完整</x:v>
      </x:c>
      <x:c r="X121" s="22" t="n">
        <x:v>1</x:v>
      </x:c>
      <x:c r="Y121" s="22" t="n">
        <x:v>0</x:v>
      </x:c>
      <x:c r="Z121" s="22" t="n">
        <x:v>0</x:v>
      </x:c>
      <x:c r="AA121" s="22" t="n">
        <x:v>0</x:v>
      </x:c>
      <x:c r="AB121" s="22" t="str">
        <x:v>知识点理解与概念探究；正向评价（不计能力分）</x:v>
      </x:c>
      <x:c r="AC121" s="22" t="str">
        <x:v>NA</x:v>
      </x:c>
      <x:c r="AD121" s="22" t="str">
        <x:v>NA</x:v>
      </x:c>
      <x:c r="AE121" s="22" t="str">
        <x:v>["S0386"]</x:v>
      </x:c>
      <x:c r="AF121" s="22" t="str">
        <x:v>["2025秋:2025秋-数学模型-问答记录导出20260502导出_已标注_已更新.xlsx:问答记录:397"]</x:v>
      </x:c>
      <x:c r="AG121" s="22" t="str">
        <x:v>evidence/student_evidence.jsonl；student_key=2025秋:259885</x:v>
      </x:c>
      <x:c r="AH121" s="27" t="str">
        <x:v>同一锚点起止1条：未形成独立重复测量。</x:v>
      </x:c>
    </x:row>
    <x:row r="122" ht="23" customHeight="1">
      <x:c r="A122" s="21" t="str">
        <x:v>2025秋:259895</x:v>
      </x:c>
      <x:c r="B122" s="22" t="str">
        <x:v>s3</x:v>
      </x:c>
      <x:c r="C122" s="24" t="n">
        <x:v>1</x:v>
      </x:c>
      <x:c r="D122" s="24" t="n">
        <x:v>1</x:v>
      </x:c>
      <x:c r="E122" s="22" t="n">
        <x:v>0.3810004146110808</x:v>
      </x:c>
      <x:c r="F122" s="22" t="n">
        <x:v>0.3810004146110808</x:v>
      </x:c>
      <x:c r="G122" s="22" t="n">
        <x:v>0.3810004146110808</x:v>
      </x:c>
      <x:c r="H122" s="24" t="n">
        <x:v>1</x:v>
      </x:c>
      <x:c r="I122" s="24" t="n">
        <x:v>1</x:v>
      </x:c>
      <x:c r="J122" s="23" t="n">
        <x:f>IF(I122&gt;0,H122/I122,"NA")</x:f>
        <x:v>1</x:v>
      </x:c>
      <x:c r="K122" s="23" t="n">
        <x:f>MAX(0,MIN(1,(E122-'总览与权重'!$B$18)/('总览与权重'!$C$18-'总览与权重'!$B$18)))</x:f>
        <x:v>0.0317500345509234</x:v>
      </x:c>
      <x:c r="L122" s="23" t="n">
        <x:f>MAX(0,MIN(1,(F122-'总览与权重'!$B$19)/('总览与权重'!$C$19-'总览与权重'!$B$19)))</x:f>
        <x:v>0.3810004146110808</x:v>
      </x:c>
      <x:c r="M122" s="23" t="n">
        <x:f>MAX(0,MIN(1,(G122-'总览与权重'!$B$20)/('总览与权重'!$C$20-'总览与权重'!$B$20)))</x:f>
        <x:v>0.3810004146110808</x:v>
      </x:c>
      <x:c r="N122" s="23" t="n">
        <x:f>J122</x:f>
        <x:v>1</x:v>
      </x:c>
      <x:c r="O122" s="22" t="str">
        <x:v>是</x:v>
      </x:c>
      <x:c r="P122" s="22" t="n">
        <x:v>0.24416812895873055</x:v>
      </x:c>
      <x:c r="Q122" s="22" t="n">
        <x:v>0.24416812895873055</x:v>
      </x:c>
      <x:c r="R122" s="22" t="n">
        <x:v>0.24416812895873055</x:v>
      </x:c>
      <x:c r="S122" s="23" t="n">
        <x:f>IF(O122="是",MAX(0,MIN(1,(P122-'总览与权重'!$B$21)/('总览与权重'!$C$21-'总览与权重'!$B$21))),"NA")</x:f>
        <x:v>0.5101736720399471</x:v>
      </x:c>
      <x:c r="T122" s="23" t="n">
        <x:f>IF(O122="是",MAX(0,MIN(1,(Q122-'总览与权重'!$B$22)/('总览与权重'!$C$22-'总览与权重'!$B$22))),"NA")</x:f>
        <x:v>0.6220840644793653</x:v>
      </x:c>
      <x:c r="U122" s="23" t="n">
        <x:f>IF(O122="是",MAX(0,MIN(1,(R122-'总览与权重'!$B$23)/('总览与权重'!$C$23-'总览与权重'!$B$23))),"NA")</x:f>
        <x:v>0.6220840644793653</x:v>
      </x:c>
      <x:c r="V122" s="23" t="n">
        <x:f>IF(O122="是",J122,"NA")</x:f>
        <x:v>1</x:v>
      </x:c>
      <x:c r="W122" s="22" t="str">
        <x:v>完整</x:v>
      </x:c>
      <x:c r="X122" s="22" t="n">
        <x:v>2</x:v>
      </x:c>
      <x:c r="Y122" s="22" t="n">
        <x:v>0.6321205588285577</x:v>
      </x:c>
      <x:c r="Z122" s="22" t="n">
        <x:v>-0.25</x:v>
      </x:c>
      <x:c r="AA122" s="22" t="n">
        <x:v>-0.119047619048</x:v>
      </x:c>
      <x:c r="AB122" s="22" t="str">
        <x:v>知识点理解与概念探究；正向评价（不计能力分）</x:v>
      </x:c>
      <x:c r="AC122" s="22" t="str">
        <x:v>NA</x:v>
      </x:c>
      <x:c r="AD122" s="22" t="str">
        <x:v>NA</x:v>
      </x:c>
      <x:c r="AE122" s="22" t="str">
        <x:v>["S0407"]</x:v>
      </x:c>
      <x:c r="AF122" s="22" t="str">
        <x:v>["2025秋:2025秋-数学模型-问答记录导出20260502导出_已标注_已更新.xlsx:问答记录:418"]</x:v>
      </x:c>
      <x:c r="AG122" s="22" t="str">
        <x:v>evidence/student_evidence.jsonl；student_key=2025秋:259895</x:v>
      </x:c>
      <x:c r="AH122" s="27" t="str"/>
    </x:row>
    <x:row r="123" ht="23" customHeight="1">
      <x:c r="A123" s="21" t="str">
        <x:v>2025秋:259896</x:v>
      </x:c>
      <x:c r="B123" s="22" t="str">
        <x:v>s3</x:v>
      </x:c>
      <x:c r="C123" s="24" t="n">
        <x:v>1</x:v>
      </x:c>
      <x:c r="D123" s="24" t="n">
        <x:v>1</x:v>
      </x:c>
      <x:c r="E123" s="22" t="n">
        <x:v>0.12170748404763754</x:v>
      </x:c>
      <x:c r="F123" s="22" t="n">
        <x:v>0.12170748404763754</x:v>
      </x:c>
      <x:c r="G123" s="22" t="n">
        <x:v>0.12170748404763754</x:v>
      </x:c>
      <x:c r="H123" s="24" t="n">
        <x:v>1</x:v>
      </x:c>
      <x:c r="I123" s="24" t="n">
        <x:v>1</x:v>
      </x:c>
      <x:c r="J123" s="23" t="n">
        <x:f>IF(I123&gt;0,H123/I123,"NA")</x:f>
        <x:v>1</x:v>
      </x:c>
      <x:c r="K123" s="23" t="n">
        <x:f>MAX(0,MIN(1,(E123-'总览与权重'!$B$18)/('总览与权重'!$C$18-'总览与权重'!$B$18)))</x:f>
        <x:v>0.010142290337303128</x:v>
      </x:c>
      <x:c r="L123" s="23" t="n">
        <x:f>MAX(0,MIN(1,(F123-'总览与权重'!$B$19)/('总览与权重'!$C$19-'总览与权重'!$B$19)))</x:f>
        <x:v>0.12170748404763754</x:v>
      </x:c>
      <x:c r="M123" s="23" t="n">
        <x:f>MAX(0,MIN(1,(G123-'总览与权重'!$B$20)/('总览与权重'!$C$20-'总览与权重'!$B$20)))</x:f>
        <x:v>0.12170748404763754</x:v>
      </x:c>
      <x:c r="N123" s="23" t="n">
        <x:f>J123</x:f>
        <x:v>1</x:v>
      </x:c>
      <x:c r="O123" s="22" t="str">
        <x:v>是</x:v>
      </x:c>
      <x:c r="P123" s="22" t="n">
        <x:v>-0.015124801604712718</x:v>
      </x:c>
      <x:c r="Q123" s="22" t="n">
        <x:v>-0.015124801604712718</x:v>
      </x:c>
      <x:c r="R123" s="22" t="n">
        <x:v>-0.015124801604712718</x:v>
      </x:c>
      <x:c r="S123" s="23" t="n">
        <x:f>IF(O123="是",MAX(0,MIN(1,(P123-'总览与权重'!$B$21)/('总览与权重'!$C$21-'总览与权重'!$B$21))),"NA")</x:f>
        <x:v>0.49936979993313696</x:v>
      </x:c>
      <x:c r="T123" s="23" t="n">
        <x:f>IF(O123="是",MAX(0,MIN(1,(Q123-'总览与权重'!$B$22)/('总览与权重'!$C$22-'总览与权重'!$B$22))),"NA")</x:f>
        <x:v>0.4924375991976436</x:v>
      </x:c>
      <x:c r="U123" s="23" t="n">
        <x:f>IF(O123="是",MAX(0,MIN(1,(R123-'总览与权重'!$B$23)/('总览与权重'!$C$23-'总览与权重'!$B$23))),"NA")</x:f>
        <x:v>0.4924375991976436</x:v>
      </x:c>
      <x:c r="V123" s="23" t="n">
        <x:f>IF(O123="是",J123,"NA")</x:f>
        <x:v>1</x:v>
      </x:c>
      <x:c r="W123" s="22" t="str">
        <x:v>完整</x:v>
      </x:c>
      <x:c r="X123" s="22" t="n">
        <x:v>2</x:v>
      </x:c>
      <x:c r="Y123" s="22" t="n">
        <x:v>0.6321205588285577</x:v>
      </x:c>
      <x:c r="Z123" s="22" t="n">
        <x:v>0.3</x:v>
      </x:c>
      <x:c r="AA123" s="22" t="n">
        <x:v>0.666666666667</x:v>
      </x:c>
      <x:c r="AB123" s="22" t="str">
        <x:v>知识点理解与概念探究；正向评价（不计能力分）</x:v>
      </x:c>
      <x:c r="AC123" s="22" t="str">
        <x:v>NA</x:v>
      </x:c>
      <x:c r="AD123" s="22" t="str">
        <x:v>NA</x:v>
      </x:c>
      <x:c r="AE123" s="22" t="str">
        <x:v>["S0117"]</x:v>
      </x:c>
      <x:c r="AF123" s="22" t="str">
        <x:v>["2025秋:2025秋-数学模型-问答记录导出20260502导出_已标注_已更新.xlsx:问答记录:120"]</x:v>
      </x:c>
      <x:c r="AG123" s="22" t="str">
        <x:v>evidence/student_evidence.jsonl；student_key=2025秋:259896</x:v>
      </x:c>
      <x:c r="AH123" s="27" t="str"/>
    </x:row>
    <x:row r="124" ht="23" customHeight="1">
      <x:c r="A124" s="21" t="str">
        <x:v>2025秋:259899</x:v>
      </x:c>
      <x:c r="B124" s="22" t="str">
        <x:v>s3</x:v>
      </x:c>
      <x:c r="C124" s="24" t="n">
        <x:v>1</x:v>
      </x:c>
      <x:c r="D124" s="24" t="n">
        <x:v>1</x:v>
      </x:c>
      <x:c r="E124" s="22" t="n">
        <x:v>0</x:v>
      </x:c>
      <x:c r="F124" s="22" t="n">
        <x:v>0</x:v>
      </x:c>
      <x:c r="G124" s="22" t="n">
        <x:v>0</x:v>
      </x:c>
      <x:c r="H124" s="24" t="n">
        <x:v>1</x:v>
      </x:c>
      <x:c r="I124" s="24" t="n">
        <x:v>1</x:v>
      </x:c>
      <x:c r="J124" s="23" t="n">
        <x:f>IF(I124&gt;0,H124/I124,"NA")</x:f>
        <x:v>1</x:v>
      </x:c>
      <x:c r="K124" s="23" t="n">
        <x:f>MAX(0,MIN(1,(E124-'总览与权重'!$B$18)/('总览与权重'!$C$18-'总览与权重'!$B$18)))</x:f>
        <x:v>0</x:v>
      </x:c>
      <x:c r="L124" s="23" t="n">
        <x:f>MAX(0,MIN(1,(F124-'总览与权重'!$B$19)/('总览与权重'!$C$19-'总览与权重'!$B$19)))</x:f>
        <x:v>0</x:v>
      </x:c>
      <x:c r="M124" s="23" t="n">
        <x:f>MAX(0,MIN(1,(G124-'总览与权重'!$B$20)/('总览与权重'!$C$20-'总览与权重'!$B$20)))</x:f>
        <x:v>0</x:v>
      </x:c>
      <x:c r="N124" s="23" t="n">
        <x:f>J124</x:f>
        <x:v>1</x:v>
      </x:c>
      <x:c r="O124" s="22" t="str">
        <x:v>是</x:v>
      </x:c>
      <x:c r="P124" s="22" t="n">
        <x:v>-0.13680392675608974</x:v>
      </x:c>
      <x:c r="Q124" s="22" t="n">
        <x:v>-0.13680392675608974</x:v>
      </x:c>
      <x:c r="R124" s="22" t="n">
        <x:v>-0.13680392675608974</x:v>
      </x:c>
      <x:c r="S124" s="23" t="n">
        <x:f>IF(O124="是",MAX(0,MIN(1,(P124-'总览与权重'!$B$21)/('总览与权重'!$C$21-'总览与权重'!$B$21))),"NA")</x:f>
        <x:v>0.49429983638516295</x:v>
      </x:c>
      <x:c r="T124" s="23" t="n">
        <x:f>IF(O124="是",MAX(0,MIN(1,(Q124-'总览与权重'!$B$22)/('总览与权重'!$C$22-'总览与权重'!$B$22))),"NA")</x:f>
        <x:v>0.4315980366219551</x:v>
      </x:c>
      <x:c r="U124" s="23" t="n">
        <x:f>IF(O124="是",MAX(0,MIN(1,(R124-'总览与权重'!$B$23)/('总览与权重'!$C$23-'总览与权重'!$B$23))),"NA")</x:f>
        <x:v>0.4315980366219551</x:v>
      </x:c>
      <x:c r="V124" s="23" t="n">
        <x:f>IF(O124="是",J124,"NA")</x:f>
        <x:v>1</x:v>
      </x:c>
      <x:c r="W124" s="22" t="str">
        <x:v>完整</x:v>
      </x:c>
      <x:c r="X124" s="22" t="n">
        <x:v>1</x:v>
      </x:c>
      <x:c r="Y124" s="22" t="n">
        <x:v>0</x:v>
      </x:c>
      <x:c r="Z124" s="22" t="n">
        <x:v>0</x:v>
      </x:c>
      <x:c r="AA124" s="22" t="n">
        <x:v>0</x:v>
      </x:c>
      <x:c r="AB124" s="22" t="str">
        <x:v>知识点理解与概念探究；正向评价（不计能力分）</x:v>
      </x:c>
      <x:c r="AC124" s="22" t="str">
        <x:v>NA</x:v>
      </x:c>
      <x:c r="AD124" s="22" t="str">
        <x:v>NA</x:v>
      </x:c>
      <x:c r="AE124" s="22" t="str">
        <x:v>["S0318"]</x:v>
      </x:c>
      <x:c r="AF124" s="22" t="str">
        <x:v>["2025秋:2025秋-数学模型-问答记录导出20260502导出_已标注_已更新.xlsx:问答记录:326"]</x:v>
      </x:c>
      <x:c r="AG124" s="22" t="str">
        <x:v>evidence/student_evidence.jsonl；student_key=2025秋:259899</x:v>
      </x:c>
      <x:c r="AH124" s="27" t="str"/>
    </x:row>
    <x:row r="125" ht="23" customHeight="1">
      <x:c r="A125" s="21" t="str">
        <x:v>2025秋:259917</x:v>
      </x:c>
      <x:c r="B125" s="22" t="str">
        <x:v>s3</x:v>
      </x:c>
      <x:c r="C125" s="24" t="n">
        <x:v>1</x:v>
      </x:c>
      <x:c r="D125" s="24" t="n">
        <x:v>1</x:v>
      </x:c>
      <x:c r="E125" s="22" t="n">
        <x:v>0.15597735597735593</x:v>
      </x:c>
      <x:c r="F125" s="22" t="n">
        <x:v>0.15597735597735593</x:v>
      </x:c>
      <x:c r="G125" s="22" t="n">
        <x:v>0.15597735597735593</x:v>
      </x:c>
      <x:c r="H125" s="24" t="n">
        <x:v>1</x:v>
      </x:c>
      <x:c r="I125" s="24" t="n">
        <x:v>1</x:v>
      </x:c>
      <x:c r="J125" s="23" t="n">
        <x:f>IF(I125&gt;0,H125/I125,"NA")</x:f>
        <x:v>1</x:v>
      </x:c>
      <x:c r="K125" s="23" t="n">
        <x:f>MAX(0,MIN(1,(E125-'总览与权重'!$B$18)/('总览与权重'!$C$18-'总览与权重'!$B$18)))</x:f>
        <x:v>0.012998112998112994</x:v>
      </x:c>
      <x:c r="L125" s="23" t="n">
        <x:f>MAX(0,MIN(1,(F125-'总览与权重'!$B$19)/('总览与权重'!$C$19-'总览与权重'!$B$19)))</x:f>
        <x:v>0.15597735597735593</x:v>
      </x:c>
      <x:c r="M125" s="23" t="n">
        <x:f>MAX(0,MIN(1,(G125-'总览与权重'!$B$20)/('总览与权重'!$C$20-'总览与权重'!$B$20)))</x:f>
        <x:v>0.15597735597735593</x:v>
      </x:c>
      <x:c r="N125" s="23" t="n">
        <x:f>J125</x:f>
        <x:v>1</x:v>
      </x:c>
      <x:c r="O125" s="22" t="str">
        <x:v>是</x:v>
      </x:c>
      <x:c r="P125" s="22" t="n">
        <x:v>0.038092370336596</x:v>
      </x:c>
      <x:c r="Q125" s="22" t="n">
        <x:v>0.038092370336596</x:v>
      </x:c>
      <x:c r="R125" s="22" t="n">
        <x:v>0.038092370336596</x:v>
      </x:c>
      <x:c r="S125" s="23" t="n">
        <x:f>IF(O125="是",MAX(0,MIN(1,(P125-'总览与权重'!$B$21)/('总览与权重'!$C$21-'总览与权重'!$B$21))),"NA")</x:f>
        <x:v>0.5015871820973582</x:v>
      </x:c>
      <x:c r="T125" s="23" t="n">
        <x:f>IF(O125="是",MAX(0,MIN(1,(Q125-'总览与权重'!$B$22)/('总览与权重'!$C$22-'总览与权重'!$B$22))),"NA")</x:f>
        <x:v>0.519046185168298</x:v>
      </x:c>
      <x:c r="U125" s="23" t="n">
        <x:f>IF(O125="是",MAX(0,MIN(1,(R125-'总览与权重'!$B$23)/('总览与权重'!$C$23-'总览与权重'!$B$23))),"NA")</x:f>
        <x:v>0.519046185168298</x:v>
      </x:c>
      <x:c r="V125" s="23" t="n">
        <x:f>IF(O125="是",J125,"NA")</x:f>
        <x:v>1</x:v>
      </x:c>
      <x:c r="W125" s="22" t="str">
        <x:v>完整</x:v>
      </x:c>
      <x:c r="X125" s="22" t="n">
        <x:v>1</x:v>
      </x:c>
      <x:c r="Y125" s="22" t="n">
        <x:v>0</x:v>
      </x:c>
      <x:c r="Z125" s="22" t="n">
        <x:v>0.3</x:v>
      </x:c>
      <x:c r="AA125" s="22" t="n">
        <x:v>0.666666666667</x:v>
      </x:c>
      <x:c r="AB125" s="22" t="str">
        <x:v>未匹配场景/评价记录</x:v>
      </x:c>
      <x:c r="AC125" s="22" t="str">
        <x:v>NA</x:v>
      </x:c>
      <x:c r="AD125" s="22" t="str">
        <x:v>NA</x:v>
      </x:c>
      <x:c r="AE125" s="22" t="str">
        <x:v>["S0244"]</x:v>
      </x:c>
      <x:c r="AF125" s="22" t="str">
        <x:v>["2025秋:2025秋-数学模型-问答记录导出20260502导出_已标注_已更新.xlsx:问答记录:250"]</x:v>
      </x:c>
      <x:c r="AG125" s="22" t="str">
        <x:v>evidence/student_evidence.jsonl；student_key=2025秋:259917</x:v>
      </x:c>
      <x:c r="AH125" s="27" t="str"/>
    </x:row>
    <x:row r="126" ht="48" customHeight="1">
      <x:c r="A126" s="21" t="str">
        <x:v>2025秋:259919</x:v>
      </x:c>
      <x:c r="B126" s="22" t="str">
        <x:v>s3</x:v>
      </x:c>
      <x:c r="C126" s="24" t="n">
        <x:v>1</x:v>
      </x:c>
      <x:c r="D126" s="24" t="n">
        <x:v>1</x:v>
      </x:c>
      <x:c r="E126" s="22" t="n">
        <x:v>0</x:v>
      </x:c>
      <x:c r="F126" s="22" t="n">
        <x:v>0</x:v>
      </x:c>
      <x:c r="G126" s="22" t="n">
        <x:v>0</x:v>
      </x:c>
      <x:c r="H126" s="24" t="n">
        <x:v>1</x:v>
      </x:c>
      <x:c r="I126" s="24" t="n">
        <x:v>1</x:v>
      </x:c>
      <x:c r="J126" s="23" t="n">
        <x:f>IF(I126&gt;0,H126/I126,"NA")</x:f>
        <x:v>1</x:v>
      </x:c>
      <x:c r="K126" s="23" t="n">
        <x:f>MAX(0,MIN(1,(E126-'总览与权重'!$B$18)/('总览与权重'!$C$18-'总览与权重'!$B$18)))</x:f>
        <x:v>0</x:v>
      </x:c>
      <x:c r="L126" s="23" t="n">
        <x:f>MAX(0,MIN(1,(F126-'总览与权重'!$B$19)/('总览与权重'!$C$19-'总览与权重'!$B$19)))</x:f>
        <x:v>0</x:v>
      </x:c>
      <x:c r="M126" s="23" t="n">
        <x:f>MAX(0,MIN(1,(G126-'总览与权重'!$B$20)/('总览与权重'!$C$20-'总览与权重'!$B$20)))</x:f>
        <x:v>0</x:v>
      </x:c>
      <x:c r="N126" s="23" t="n">
        <x:f>J126</x:f>
        <x:v>1</x:v>
      </x:c>
      <x:c r="O126" s="22" t="str">
        <x:v>是</x:v>
      </x:c>
      <x:c r="P126" s="22" t="n">
        <x:v>-0.13683228565235026</x:v>
      </x:c>
      <x:c r="Q126" s="22" t="n">
        <x:v>-0.13683228565235026</x:v>
      </x:c>
      <x:c r="R126" s="22" t="n">
        <x:v>-0.13683228565235026</x:v>
      </x:c>
      <x:c r="S126" s="23" t="n">
        <x:f>IF(O126="是",MAX(0,MIN(1,(P126-'总览与权重'!$B$21)/('总览与权重'!$C$21-'总览与权重'!$B$21))),"NA")</x:f>
        <x:v>0.4942986547644854</x:v>
      </x:c>
      <x:c r="T126" s="23" t="n">
        <x:f>IF(O126="是",MAX(0,MIN(1,(Q126-'总览与权重'!$B$22)/('总览与权重'!$C$22-'总览与权重'!$B$22))),"NA")</x:f>
        <x:v>0.43158385717382486</x:v>
      </x:c>
      <x:c r="U126" s="23" t="n">
        <x:f>IF(O126="是",MAX(0,MIN(1,(R126-'总览与权重'!$B$23)/('总览与权重'!$C$23-'总览与权重'!$B$23))),"NA")</x:f>
        <x:v>0.43158385717382486</x:v>
      </x:c>
      <x:c r="V126" s="23" t="n">
        <x:f>IF(O126="是",J126,"NA")</x:f>
        <x:v>1</x:v>
      </x:c>
      <x:c r="W126" s="22" t="str">
        <x:v>完整</x:v>
      </x:c>
      <x:c r="X126" s="22" t="n">
        <x:v>1</x:v>
      </x:c>
      <x:c r="Y126" s="22" t="n">
        <x:v>0</x:v>
      </x:c>
      <x:c r="Z126" s="22" t="n">
        <x:v>0</x:v>
      </x:c>
      <x:c r="AA126" s="22" t="n">
        <x:v>0</x:v>
      </x:c>
      <x:c r="AB126" s="22" t="str">
        <x:v>知识点理解与概念探究；正向评价（不计能力分）</x:v>
      </x:c>
      <x:c r="AC126" s="22" t="str">
        <x:v>NA</x:v>
      </x:c>
      <x:c r="AD126" s="22" t="str">
        <x:v>NA</x:v>
      </x:c>
      <x:c r="AE126" s="22" t="str">
        <x:v>["S0279"]</x:v>
      </x:c>
      <x:c r="AF126" s="22" t="str">
        <x:v>["2025秋:2025秋-数学模型-问答记录导出20260502导出_已标注_已更新.xlsx:问答记录:287"]</x:v>
      </x:c>
      <x:c r="AG126" s="22" t="str">
        <x:v>evidence/student_evidence.jsonl；student_key=2025秋:259919</x:v>
      </x:c>
      <x:c r="AH126" s="27" t="str">
        <x:v>同一锚点起止1条：未形成独立重复测量。</x:v>
      </x:c>
    </x:row>
    <x:row r="127" ht="23" customHeight="1">
      <x:c r="A127" s="21" t="str">
        <x:v>2025秋:259921</x:v>
      </x:c>
      <x:c r="B127" s="22" t="str">
        <x:v>s3</x:v>
      </x:c>
      <x:c r="C127" s="24" t="n">
        <x:v>1</x:v>
      </x:c>
      <x:c r="D127" s="24" t="n">
        <x:v>1</x:v>
      </x:c>
      <x:c r="E127" s="22" t="n">
        <x:v>0</x:v>
      </x:c>
      <x:c r="F127" s="22" t="n">
        <x:v>0</x:v>
      </x:c>
      <x:c r="G127" s="22" t="n">
        <x:v>0</x:v>
      </x:c>
      <x:c r="H127" s="24" t="n">
        <x:v>1</x:v>
      </x:c>
      <x:c r="I127" s="24" t="n">
        <x:v>1</x:v>
      </x:c>
      <x:c r="J127" s="23" t="n">
        <x:f>IF(I127&gt;0,H127/I127,"NA")</x:f>
        <x:v>1</x:v>
      </x:c>
      <x:c r="K127" s="23" t="n">
        <x:f>MAX(0,MIN(1,(E127-'总览与权重'!$B$18)/('总览与权重'!$C$18-'总览与权重'!$B$18)))</x:f>
        <x:v>0</x:v>
      </x:c>
      <x:c r="L127" s="23" t="n">
        <x:f>MAX(0,MIN(1,(F127-'总览与权重'!$B$19)/('总览与权重'!$C$19-'总览与权重'!$B$19)))</x:f>
        <x:v>0</x:v>
      </x:c>
      <x:c r="M127" s="23" t="n">
        <x:f>MAX(0,MIN(1,(G127-'总览与权重'!$B$20)/('总览与权重'!$C$20-'总览与权重'!$B$20)))</x:f>
        <x:v>0</x:v>
      </x:c>
      <x:c r="N127" s="23" t="n">
        <x:f>J127</x:f>
        <x:v>1</x:v>
      </x:c>
      <x:c r="O127" s="22" t="str">
        <x:v>是</x:v>
      </x:c>
      <x:c r="P127" s="22" t="n">
        <x:v>-0.11788498564075993</x:v>
      </x:c>
      <x:c r="Q127" s="22" t="n">
        <x:v>-0.11788498564075993</x:v>
      </x:c>
      <x:c r="R127" s="22" t="n">
        <x:v>-0.11788498564075993</x:v>
      </x:c>
      <x:c r="S127" s="23" t="n">
        <x:f>IF(O127="是",MAX(0,MIN(1,(P127-'总览与权重'!$B$21)/('总览与权重'!$C$21-'总览与权重'!$B$21))),"NA")</x:f>
        <x:v>0.4950881255983017</x:v>
      </x:c>
      <x:c r="T127" s="23" t="n">
        <x:f>IF(O127="是",MAX(0,MIN(1,(Q127-'总览与权重'!$B$22)/('总览与权重'!$C$22-'总览与权重'!$B$22))),"NA")</x:f>
        <x:v>0.44105750717962006</x:v>
      </x:c>
      <x:c r="U127" s="23" t="n">
        <x:f>IF(O127="是",MAX(0,MIN(1,(R127-'总览与权重'!$B$23)/('总览与权重'!$C$23-'总览与权重'!$B$23))),"NA")</x:f>
        <x:v>0.44105750717962006</x:v>
      </x:c>
      <x:c r="V127" s="23" t="n">
        <x:f>IF(O127="是",J127,"NA")</x:f>
        <x:v>1</x:v>
      </x:c>
      <x:c r="W127" s="22" t="str">
        <x:v>完整</x:v>
      </x:c>
      <x:c r="X127" s="22" t="n">
        <x:v>1</x:v>
      </x:c>
      <x:c r="Y127" s="22" t="n">
        <x:v>0</x:v>
      </x:c>
      <x:c r="Z127" s="22" t="n">
        <x:v>0</x:v>
      </x:c>
      <x:c r="AA127" s="22" t="n">
        <x:v>0</x:v>
      </x:c>
      <x:c r="AB127" s="22" t="str">
        <x:v>未匹配场景/评价记录</x:v>
      </x:c>
      <x:c r="AC127" s="22" t="str">
        <x:v>NA</x:v>
      </x:c>
      <x:c r="AD127" s="22" t="str">
        <x:v>NA</x:v>
      </x:c>
      <x:c r="AE127" s="22" t="str">
        <x:v>["S0276"]</x:v>
      </x:c>
      <x:c r="AF127" s="22" t="str">
        <x:v>["2025秋:2025秋-数学模型-问答记录导出20260502导出_已标注_已更新.xlsx:问答记录:284"]</x:v>
      </x:c>
      <x:c r="AG127" s="22" t="str">
        <x:v>evidence/student_evidence.jsonl；student_key=2025秋:259921</x:v>
      </x:c>
      <x:c r="AH127" s="27" t="str"/>
    </x:row>
    <x:row r="128" ht="48" customHeight="1">
      <x:c r="A128" s="21" t="str">
        <x:v>2025秋:259927</x:v>
      </x:c>
      <x:c r="B128" s="22" t="str">
        <x:v>s3</x:v>
      </x:c>
      <x:c r="C128" s="24" t="n">
        <x:v>1</x:v>
      </x:c>
      <x:c r="D128" s="24" t="n">
        <x:v>1</x:v>
      </x:c>
      <x:c r="E128" s="22" t="n">
        <x:v>0</x:v>
      </x:c>
      <x:c r="F128" s="22" t="n">
        <x:v>0</x:v>
      </x:c>
      <x:c r="G128" s="22" t="n">
        <x:v>0</x:v>
      </x:c>
      <x:c r="H128" s="24" t="n">
        <x:v>1</x:v>
      </x:c>
      <x:c r="I128" s="24" t="n">
        <x:v>2</x:v>
      </x:c>
      <x:c r="J128" s="23" t="n">
        <x:f>IF(I128&gt;0,H128/I128,"NA")</x:f>
        <x:v>0.5</x:v>
      </x:c>
      <x:c r="K128" s="23" t="n">
        <x:f>MAX(0,MIN(1,(E128-'总览与权重'!$B$18)/('总览与权重'!$C$18-'总览与权重'!$B$18)))</x:f>
        <x:v>0</x:v>
      </x:c>
      <x:c r="L128" s="23" t="n">
        <x:f>MAX(0,MIN(1,(F128-'总览与权重'!$B$19)/('总览与权重'!$C$19-'总览与权重'!$B$19)))</x:f>
        <x:v>0</x:v>
      </x:c>
      <x:c r="M128" s="23" t="n">
        <x:f>MAX(0,MIN(1,(G128-'总览与权重'!$B$20)/('总览与权重'!$C$20-'总览与权重'!$B$20)))</x:f>
        <x:v>0</x:v>
      </x:c>
      <x:c r="N128" s="23" t="n">
        <x:f>J128</x:f>
        <x:v>0.5</x:v>
      </x:c>
      <x:c r="O128" s="22" t="str">
        <x:v>否</x:v>
      </x:c>
      <x:c r="P128" s="22" t="str">
        <x:v>NA</x:v>
      </x:c>
      <x:c r="Q128" s="22" t="str">
        <x:v>NA</x:v>
      </x:c>
      <x:c r="R128" s="22" t="str">
        <x:v>NA</x:v>
      </x:c>
      <x:c r="S128" s="23" t="str">
        <x:f>IF(O128="是",MAX(0,MIN(1,(P128-'总览与权重'!$B$21)/('总览与权重'!$C$21-'总览与权重'!$B$21))),"NA")</x:f>
        <x:v>NA</x:v>
      </x:c>
      <x:c r="T128" s="23" t="str">
        <x:f>IF(O128="是",MAX(0,MIN(1,(Q128-'总览与权重'!$B$22)/('总览与权重'!$C$22-'总览与权重'!$B$22))),"NA")</x:f>
        <x:v>NA</x:v>
      </x:c>
      <x:c r="U128" s="23" t="str">
        <x:f>IF(O128="是",MAX(0,MIN(1,(R128-'总览与权重'!$B$23)/('总览与权重'!$C$23-'总览与权重'!$B$23))),"NA")</x:f>
        <x:v>NA</x:v>
      </x:c>
      <x:c r="V128" s="23" t="str">
        <x:f>IF(O128="是",J128,"NA")</x:f>
        <x:v>NA</x:v>
      </x:c>
      <x:c r="W128" s="22" t="str">
        <x:v>无完整领域最早before配对</x:v>
      </x:c>
      <x:c r="X128" s="22" t="n">
        <x:v>2</x:v>
      </x:c>
      <x:c r="Y128" s="22" t="n">
        <x:v>0.6321205588285577</x:v>
      </x:c>
      <x:c r="Z128" s="22" t="n">
        <x:v>0</x:v>
      </x:c>
      <x:c r="AA128" s="22" t="n">
        <x:v>0</x:v>
      </x:c>
      <x:c r="AB128" s="22" t="str">
        <x:v>知识点理解与概念探究；正向评价（不计能力分）</x:v>
      </x:c>
      <x:c r="AC128" s="22" t="str">
        <x:v>NA</x:v>
      </x:c>
      <x:c r="AD128" s="22" t="str">
        <x:v>NA</x:v>
      </x:c>
      <x:c r="AE128" s="22" t="str">
        <x:v>["S0271"]</x:v>
      </x:c>
      <x:c r="AF128" s="22" t="str">
        <x:v>["2025秋:2025秋-数学模型-问答记录导出20260502导出_已标注_已更新.xlsx:问答记录:279"]</x:v>
      </x:c>
      <x:c r="AG128" s="22" t="str">
        <x:v>evidence/student_evidence.jsonl；student_key=2025秋:259927</x:v>
      </x:c>
      <x:c r="AH128" s="27" t="str">
        <x:v>同一锚点起止1条：未形成独立重复测量。</x:v>
      </x:c>
    </x:row>
    <x:row r="129" ht="23" customHeight="1">
      <x:c r="A129" s="21" t="str">
        <x:v>2025秋:259944</x:v>
      </x:c>
      <x:c r="B129" s="22" t="str">
        <x:v>s3</x:v>
      </x:c>
      <x:c r="C129" s="24" t="n">
        <x:v>1</x:v>
      </x:c>
      <x:c r="D129" s="24" t="n">
        <x:v>1</x:v>
      </x:c>
      <x:c r="E129" s="22" t="n">
        <x:v>0.15630251638004342</x:v>
      </x:c>
      <x:c r="F129" s="22" t="n">
        <x:v>0.15630251638004342</x:v>
      </x:c>
      <x:c r="G129" s="22" t="n">
        <x:v>0.15630251638004342</x:v>
      </x:c>
      <x:c r="H129" s="24" t="n">
        <x:v>1</x:v>
      </x:c>
      <x:c r="I129" s="24" t="n">
        <x:v>2</x:v>
      </x:c>
      <x:c r="J129" s="23" t="n">
        <x:f>IF(I129&gt;0,H129/I129,"NA")</x:f>
        <x:v>0.5</x:v>
      </x:c>
      <x:c r="K129" s="23" t="n">
        <x:f>MAX(0,MIN(1,(E129-'总览与权重'!$B$18)/('总览与权重'!$C$18-'总览与权重'!$B$18)))</x:f>
        <x:v>0.013025209698336952</x:v>
      </x:c>
      <x:c r="L129" s="23" t="n">
        <x:f>MAX(0,MIN(1,(F129-'总览与权重'!$B$19)/('总览与权重'!$C$19-'总览与权重'!$B$19)))</x:f>
        <x:v>0.15630251638004342</x:v>
      </x:c>
      <x:c r="M129" s="23" t="n">
        <x:f>MAX(0,MIN(1,(G129-'总览与权重'!$B$20)/('总览与权重'!$C$20-'总览与权重'!$B$20)))</x:f>
        <x:v>0.15630251638004342</x:v>
      </x:c>
      <x:c r="N129" s="23" t="n">
        <x:f>J129</x:f>
        <x:v>0.5</x:v>
      </x:c>
      <x:c r="O129" s="22" t="str">
        <x:v>否</x:v>
      </x:c>
      <x:c r="P129" s="22" t="str">
        <x:v>NA</x:v>
      </x:c>
      <x:c r="Q129" s="22" t="str">
        <x:v>NA</x:v>
      </x:c>
      <x:c r="R129" s="22" t="str">
        <x:v>NA</x:v>
      </x:c>
      <x:c r="S129" s="23" t="str">
        <x:f>IF(O129="是",MAX(0,MIN(1,(P129-'总览与权重'!$B$21)/('总览与权重'!$C$21-'总览与权重'!$B$21))),"NA")</x:f>
        <x:v>NA</x:v>
      </x:c>
      <x:c r="T129" s="23" t="str">
        <x:f>IF(O129="是",MAX(0,MIN(1,(Q129-'总览与权重'!$B$22)/('总览与权重'!$C$22-'总览与权重'!$B$22))),"NA")</x:f>
        <x:v>NA</x:v>
      </x:c>
      <x:c r="U129" s="23" t="str">
        <x:f>IF(O129="是",MAX(0,MIN(1,(R129-'总览与权重'!$B$23)/('总览与权重'!$C$23-'总览与权重'!$B$23))),"NA")</x:f>
        <x:v>NA</x:v>
      </x:c>
      <x:c r="V129" s="23" t="str">
        <x:f>IF(O129="是",J129,"NA")</x:f>
        <x:v>NA</x:v>
      </x:c>
      <x:c r="W129" s="22" t="str">
        <x:v>无完整领域最早before配对</x:v>
      </x:c>
      <x:c r="X129" s="22" t="n">
        <x:v>2</x:v>
      </x:c>
      <x:c r="Y129" s="22" t="n">
        <x:v>0.6321205588285577</x:v>
      </x:c>
      <x:c r="Z129" s="22" t="n">
        <x:v>-0.25</x:v>
      </x:c>
      <x:c r="AA129" s="22" t="n">
        <x:v>-0.119047619048</x:v>
      </x:c>
      <x:c r="AB129" s="22" t="str">
        <x:v>知识点理解与概念探究；正向评价（不计能力分）</x:v>
      </x:c>
      <x:c r="AC129" s="22" t="str">
        <x:v>NA</x:v>
      </x:c>
      <x:c r="AD129" s="22" t="str">
        <x:v>NA</x:v>
      </x:c>
      <x:c r="AE129" s="22" t="str">
        <x:v>["S0168"]</x:v>
      </x:c>
      <x:c r="AF129" s="22" t="str">
        <x:v>["2025秋:2025秋-数学模型-问答记录导出20260502导出_已标注_已更新.xlsx:问答记录:171"]</x:v>
      </x:c>
      <x:c r="AG129" s="22" t="str">
        <x:v>evidence/student_evidence.jsonl；student_key=2025秋:259944</x:v>
      </x:c>
      <x:c r="AH129" s="27" t="str"/>
    </x:row>
    <x:row r="130" ht="23" customHeight="1">
      <x:c r="A130" s="21" t="str">
        <x:v>2025秋:259952</x:v>
      </x:c>
      <x:c r="B130" s="22" t="str">
        <x:v>s3</x:v>
      </x:c>
      <x:c r="C130" s="24" t="n">
        <x:v>1</x:v>
      </x:c>
      <x:c r="D130" s="24" t="n">
        <x:v>1</x:v>
      </x:c>
      <x:c r="E130" s="22" t="n">
        <x:v>0.3818843761667175</x:v>
      </x:c>
      <x:c r="F130" s="22" t="n">
        <x:v>0.3818843761667175</x:v>
      </x:c>
      <x:c r="G130" s="22" t="n">
        <x:v>0.3818843761667175</x:v>
      </x:c>
      <x:c r="H130" s="24" t="n">
        <x:v>2</x:v>
      </x:c>
      <x:c r="I130" s="24" t="n">
        <x:v>2</x:v>
      </x:c>
      <x:c r="J130" s="23" t="n">
        <x:f>IF(I130&gt;0,H130/I130,"NA")</x:f>
        <x:v>1</x:v>
      </x:c>
      <x:c r="K130" s="23" t="n">
        <x:f>MAX(0,MIN(1,(E130-'总览与权重'!$B$18)/('总览与权重'!$C$18-'总览与权重'!$B$18)))</x:f>
        <x:v>0.03182369801389313</x:v>
      </x:c>
      <x:c r="L130" s="23" t="n">
        <x:f>MAX(0,MIN(1,(F130-'总览与权重'!$B$19)/('总览与权重'!$C$19-'总览与权重'!$B$19)))</x:f>
        <x:v>0.3818843761667175</x:v>
      </x:c>
      <x:c r="M130" s="23" t="n">
        <x:f>MAX(0,MIN(1,(G130-'总览与权重'!$B$20)/('总览与权重'!$C$20-'总览与权重'!$B$20)))</x:f>
        <x:v>0.3818843761667175</x:v>
      </x:c>
      <x:c r="N130" s="23" t="n">
        <x:f>J130</x:f>
        <x:v>1</x:v>
      </x:c>
      <x:c r="O130" s="22" t="str">
        <x:v>否</x:v>
      </x:c>
      <x:c r="P130" s="22" t="str">
        <x:v>NA</x:v>
      </x:c>
      <x:c r="Q130" s="22" t="str">
        <x:v>NA</x:v>
      </x:c>
      <x:c r="R130" s="22" t="str">
        <x:v>NA</x:v>
      </x:c>
      <x:c r="S130" s="23" t="str">
        <x:f>IF(O130="是",MAX(0,MIN(1,(P130-'总览与权重'!$B$21)/('总览与权重'!$C$21-'总览与权重'!$B$21))),"NA")</x:f>
        <x:v>NA</x:v>
      </x:c>
      <x:c r="T130" s="23" t="str">
        <x:f>IF(O130="是",MAX(0,MIN(1,(Q130-'总览与权重'!$B$22)/('总览与权重'!$C$22-'总览与权重'!$B$22))),"NA")</x:f>
        <x:v>NA</x:v>
      </x:c>
      <x:c r="U130" s="23" t="str">
        <x:f>IF(O130="是",MAX(0,MIN(1,(R130-'总览与权重'!$B$23)/('总览与权重'!$C$23-'总览与权重'!$B$23))),"NA")</x:f>
        <x:v>NA</x:v>
      </x:c>
      <x:c r="V130" s="23" t="str">
        <x:f>IF(O130="是",J130,"NA")</x:f>
        <x:v>NA</x:v>
      </x:c>
      <x:c r="W130" s="22" t="str">
        <x:v>无完整领域最早before配对</x:v>
      </x:c>
      <x:c r="X130" s="22" t="n">
        <x:v>2</x:v>
      </x:c>
      <x:c r="Y130" s="22" t="n">
        <x:v>0.6321205588285577</x:v>
      </x:c>
      <x:c r="Z130" s="22" t="n">
        <x:v>-0.25</x:v>
      </x:c>
      <x:c r="AA130" s="22" t="n">
        <x:v>-0.119047619048</x:v>
      </x:c>
      <x:c r="AB130" s="22" t="str">
        <x:v>知识点理解与概念探究；无明确评价（不计能力分）</x:v>
      </x:c>
      <x:c r="AC130" s="22" t="str">
        <x:v>NA</x:v>
      </x:c>
      <x:c r="AD130" s="22" t="str">
        <x:v>NA</x:v>
      </x:c>
      <x:c r="AE130" s="22" t="str">
        <x:v>["S0277"]</x:v>
      </x:c>
      <x:c r="AF130" s="22" t="str">
        <x:v>["2025秋:2025秋-数学模型-问答记录导出20260502导出_已标注_已更新.xlsx:问答记录:285"]</x:v>
      </x:c>
      <x:c r="AG130" s="22" t="str">
        <x:v>evidence/student_evidence.jsonl；student_key=2025秋:259952</x:v>
      </x:c>
      <x:c r="AH130" s="27" t="str"/>
    </x:row>
    <x:row r="131" ht="23" customHeight="1">
      <x:c r="A131" s="21" t="str">
        <x:v>2025秋:259958</x:v>
      </x:c>
      <x:c r="B131" s="22" t="str">
        <x:v>s3</x:v>
      </x:c>
      <x:c r="C131" s="24" t="n">
        <x:v>1</x:v>
      </x:c>
      <x:c r="D131" s="24" t="n">
        <x:v>1</x:v>
      </x:c>
      <x:c r="E131" s="22" t="n">
        <x:v>0</x:v>
      </x:c>
      <x:c r="F131" s="22" t="n">
        <x:v>0</x:v>
      </x:c>
      <x:c r="G131" s="22" t="n">
        <x:v>0</x:v>
      </x:c>
      <x:c r="H131" s="24" t="n">
        <x:v>1</x:v>
      </x:c>
      <x:c r="I131" s="24" t="n">
        <x:v>2</x:v>
      </x:c>
      <x:c r="J131" s="23" t="n">
        <x:f>IF(I131&gt;0,H131/I131,"NA")</x:f>
        <x:v>0.5</x:v>
      </x:c>
      <x:c r="K131" s="23" t="n">
        <x:f>MAX(0,MIN(1,(E131-'总览与权重'!$B$18)/('总览与权重'!$C$18-'总览与权重'!$B$18)))</x:f>
        <x:v>0</x:v>
      </x:c>
      <x:c r="L131" s="23" t="n">
        <x:f>MAX(0,MIN(1,(F131-'总览与权重'!$B$19)/('总览与权重'!$C$19-'总览与权重'!$B$19)))</x:f>
        <x:v>0</x:v>
      </x:c>
      <x:c r="M131" s="23" t="n">
        <x:f>MAX(0,MIN(1,(G131-'总览与权重'!$B$20)/('总览与权重'!$C$20-'总览与权重'!$B$20)))</x:f>
        <x:v>0</x:v>
      </x:c>
      <x:c r="N131" s="23" t="n">
        <x:f>J131</x:f>
        <x:v>0.5</x:v>
      </x:c>
      <x:c r="O131" s="22" t="str">
        <x:v>是</x:v>
      </x:c>
      <x:c r="P131" s="22" t="n">
        <x:v>-0.027286366592135628</x:v>
      </x:c>
      <x:c r="Q131" s="22" t="n">
        <x:v>-0.045477277653559384</x:v>
      </x:c>
      <x:c r="R131" s="22" t="n">
        <x:v>-0.045477277653559384</x:v>
      </x:c>
      <x:c r="S131" s="23" t="n">
        <x:f>IF(O131="是",MAX(0,MIN(1,(P131-'总览与权重'!$B$21)/('总览与权重'!$C$21-'总览与权重'!$B$21))),"NA")</x:f>
        <x:v>0.498863068058661</x:v>
      </x:c>
      <x:c r="T131" s="23" t="n">
        <x:f>IF(O131="是",MAX(0,MIN(1,(Q131-'总览与权重'!$B$22)/('总览与权重'!$C$22-'总览与权重'!$B$22))),"NA")</x:f>
        <x:v>0.4772613611732203</x:v>
      </x:c>
      <x:c r="U131" s="23" t="n">
        <x:f>IF(O131="是",MAX(0,MIN(1,(R131-'总览与权重'!$B$23)/('总览与权重'!$C$23-'总览与权重'!$B$23))),"NA")</x:f>
        <x:v>0.4772613611732203</x:v>
      </x:c>
      <x:c r="V131" s="23" t="n">
        <x:f>IF(O131="是",J131,"NA")</x:f>
        <x:v>0.5</x:v>
      </x:c>
      <x:c r="W131" s="22" t="str">
        <x:v>完整</x:v>
      </x:c>
      <x:c r="X131" s="22" t="n">
        <x:v>1</x:v>
      </x:c>
      <x:c r="Y131" s="22" t="n">
        <x:v>0</x:v>
      </x:c>
      <x:c r="Z131" s="22" t="n">
        <x:v>0</x:v>
      </x:c>
      <x:c r="AA131" s="22" t="n">
        <x:v>0</x:v>
      </x:c>
      <x:c r="AB131" s="22" t="str">
        <x:v>模型方法选择与问题求解；正向评价（不计能力分）</x:v>
      </x:c>
      <x:c r="AC131" s="22" t="str">
        <x:v>NA</x:v>
      </x:c>
      <x:c r="AD131" s="22" t="str">
        <x:v>NA</x:v>
      </x:c>
      <x:c r="AE131" s="22" t="str">
        <x:v>["S0183"]</x:v>
      </x:c>
      <x:c r="AF131" s="22" t="str">
        <x:v>["2025秋:2025秋-数学模型-问答记录导出20260502导出_已标注_已更新.xlsx:问答记录:186"]</x:v>
      </x:c>
      <x:c r="AG131" s="22" t="str">
        <x:v>evidence/student_evidence.jsonl；student_key=2025秋:259958</x:v>
      </x:c>
      <x:c r="AH131" s="27" t="str"/>
    </x:row>
    <x:row r="132" ht="23" customHeight="1">
      <x:c r="A132" s="21" t="str">
        <x:v>2025秋:259961</x:v>
      </x:c>
      <x:c r="B132" s="22" t="str">
        <x:v>s3</x:v>
      </x:c>
      <x:c r="C132" s="24" t="n">
        <x:v>1</x:v>
      </x:c>
      <x:c r="D132" s="24" t="n">
        <x:v>1</x:v>
      </x:c>
      <x:c r="E132" s="22" t="n">
        <x:v>0.49311023863755865</x:v>
      </x:c>
      <x:c r="F132" s="22" t="n">
        <x:v>0.49311023863755865</x:v>
      </x:c>
      <x:c r="G132" s="22" t="n">
        <x:v>0.49311023863755865</x:v>
      </x:c>
      <x:c r="H132" s="24" t="n">
        <x:v>1</x:v>
      </x:c>
      <x:c r="I132" s="24" t="n">
        <x:v>1</x:v>
      </x:c>
      <x:c r="J132" s="23" t="n">
        <x:f>IF(I132&gt;0,H132/I132,"NA")</x:f>
        <x:v>1</x:v>
      </x:c>
      <x:c r="K132" s="23" t="n">
        <x:f>MAX(0,MIN(1,(E132-'总览与权重'!$B$18)/('总览与权重'!$C$18-'总览与权重'!$B$18)))</x:f>
        <x:v>0.04109251988646322</x:v>
      </x:c>
      <x:c r="L132" s="23" t="n">
        <x:f>MAX(0,MIN(1,(F132-'总览与权重'!$B$19)/('总览与权重'!$C$19-'总览与权重'!$B$19)))</x:f>
        <x:v>0.49311023863755865</x:v>
      </x:c>
      <x:c r="M132" s="23" t="n">
        <x:f>MAX(0,MIN(1,(G132-'总览与权重'!$B$20)/('总览与权重'!$C$20-'总览与权重'!$B$20)))</x:f>
        <x:v>0.49311023863755865</x:v>
      </x:c>
      <x:c r="N132" s="23" t="n">
        <x:f>J132</x:f>
        <x:v>1</x:v>
      </x:c>
      <x:c r="O132" s="22" t="str">
        <x:v>是</x:v>
      </x:c>
      <x:c r="P132" s="22" t="n">
        <x:v>0.35627795298520837</x:v>
      </x:c>
      <x:c r="Q132" s="22" t="n">
        <x:v>0.35627795298520837</x:v>
      </x:c>
      <x:c r="R132" s="22" t="n">
        <x:v>0.35627795298520837</x:v>
      </x:c>
      <x:c r="S132" s="23" t="n">
        <x:f>IF(O132="是",MAX(0,MIN(1,(P132-'总览与权重'!$B$21)/('总览与权重'!$C$21-'总览与权重'!$B$21))),"NA")</x:f>
        <x:v>0.514844914707717</x:v>
      </x:c>
      <x:c r="T132" s="23" t="n">
        <x:f>IF(O132="是",MAX(0,MIN(1,(Q132-'总览与权重'!$B$22)/('总览与权重'!$C$22-'总览与权重'!$B$22))),"NA")</x:f>
        <x:v>0.6781389764926042</x:v>
      </x:c>
      <x:c r="U132" s="23" t="n">
        <x:f>IF(O132="是",MAX(0,MIN(1,(R132-'总览与权重'!$B$23)/('总览与权重'!$C$23-'总览与权重'!$B$23))),"NA")</x:f>
        <x:v>0.6781389764926042</x:v>
      </x:c>
      <x:c r="V132" s="23" t="n">
        <x:f>IF(O132="是",J132,"NA")</x:f>
        <x:v>1</x:v>
      </x:c>
      <x:c r="W132" s="22" t="str">
        <x:v>完整</x:v>
      </x:c>
      <x:c r="X132" s="22" t="n">
        <x:v>1</x:v>
      </x:c>
      <x:c r="Y132" s="22" t="n">
        <x:v>0</x:v>
      </x:c>
      <x:c r="Z132" s="22" t="n">
        <x:v>0.05</x:v>
      </x:c>
      <x:c r="AA132" s="22" t="n">
        <x:v>0.547619047619</x:v>
      </x:c>
      <x:c r="AB132" s="22" t="str">
        <x:v>知识点理解与概念探究；正向评价（不计能力分）</x:v>
      </x:c>
      <x:c r="AC132" s="22" t="str">
        <x:v>NA</x:v>
      </x:c>
      <x:c r="AD132" s="22" t="str">
        <x:v>NA</x:v>
      </x:c>
      <x:c r="AE132" s="22" t="str">
        <x:v>["S0296"]</x:v>
      </x:c>
      <x:c r="AF132" s="22" t="str">
        <x:v>["2025秋:2025秋-数学模型-问答记录导出20260502导出_已标注_已更新.xlsx:问答记录:304"]</x:v>
      </x:c>
      <x:c r="AG132" s="22" t="str">
        <x:v>evidence/student_evidence.jsonl；student_key=2025秋:259961</x:v>
      </x:c>
      <x:c r="AH132" s="27" t="str"/>
    </x:row>
    <x:row r="133" ht="23" customHeight="1">
      <x:c r="A133" s="21" t="str">
        <x:v>2025秋:25A081</x:v>
      </x:c>
      <x:c r="B133" s="22" t="str">
        <x:v>s3</x:v>
      </x:c>
      <x:c r="C133" s="24" t="n">
        <x:v>1</x:v>
      </x:c>
      <x:c r="D133" s="24" t="n">
        <x:v>1</x:v>
      </x:c>
      <x:c r="E133" s="22" t="n">
        <x:v>0.4961454191060238</x:v>
      </x:c>
      <x:c r="F133" s="22" t="n">
        <x:v>0.4961454191060238</x:v>
      </x:c>
      <x:c r="G133" s="22" t="n">
        <x:v>0.4961454191060238</x:v>
      </x:c>
      <x:c r="H133" s="24" t="n">
        <x:v>1</x:v>
      </x:c>
      <x:c r="I133" s="24" t="n">
        <x:v>1</x:v>
      </x:c>
      <x:c r="J133" s="23" t="n">
        <x:f>IF(I133&gt;0,H133/I133,"NA")</x:f>
        <x:v>1</x:v>
      </x:c>
      <x:c r="K133" s="23" t="n">
        <x:f>MAX(0,MIN(1,(E133-'总览与权重'!$B$18)/('总览与权重'!$C$18-'总览与权重'!$B$18)))</x:f>
        <x:v>0.041345451592168646</x:v>
      </x:c>
      <x:c r="L133" s="23" t="n">
        <x:f>MAX(0,MIN(1,(F133-'总览与权重'!$B$19)/('总览与权重'!$C$19-'总览与权重'!$B$19)))</x:f>
        <x:v>0.4961454191060238</x:v>
      </x:c>
      <x:c r="M133" s="23" t="n">
        <x:f>MAX(0,MIN(1,(G133-'总览与权重'!$B$20)/('总览与权重'!$C$20-'总览与权重'!$B$20)))</x:f>
        <x:v>0.4961454191060238</x:v>
      </x:c>
      <x:c r="N133" s="23" t="n">
        <x:f>J133</x:f>
        <x:v>1</x:v>
      </x:c>
      <x:c r="O133" s="22" t="str">
        <x:v>是</x:v>
      </x:c>
      <x:c r="P133" s="22" t="n">
        <x:v>0.35931313345367355</x:v>
      </x:c>
      <x:c r="Q133" s="22" t="n">
        <x:v>0.35931313345367355</x:v>
      </x:c>
      <x:c r="R133" s="22" t="n">
        <x:v>0.35931313345367355</x:v>
      </x:c>
      <x:c r="S133" s="23" t="n">
        <x:f>IF(O133="是",MAX(0,MIN(1,(P133-'总览与权重'!$B$21)/('总览与权重'!$C$21-'总览与权重'!$B$21))),"NA")</x:f>
        <x:v>0.5149713805605697</x:v>
      </x:c>
      <x:c r="T133" s="23" t="n">
        <x:f>IF(O133="是",MAX(0,MIN(1,(Q133-'总览与权重'!$B$22)/('总览与权重'!$C$22-'总览与权重'!$B$22))),"NA")</x:f>
        <x:v>0.6796565667268368</x:v>
      </x:c>
      <x:c r="U133" s="23" t="n">
        <x:f>IF(O133="是",MAX(0,MIN(1,(R133-'总览与权重'!$B$23)/('总览与权重'!$C$23-'总览与权重'!$B$23))),"NA")</x:f>
        <x:v>0.6796565667268368</x:v>
      </x:c>
      <x:c r="V133" s="23" t="n">
        <x:f>IF(O133="是",J133,"NA")</x:f>
        <x:v>1</x:v>
      </x:c>
      <x:c r="W133" s="22" t="str">
        <x:v>完整</x:v>
      </x:c>
      <x:c r="X133" s="22" t="n">
        <x:v>1</x:v>
      </x:c>
      <x:c r="Y133" s="22" t="n">
        <x:v>0</x:v>
      </x:c>
      <x:c r="Z133" s="22" t="n">
        <x:v>0.05</x:v>
      </x:c>
      <x:c r="AA133" s="22" t="n">
        <x:v>0.547619047619</x:v>
      </x:c>
      <x:c r="AB133" s="22" t="str">
        <x:v>未匹配场景/评价记录</x:v>
      </x:c>
      <x:c r="AC133" s="22" t="str">
        <x:v>NA</x:v>
      </x:c>
      <x:c r="AD133" s="22" t="str">
        <x:v>NA</x:v>
      </x:c>
      <x:c r="AE133" s="22" t="str">
        <x:v>["S0411"]</x:v>
      </x:c>
      <x:c r="AF133" s="22" t="str">
        <x:v>["2025秋:2025秋-数学模型-问答记录导出20260502导出_已标注_已更新.xlsx:问答记录:422"]</x:v>
      </x:c>
      <x:c r="AG133" s="22" t="str">
        <x:v>evidence/student_evidence.jsonl；student_key=2025秋:25A081</x:v>
      </x:c>
      <x:c r="AH133" s="27" t="str"/>
    </x:row>
    <x:row r="134" ht="23" customHeight="1">
      <x:c r="A134" s="21" t="str">
        <x:v>2025秋:25A085</x:v>
      </x:c>
      <x:c r="B134" s="22" t="str">
        <x:v>s3</x:v>
      </x:c>
      <x:c r="C134" s="24" t="n">
        <x:v>1</x:v>
      </x:c>
      <x:c r="D134" s="24" t="n">
        <x:v>1</x:v>
      </x:c>
      <x:c r="E134" s="22" t="n">
        <x:v>0.13529313828519068</x:v>
      </x:c>
      <x:c r="F134" s="22" t="n">
        <x:v>0.13529313828519068</x:v>
      </x:c>
      <x:c r="G134" s="22" t="n">
        <x:v>0.13529313828519068</x:v>
      </x:c>
      <x:c r="H134" s="24" t="n">
        <x:v>1</x:v>
      </x:c>
      <x:c r="I134" s="24" t="n">
        <x:v>1</x:v>
      </x:c>
      <x:c r="J134" s="23" t="n">
        <x:f>IF(I134&gt;0,H134/I134,"NA")</x:f>
        <x:v>1</x:v>
      </x:c>
      <x:c r="K134" s="23" t="n">
        <x:f>MAX(0,MIN(1,(E134-'总览与权重'!$B$18)/('总览与权重'!$C$18-'总览与权重'!$B$18)))</x:f>
        <x:v>0.011274428190432556</x:v>
      </x:c>
      <x:c r="L134" s="23" t="n">
        <x:f>MAX(0,MIN(1,(F134-'总览与权重'!$B$19)/('总览与权重'!$C$19-'总览与权重'!$B$19)))</x:f>
        <x:v>0.13529313828519068</x:v>
      </x:c>
      <x:c r="M134" s="23" t="n">
        <x:f>MAX(0,MIN(1,(G134-'总览与权重'!$B$20)/('总览与权重'!$C$20-'总览与权重'!$B$20)))</x:f>
        <x:v>0.13529313828519068</x:v>
      </x:c>
      <x:c r="N134" s="23" t="n">
        <x:f>J134</x:f>
        <x:v>1</x:v>
      </x:c>
      <x:c r="O134" s="22" t="str">
        <x:v>是</x:v>
      </x:c>
      <x:c r="P134" s="22" t="n">
        <x:v>-0.0015107884708990549</x:v>
      </x:c>
      <x:c r="Q134" s="22" t="n">
        <x:v>-0.0015107884708990549</x:v>
      </x:c>
      <x:c r="R134" s="22" t="n">
        <x:v>-0.0015107884708990549</x:v>
      </x:c>
      <x:c r="S134" s="23" t="n">
        <x:f>IF(O134="是",MAX(0,MIN(1,(P134-'总览与权重'!$B$21)/('总览与权重'!$C$21-'总览与权重'!$B$21))),"NA")</x:f>
        <x:v>0.49993705048037923</x:v>
      </x:c>
      <x:c r="T134" s="23" t="n">
        <x:f>IF(O134="是",MAX(0,MIN(1,(Q134-'总览与权重'!$B$22)/('总览与权重'!$C$22-'总览与权重'!$B$22))),"NA")</x:f>
        <x:v>0.4992446057645505</x:v>
      </x:c>
      <x:c r="U134" s="23" t="n">
        <x:f>IF(O134="是",MAX(0,MIN(1,(R134-'总览与权重'!$B$23)/('总览与权重'!$C$23-'总览与权重'!$B$23))),"NA")</x:f>
        <x:v>0.4992446057645505</x:v>
      </x:c>
      <x:c r="V134" s="23" t="n">
        <x:f>IF(O134="是",J134,"NA")</x:f>
        <x:v>1</x:v>
      </x:c>
      <x:c r="W134" s="22" t="str">
        <x:v>完整</x:v>
      </x:c>
      <x:c r="X134" s="22" t="n">
        <x:v>2</x:v>
      </x:c>
      <x:c r="Y134" s="22" t="n">
        <x:v>0.6321205588285577</x:v>
      </x:c>
      <x:c r="Z134" s="22" t="n">
        <x:v>0.3</x:v>
      </x:c>
      <x:c r="AA134" s="22" t="n">
        <x:v>0.666666666667</x:v>
      </x:c>
      <x:c r="AB134" s="22" t="str">
        <x:v>知识点理解与概念探究；正向评价（不计能力分）</x:v>
      </x:c>
      <x:c r="AC134" s="22" t="str">
        <x:v>NA</x:v>
      </x:c>
      <x:c r="AD134" s="22" t="str">
        <x:v>NA</x:v>
      </x:c>
      <x:c r="AE134" s="22" t="str">
        <x:v>["S0138"]</x:v>
      </x:c>
      <x:c r="AF134" s="22" t="str">
        <x:v>["2025秋:2025秋-数学模型-问答记录导出20260502导出_已标注_已更新.xlsx:问答记录:141"]</x:v>
      </x:c>
      <x:c r="AG134" s="22" t="str">
        <x:v>evidence/student_evidence.jsonl；student_key=2025秋:25A085</x:v>
      </x:c>
      <x:c r="AH134" s="27" t="str"/>
    </x:row>
    <x:row r="135" ht="48" customHeight="1">
      <x:c r="A135" s="21" t="str">
        <x:v>2025秋:25A086</x:v>
      </x:c>
      <x:c r="B135" s="22" t="str">
        <x:v>s3</x:v>
      </x:c>
      <x:c r="C135" s="24" t="n">
        <x:v>1</x:v>
      </x:c>
      <x:c r="D135" s="24" t="n">
        <x:v>1</x:v>
      </x:c>
      <x:c r="E135" s="22" t="n">
        <x:v>0</x:v>
      </x:c>
      <x:c r="F135" s="22" t="n">
        <x:v>0</x:v>
      </x:c>
      <x:c r="G135" s="22" t="n">
        <x:v>0</x:v>
      </x:c>
      <x:c r="H135" s="24" t="n">
        <x:v>1</x:v>
      </x:c>
      <x:c r="I135" s="24" t="n">
        <x:v>1</x:v>
      </x:c>
      <x:c r="J135" s="23" t="n">
        <x:f>IF(I135&gt;0,H135/I135,"NA")</x:f>
        <x:v>1</x:v>
      </x:c>
      <x:c r="K135" s="23" t="n">
        <x:f>MAX(0,MIN(1,(E135-'总览与权重'!$B$18)/('总览与权重'!$C$18-'总览与权重'!$B$18)))</x:f>
        <x:v>0</x:v>
      </x:c>
      <x:c r="L135" s="23" t="n">
        <x:f>MAX(0,MIN(1,(F135-'总览与权重'!$B$19)/('总览与权重'!$C$19-'总览与权重'!$B$19)))</x:f>
        <x:v>0</x:v>
      </x:c>
      <x:c r="M135" s="23" t="n">
        <x:f>MAX(0,MIN(1,(G135-'总览与权重'!$B$20)/('总览与权重'!$C$20-'总览与权重'!$B$20)))</x:f>
        <x:v>0</x:v>
      </x:c>
      <x:c r="N135" s="23" t="n">
        <x:f>J135</x:f>
        <x:v>1</x:v>
      </x:c>
      <x:c r="O135" s="22" t="str">
        <x:v>是</x:v>
      </x:c>
      <x:c r="P135" s="22" t="n">
        <x:v>-0.13680392675608974</x:v>
      </x:c>
      <x:c r="Q135" s="22" t="n">
        <x:v>-0.13680392675608974</x:v>
      </x:c>
      <x:c r="R135" s="22" t="n">
        <x:v>-0.13680392675608974</x:v>
      </x:c>
      <x:c r="S135" s="23" t="n">
        <x:f>IF(O135="是",MAX(0,MIN(1,(P135-'总览与权重'!$B$21)/('总览与权重'!$C$21-'总览与权重'!$B$21))),"NA")</x:f>
        <x:v>0.49429983638516295</x:v>
      </x:c>
      <x:c r="T135" s="23" t="n">
        <x:f>IF(O135="是",MAX(0,MIN(1,(Q135-'总览与权重'!$B$22)/('总览与权重'!$C$22-'总览与权重'!$B$22))),"NA")</x:f>
        <x:v>0.4315980366219551</x:v>
      </x:c>
      <x:c r="U135" s="23" t="n">
        <x:f>IF(O135="是",MAX(0,MIN(1,(R135-'总览与权重'!$B$23)/('总览与权重'!$C$23-'总览与权重'!$B$23))),"NA")</x:f>
        <x:v>0.4315980366219551</x:v>
      </x:c>
      <x:c r="V135" s="23" t="n">
        <x:f>IF(O135="是",J135,"NA")</x:f>
        <x:v>1</x:v>
      </x:c>
      <x:c r="W135" s="22" t="str">
        <x:v>完整</x:v>
      </x:c>
      <x:c r="X135" s="22" t="n">
        <x:v>1</x:v>
      </x:c>
      <x:c r="Y135" s="22" t="n">
        <x:v>0</x:v>
      </x:c>
      <x:c r="Z135" s="22" t="n">
        <x:v>0</x:v>
      </x:c>
      <x:c r="AA135" s="22" t="n">
        <x:v>0</x:v>
      </x:c>
      <x:c r="AB135" s="22" t="str">
        <x:v>未匹配场景/评价记录</x:v>
      </x:c>
      <x:c r="AC135" s="22" t="str">
        <x:v>NA</x:v>
      </x:c>
      <x:c r="AD135" s="22" t="str">
        <x:v>NA</x:v>
      </x:c>
      <x:c r="AE135" s="22" t="str">
        <x:v>["S0246"]</x:v>
      </x:c>
      <x:c r="AF135" s="22" t="str">
        <x:v>["2025秋:2025秋-数学模型-问答记录导出20260502导出_已标注_已更新.xlsx:问答记录:252"]</x:v>
      </x:c>
      <x:c r="AG135" s="22" t="str">
        <x:v>evidence/student_evidence.jsonl；student_key=2025秋:25A086</x:v>
      </x:c>
      <x:c r="AH135" s="27" t="str">
        <x:v>同一锚点起止1条：未形成独立重复测量。</x:v>
      </x:c>
    </x:row>
    <x:row r="136" ht="23" customHeight="1">
      <x:c r="A136" s="21" t="str">
        <x:v>2025秋:25A134</x:v>
      </x:c>
      <x:c r="B136" s="22" t="str">
        <x:v>s3</x:v>
      </x:c>
      <x:c r="C136" s="24" t="n">
        <x:v>1</x:v>
      </x:c>
      <x:c r="D136" s="24" t="n">
        <x:v>1</x:v>
      </x:c>
      <x:c r="E136" s="22" t="n">
        <x:v>0.4876754125699273</x:v>
      </x:c>
      <x:c r="F136" s="22" t="n">
        <x:v>0.4876754125699273</x:v>
      </x:c>
      <x:c r="G136" s="22" t="n">
        <x:v>0.4876754125699273</x:v>
      </x:c>
      <x:c r="H136" s="24" t="n">
        <x:v>1</x:v>
      </x:c>
      <x:c r="I136" s="24" t="n">
        <x:v>1</x:v>
      </x:c>
      <x:c r="J136" s="23" t="n">
        <x:f>IF(I136&gt;0,H136/I136,"NA")</x:f>
        <x:v>1</x:v>
      </x:c>
      <x:c r="K136" s="23" t="n">
        <x:f>MAX(0,MIN(1,(E136-'总览与权重'!$B$18)/('总览与权重'!$C$18-'总览与权重'!$B$18)))</x:f>
        <x:v>0.04063961771416061</x:v>
      </x:c>
      <x:c r="L136" s="23" t="n">
        <x:f>MAX(0,MIN(1,(F136-'总览与权重'!$B$19)/('总览与权重'!$C$19-'总览与权重'!$B$19)))</x:f>
        <x:v>0.4876754125699273</x:v>
      </x:c>
      <x:c r="M136" s="23" t="n">
        <x:f>MAX(0,MIN(1,(G136-'总览与权重'!$B$20)/('总览与权重'!$C$20-'总览与权重'!$B$20)))</x:f>
        <x:v>0.4876754125699273</x:v>
      </x:c>
      <x:c r="N136" s="23" t="n">
        <x:f>J136</x:f>
        <x:v>1</x:v>
      </x:c>
      <x:c r="O136" s="22" t="str">
        <x:v>是</x:v>
      </x:c>
      <x:c r="P136" s="22" t="n">
        <x:v>0.35087148581383754</x:v>
      </x:c>
      <x:c r="Q136" s="22" t="n">
        <x:v>0.35087148581383754</x:v>
      </x:c>
      <x:c r="R136" s="22" t="n">
        <x:v>0.35087148581383754</x:v>
      </x:c>
      <x:c r="S136" s="23" t="n">
        <x:f>IF(O136="是",MAX(0,MIN(1,(P136-'总览与权重'!$B$21)/('总览与权重'!$C$21-'总览与权重'!$B$21))),"NA")</x:f>
        <x:v>0.5146196452422432</x:v>
      </x:c>
      <x:c r="T136" s="23" t="n">
        <x:f>IF(O136="是",MAX(0,MIN(1,(Q136-'总览与权重'!$B$22)/('总览与权重'!$C$22-'总览与权重'!$B$22))),"NA")</x:f>
        <x:v>0.6754357429069188</x:v>
      </x:c>
      <x:c r="U136" s="23" t="n">
        <x:f>IF(O136="是",MAX(0,MIN(1,(R136-'总览与权重'!$B$23)/('总览与权重'!$C$23-'总览与权重'!$B$23))),"NA")</x:f>
        <x:v>0.6754357429069188</x:v>
      </x:c>
      <x:c r="V136" s="23" t="n">
        <x:f>IF(O136="是",J136,"NA")</x:f>
        <x:v>1</x:v>
      </x:c>
      <x:c r="W136" s="22" t="str">
        <x:v>完整</x:v>
      </x:c>
      <x:c r="X136" s="22" t="n">
        <x:v>1</x:v>
      </x:c>
      <x:c r="Y136" s="22" t="n">
        <x:v>0</x:v>
      </x:c>
      <x:c r="Z136" s="22" t="n">
        <x:v>0.05</x:v>
      </x:c>
      <x:c r="AA136" s="22" t="n">
        <x:v>0.547619047619</x:v>
      </x:c>
      <x:c r="AB136" s="22" t="str">
        <x:v>知识点理解与概念探究；正向评价（不计能力分）</x:v>
      </x:c>
      <x:c r="AC136" s="22" t="str">
        <x:v>NA</x:v>
      </x:c>
      <x:c r="AD136" s="22" t="str">
        <x:v>NA</x:v>
      </x:c>
      <x:c r="AE136" s="22" t="str">
        <x:v>["S0311"]</x:v>
      </x:c>
      <x:c r="AF136" s="22" t="str">
        <x:v>["2025秋:2025秋-数学模型-问答记录导出20260502导出_已标注_已更新.xlsx:问答记录:319"]</x:v>
      </x:c>
      <x:c r="AG136" s="22" t="str">
        <x:v>evidence/student_evidence.jsonl；student_key=2025秋:25A134</x:v>
      </x:c>
      <x:c r="AH136" s="27" t="str"/>
    </x:row>
    <x:row r="137" ht="23" customHeight="1">
      <x:c r="A137" s="21" t="str">
        <x:v>2025秋:25A146</x:v>
      </x:c>
      <x:c r="B137" s="22" t="str">
        <x:v>s3</x:v>
      </x:c>
      <x:c r="C137" s="24" t="n">
        <x:v>1</x:v>
      </x:c>
      <x:c r="D137" s="24" t="n">
        <x:v>1</x:v>
      </x:c>
      <x:c r="E137" s="22" t="n">
        <x:v>0.29266747259160447</x:v>
      </x:c>
      <x:c r="F137" s="22" t="n">
        <x:v>0.29266747259160447</x:v>
      </x:c>
      <x:c r="G137" s="22" t="n">
        <x:v>0.29266747259160447</x:v>
      </x:c>
      <x:c r="H137" s="24" t="n">
        <x:v>1</x:v>
      </x:c>
      <x:c r="I137" s="24" t="n">
        <x:v>2</x:v>
      </x:c>
      <x:c r="J137" s="23" t="n">
        <x:f>IF(I137&gt;0,H137/I137,"NA")</x:f>
        <x:v>0.5</x:v>
      </x:c>
      <x:c r="K137" s="23" t="n">
        <x:f>MAX(0,MIN(1,(E137-'总览与权重'!$B$18)/('总览与权重'!$C$18-'总览与权重'!$B$18)))</x:f>
        <x:v>0.024388956049300373</x:v>
      </x:c>
      <x:c r="L137" s="23" t="n">
        <x:f>MAX(0,MIN(1,(F137-'总览与权重'!$B$19)/('总览与权重'!$C$19-'总览与权重'!$B$19)))</x:f>
        <x:v>0.29266747259160447</x:v>
      </x:c>
      <x:c r="M137" s="23" t="n">
        <x:f>MAX(0,MIN(1,(G137-'总览与权重'!$B$20)/('总览与权重'!$C$20-'总览与权重'!$B$20)))</x:f>
        <x:v>0.29266747259160447</x:v>
      </x:c>
      <x:c r="N137" s="23" t="n">
        <x:f>J137</x:f>
        <x:v>0.5</x:v>
      </x:c>
      <x:c r="O137" s="22" t="str">
        <x:v>是</x:v>
      </x:c>
      <x:c r="P137" s="22" t="n">
        <x:v>0.1580654758961371</x:v>
      </x:c>
      <x:c r="Q137" s="22" t="n">
        <x:v>0.19758184487017136</x:v>
      </x:c>
      <x:c r="R137" s="22" t="n">
        <x:v>0.19758184487017133</x:v>
      </x:c>
      <x:c r="S137" s="23" t="n">
        <x:f>IF(O137="是",MAX(0,MIN(1,(P137-'总览与权重'!$B$21)/('总览与权重'!$C$21-'总览与权重'!$B$21))),"NA")</x:f>
        <x:v>0.5065860614956724</x:v>
      </x:c>
      <x:c r="T137" s="23" t="n">
        <x:f>IF(O137="是",MAX(0,MIN(1,(Q137-'总览与权重'!$B$22)/('总览与权重'!$C$22-'总览与权重'!$B$22))),"NA")</x:f>
        <x:v>0.5987909224350857</x:v>
      </x:c>
      <x:c r="U137" s="23" t="n">
        <x:f>IF(O137="是",MAX(0,MIN(1,(R137-'总览与权重'!$B$23)/('总览与权重'!$C$23-'总览与权重'!$B$23))),"NA")</x:f>
        <x:v>0.5987909224350857</x:v>
      </x:c>
      <x:c r="V137" s="23" t="n">
        <x:f>IF(O137="是",J137,"NA")</x:f>
        <x:v>0.5</x:v>
      </x:c>
      <x:c r="W137" s="22" t="str">
        <x:v>完整</x:v>
      </x:c>
      <x:c r="X137" s="22" t="n">
        <x:v>2</x:v>
      </x:c>
      <x:c r="Y137" s="22" t="n">
        <x:v>0.6321205588285577</x:v>
      </x:c>
      <x:c r="Z137" s="22" t="n">
        <x:v>-0.25</x:v>
      </x:c>
      <x:c r="AA137" s="22" t="n">
        <x:v>-0.119047619048</x:v>
      </x:c>
      <x:c r="AB137" s="22" t="str">
        <x:v>知识点理解与概念探究；正向评价（不计能力分）</x:v>
      </x:c>
      <x:c r="AC137" s="22" t="str">
        <x:v>NA</x:v>
      </x:c>
      <x:c r="AD137" s="22" t="str">
        <x:v>NA</x:v>
      </x:c>
      <x:c r="AE137" s="22" t="str">
        <x:v>["S0256"]</x:v>
      </x:c>
      <x:c r="AF137" s="22" t="str">
        <x:v>["2025秋:2025秋-数学模型-问答记录导出20260502导出_已标注_已更新.xlsx:问答记录:264"]</x:v>
      </x:c>
      <x:c r="AG137" s="22" t="str">
        <x:v>evidence/student_evidence.jsonl；student_key=2025秋:25A146</x:v>
      </x:c>
      <x:c r="AH137" s="27" t="str"/>
    </x:row>
    <x:row r="138" ht="23" customHeight="1">
      <x:c r="A138" s="21" t="str">
        <x:v>2025秋:25A148</x:v>
      </x:c>
      <x:c r="B138" s="22" t="str">
        <x:v>s3</x:v>
      </x:c>
      <x:c r="C138" s="24" t="n">
        <x:v>1</x:v>
      </x:c>
      <x:c r="D138" s="24" t="n">
        <x:v>1</x:v>
      </x:c>
      <x:c r="E138" s="22" t="n">
        <x:v>0.3627356475917338</x:v>
      </x:c>
      <x:c r="F138" s="22" t="n">
        <x:v>0.3627356475917338</x:v>
      </x:c>
      <x:c r="G138" s="22" t="n">
        <x:v>0.3627356475917338</x:v>
      </x:c>
      <x:c r="H138" s="24" t="n">
        <x:v>1</x:v>
      </x:c>
      <x:c r="I138" s="24" t="n">
        <x:v>1</x:v>
      </x:c>
      <x:c r="J138" s="23" t="n">
        <x:f>IF(I138&gt;0,H138/I138,"NA")</x:f>
        <x:v>1</x:v>
      </x:c>
      <x:c r="K138" s="23" t="n">
        <x:f>MAX(0,MIN(1,(E138-'总览与权重'!$B$18)/('总览与权重'!$C$18-'总览与权重'!$B$18)))</x:f>
        <x:v>0.030227970632644485</x:v>
      </x:c>
      <x:c r="L138" s="23" t="n">
        <x:f>MAX(0,MIN(1,(F138-'总览与权重'!$B$19)/('总览与权重'!$C$19-'总览与权重'!$B$19)))</x:f>
        <x:v>0.3627356475917338</x:v>
      </x:c>
      <x:c r="M138" s="23" t="n">
        <x:f>MAX(0,MIN(1,(G138-'总览与权重'!$B$20)/('总览与权重'!$C$20-'总览与权重'!$B$20)))</x:f>
        <x:v>0.3627356475917338</x:v>
      </x:c>
      <x:c r="N138" s="23" t="n">
        <x:f>J138</x:f>
        <x:v>1</x:v>
      </x:c>
      <x:c r="O138" s="22" t="str">
        <x:v>是</x:v>
      </x:c>
      <x:c r="P138" s="22" t="n">
        <x:v>0.22590336193938357</x:v>
      </x:c>
      <x:c r="Q138" s="22" t="n">
        <x:v>0.22590336193938357</x:v>
      </x:c>
      <x:c r="R138" s="22" t="n">
        <x:v>0.22590336193938357</x:v>
      </x:c>
      <x:c r="S138" s="23" t="n">
        <x:f>IF(O138="是",MAX(0,MIN(1,(P138-'总览与权重'!$B$21)/('总览与权重'!$C$21-'总览与权重'!$B$21))),"NA")</x:f>
        <x:v>0.5094126400808077</x:v>
      </x:c>
      <x:c r="T138" s="23" t="n">
        <x:f>IF(O138="是",MAX(0,MIN(1,(Q138-'总览与权重'!$B$22)/('总览与权重'!$C$22-'总览与权重'!$B$22))),"NA")</x:f>
        <x:v>0.6129516809696918</x:v>
      </x:c>
      <x:c r="U138" s="23" t="n">
        <x:f>IF(O138="是",MAX(0,MIN(1,(R138-'总览与权重'!$B$23)/('总览与权重'!$C$23-'总览与权重'!$B$23))),"NA")</x:f>
        <x:v>0.6129516809696918</x:v>
      </x:c>
      <x:c r="V138" s="23" t="n">
        <x:f>IF(O138="是",J138,"NA")</x:f>
        <x:v>1</x:v>
      </x:c>
      <x:c r="W138" s="22" t="str">
        <x:v>完整</x:v>
      </x:c>
      <x:c r="X138" s="22" t="n">
        <x:v>2</x:v>
      </x:c>
      <x:c r="Y138" s="22" t="n">
        <x:v>0.6321205588285577</x:v>
      </x:c>
      <x:c r="Z138" s="22" t="n">
        <x:v>-0.25</x:v>
      </x:c>
      <x:c r="AA138" s="22" t="n">
        <x:v>-0.119047619048</x:v>
      </x:c>
      <x:c r="AB138" s="22" t="str">
        <x:v>知识点理解与概念探究；无明确评价（不计能力分）</x:v>
      </x:c>
      <x:c r="AC138" s="22" t="str">
        <x:v>NA</x:v>
      </x:c>
      <x:c r="AD138" s="22" t="str">
        <x:v>NA</x:v>
      </x:c>
      <x:c r="AE138" s="22" t="str">
        <x:v>["S0067"]</x:v>
      </x:c>
      <x:c r="AF138" s="22" t="str">
        <x:v>["2025秋:2025秋-数学模型-问答记录导出20260502导出_已标注_已更新.xlsx:问答记录:70"]</x:v>
      </x:c>
      <x:c r="AG138" s="22" t="str">
        <x:v>evidence/student_evidence.jsonl；student_key=2025秋:25A148</x:v>
      </x:c>
      <x:c r="AH138" s="27" t="str"/>
    </x:row>
    <x:row r="139" ht="48" customHeight="1">
      <x:c r="A139" s="21" t="str">
        <x:v>2025秋:25A168</x:v>
      </x:c>
      <x:c r="B139" s="22" t="str">
        <x:v>s3</x:v>
      </x:c>
      <x:c r="C139" s="24" t="n">
        <x:v>3</x:v>
      </x:c>
      <x:c r="D139" s="24" t="n">
        <x:v>3</x:v>
      </x:c>
      <x:c r="E139" s="22" t="n">
        <x:v>0.718114665786789</x:v>
      </x:c>
      <x:c r="F139" s="22" t="n">
        <x:v>0.239371555262263</x:v>
      </x:c>
      <x:c r="G139" s="22" t="n">
        <x:v>0.39340551921197076</x:v>
      </x:c>
      <x:c r="H139" s="24" t="n">
        <x:v>4</x:v>
      </x:c>
      <x:c r="I139" s="24" t="n">
        <x:v>6</x:v>
      </x:c>
      <x:c r="J139" s="23" t="n">
        <x:f>IF(I139&gt;0,H139/I139,"NA")</x:f>
        <x:v>0.6666666666666666</x:v>
      </x:c>
      <x:c r="K139" s="23" t="n">
        <x:f>MAX(0,MIN(1,(E139-'总览与权重'!$B$18)/('总览与权重'!$C$18-'总览与权重'!$B$18)))</x:f>
        <x:v>0.059842888815565744</x:v>
      </x:c>
      <x:c r="L139" s="23" t="n">
        <x:f>MAX(0,MIN(1,(F139-'总览与权重'!$B$19)/('总览与权重'!$C$19-'总览与权重'!$B$19)))</x:f>
        <x:v>0.239371555262263</x:v>
      </x:c>
      <x:c r="M139" s="23" t="n">
        <x:f>MAX(0,MIN(1,(G139-'总览与权重'!$B$20)/('总览与权重'!$C$20-'总览与权重'!$B$20)))</x:f>
        <x:v>0.39340551921197076</x:v>
      </x:c>
      <x:c r="N139" s="23" t="n">
        <x:f>J139</x:f>
        <x:v>0.6666666666666666</x:v>
      </x:c>
      <x:c r="O139" s="22" t="str">
        <x:v>是</x:v>
      </x:c>
      <x:c r="P139" s="22" t="n">
        <x:v>0.11976930680353076</x:v>
      </x:c>
      <x:c r="Q139" s="22" t="n">
        <x:v>0.05988465340176538</x:v>
      </x:c>
      <x:c r="R139" s="22" t="n">
        <x:v>0.256601592455881</x:v>
      </x:c>
      <x:c r="S139" s="23" t="n">
        <x:f>IF(O139="是",MAX(0,MIN(1,(P139-'总览与权重'!$B$21)/('总览与权重'!$C$21-'总览与权重'!$B$21))),"NA")</x:f>
        <x:v>0.5049903877834804</x:v>
      </x:c>
      <x:c r="T139" s="23" t="n">
        <x:f>IF(O139="是",MAX(0,MIN(1,(Q139-'总览与权重'!$B$22)/('总览与权重'!$C$22-'总览与权重'!$B$22))),"NA")</x:f>
        <x:v>0.5299423267008827</x:v>
      </x:c>
      <x:c r="U139" s="23" t="n">
        <x:f>IF(O139="是",MAX(0,MIN(1,(R139-'总览与权重'!$B$23)/('总览与权重'!$C$23-'总览与权重'!$B$23))),"NA")</x:f>
        <x:v>0.6283007962279406</x:v>
      </x:c>
      <x:c r="V139" s="23" t="n">
        <x:f>IF(O139="是",J139,"NA")</x:f>
        <x:v>0.6666666666666666</x:v>
      </x:c>
      <x:c r="W139" s="22" t="str">
        <x:v>完整</x:v>
      </x:c>
      <x:c r="X139" s="22" t="n">
        <x:v>2</x:v>
      </x:c>
      <x:c r="Y139" s="22" t="n">
        <x:v>0.6321205588285577</x:v>
      </x:c>
      <x:c r="Z139" s="22" t="n">
        <x:v>-0.333333333333</x:v>
      </x:c>
      <x:c r="AA139" s="22" t="n">
        <x:v>-0.31746031746</x:v>
      </x:c>
      <x:c r="AB139" s="22" t="str">
        <x:v>知识点理解与概念探究；正向评价（不计能力分）</x:v>
      </x:c>
      <x:c r="AC139" s="22" t="str">
        <x:v>NA</x:v>
      </x:c>
      <x:c r="AD139" s="22" t="str">
        <x:v>NA</x:v>
      </x:c>
      <x:c r="AE139" s="22" t="str">
        <x:v>["S0201","S0429","S0472"]</x:v>
      </x:c>
      <x:c r="AF139" s="22" t="str">
        <x:v>["2025秋:2025秋-数学模型-问答记录导出20260502导出_已标注_已更新.xlsx:问答记录:206","2025秋:2025秋-数学模型-问答记录导出20260502导出_已标注_已更新.xlsx:问答记录:440","2025秋:2025秋-数学模型-问答记录导出20260502导出_已标注_已更新.xlsx:问答记录:484"]</x:v>
      </x:c>
      <x:c r="AG139" s="22" t="str">
        <x:v>evidence/student_evidence.jsonl；student_key=2025秋:25A168</x:v>
      </x:c>
      <x:c r="AH139" s="27" t="str">
        <x:v>观察含3概念，严格含2概念；优化同类别进展压为0。局部有效对话不能补进不合格领域基线。</x:v>
      </x:c>
    </x:row>
    <x:row r="140" ht="48" customHeight="1">
      <x:c r="A140" s="21" t="str">
        <x:v>2025秋:25A171</x:v>
      </x:c>
      <x:c r="B140" s="22" t="str">
        <x:v>s3</x:v>
      </x:c>
      <x:c r="C140" s="24" t="n">
        <x:v>1</x:v>
      </x:c>
      <x:c r="D140" s="24" t="n">
        <x:v>1</x:v>
      </x:c>
      <x:c r="E140" s="22" t="n">
        <x:v>0</x:v>
      </x:c>
      <x:c r="F140" s="22" t="n">
        <x:v>0</x:v>
      </x:c>
      <x:c r="G140" s="22" t="n">
        <x:v>0</x:v>
      </x:c>
      <x:c r="H140" s="24" t="n">
        <x:v>1</x:v>
      </x:c>
      <x:c r="I140" s="24" t="n">
        <x:v>2</x:v>
      </x:c>
      <x:c r="J140" s="23" t="n">
        <x:f>IF(I140&gt;0,H140/I140,"NA")</x:f>
        <x:v>0.5</x:v>
      </x:c>
      <x:c r="K140" s="23" t="n">
        <x:f>MAX(0,MIN(1,(E140-'总览与权重'!$B$18)/('总览与权重'!$C$18-'总览与权重'!$B$18)))</x:f>
        <x:v>0</x:v>
      </x:c>
      <x:c r="L140" s="23" t="n">
        <x:f>MAX(0,MIN(1,(F140-'总览与权重'!$B$19)/('总览与权重'!$C$19-'总览与权重'!$B$19)))</x:f>
        <x:v>0</x:v>
      </x:c>
      <x:c r="M140" s="23" t="n">
        <x:f>MAX(0,MIN(1,(G140-'总览与权重'!$B$20)/('总览与权重'!$C$20-'总览与权重'!$B$20)))</x:f>
        <x:v>0</x:v>
      </x:c>
      <x:c r="N140" s="23" t="n">
        <x:f>J140</x:f>
        <x:v>0.5</x:v>
      </x:c>
      <x:c r="O140" s="22" t="str">
        <x:v>是</x:v>
      </x:c>
      <x:c r="P140" s="22" t="n">
        <x:v>-0.07517810241281792</x:v>
      </x:c>
      <x:c r="Q140" s="22" t="n">
        <x:v>-0.0939726280160224</x:v>
      </x:c>
      <x:c r="R140" s="22" t="n">
        <x:v>-0.09397262801602238</x:v>
      </x:c>
      <x:c r="S140" s="23" t="n">
        <x:f>IF(O140="是",MAX(0,MIN(1,(P140-'总览与权重'!$B$21)/('总览与权重'!$C$21-'总览与权重'!$B$21))),"NA")</x:f>
        <x:v>0.4968675790661326</x:v>
      </x:c>
      <x:c r="T140" s="23" t="n">
        <x:f>IF(O140="是",MAX(0,MIN(1,(Q140-'总览与权重'!$B$22)/('总览与权重'!$C$22-'总览与权重'!$B$22))),"NA")</x:f>
        <x:v>0.4530136859919888</x:v>
      </x:c>
      <x:c r="U140" s="23" t="n">
        <x:f>IF(O140="是",MAX(0,MIN(1,(R140-'总览与权重'!$B$23)/('总览与权重'!$C$23-'总览与权重'!$B$23))),"NA")</x:f>
        <x:v>0.4530136859919888</x:v>
      </x:c>
      <x:c r="V140" s="23" t="n">
        <x:f>IF(O140="是",J140,"NA")</x:f>
        <x:v>0.5</x:v>
      </x:c>
      <x:c r="W140" s="22" t="str">
        <x:v>完整</x:v>
      </x:c>
      <x:c r="X140" s="22" t="n">
        <x:v>1</x:v>
      </x:c>
      <x:c r="Y140" s="22" t="n">
        <x:v>0</x:v>
      </x:c>
      <x:c r="Z140" s="22" t="n">
        <x:v>0</x:v>
      </x:c>
      <x:c r="AA140" s="22" t="n">
        <x:v>0</x:v>
      </x:c>
      <x:c r="AB140" s="22" t="str">
        <x:v>知识点理解与概念探究；无明确评价（不计能力分）</x:v>
      </x:c>
      <x:c r="AC140" s="22" t="str">
        <x:v>NA</x:v>
      </x:c>
      <x:c r="AD140" s="22" t="str">
        <x:v>NA</x:v>
      </x:c>
      <x:c r="AE140" s="22" t="str">
        <x:v>["S0258"]</x:v>
      </x:c>
      <x:c r="AF140" s="22" t="str">
        <x:v>["2025秋:2025秋-数学模型-问答记录导出20260502导出_已标注_已更新.xlsx:问答记录:266"]</x:v>
      </x:c>
      <x:c r="AG140" s="22" t="str">
        <x:v>evidence/student_evidence.jsonl；student_key=2025秋:25A171</x:v>
      </x:c>
      <x:c r="AH140" s="27" t="str">
        <x:v>同一锚点起止1条：未形成独立重复测量。</x:v>
      </x:c>
    </x:row>
    <x:row r="141" ht="23" customHeight="1">
      <x:c r="A141" s="21" t="str">
        <x:v>2025秋:25P025</x:v>
      </x:c>
      <x:c r="B141" s="22" t="str">
        <x:v>s3</x:v>
      </x:c>
      <x:c r="C141" s="24" t="n">
        <x:v>1</x:v>
      </x:c>
      <x:c r="D141" s="24" t="n">
        <x:v>1</x:v>
      </x:c>
      <x:c r="E141" s="22" t="n">
        <x:v>0.3798100244161617</x:v>
      </x:c>
      <x:c r="F141" s="22" t="n">
        <x:v>0.3798100244161617</x:v>
      </x:c>
      <x:c r="G141" s="22" t="n">
        <x:v>0.3798100244161617</x:v>
      </x:c>
      <x:c r="H141" s="24" t="n">
        <x:v>1</x:v>
      </x:c>
      <x:c r="I141" s="24" t="n">
        <x:v>1</x:v>
      </x:c>
      <x:c r="J141" s="23" t="n">
        <x:f>IF(I141&gt;0,H141/I141,"NA")</x:f>
        <x:v>1</x:v>
      </x:c>
      <x:c r="K141" s="23" t="n">
        <x:f>MAX(0,MIN(1,(E141-'总览与权重'!$B$18)/('总览与权重'!$C$18-'总览与权重'!$B$18)))</x:f>
        <x:v>0.031650835368013476</x:v>
      </x:c>
      <x:c r="L141" s="23" t="n">
        <x:f>MAX(0,MIN(1,(F141-'总览与权重'!$B$19)/('总览与权重'!$C$19-'总览与权重'!$B$19)))</x:f>
        <x:v>0.3798100244161617</x:v>
      </x:c>
      <x:c r="M141" s="23" t="n">
        <x:f>MAX(0,MIN(1,(G141-'总览与权重'!$B$20)/('总览与权重'!$C$20-'总览与权重'!$B$20)))</x:f>
        <x:v>0.3798100244161617</x:v>
      </x:c>
      <x:c r="N141" s="23" t="n">
        <x:f>J141</x:f>
        <x:v>1</x:v>
      </x:c>
      <x:c r="O141" s="22" t="str">
        <x:v>是</x:v>
      </x:c>
      <x:c r="P141" s="22" t="n">
        <x:v>0.24297773876381143</x:v>
      </x:c>
      <x:c r="Q141" s="22" t="n">
        <x:v>0.24297773876381143</x:v>
      </x:c>
      <x:c r="R141" s="22" t="n">
        <x:v>0.24297773876381143</x:v>
      </x:c>
      <x:c r="S141" s="23" t="n">
        <x:f>IF(O141="是",MAX(0,MIN(1,(P141-'总览与权重'!$B$21)/('总览与权重'!$C$21-'总览与权重'!$B$21))),"NA")</x:f>
        <x:v>0.5101240724484921</x:v>
      </x:c>
      <x:c r="T141" s="23" t="n">
        <x:f>IF(O141="是",MAX(0,MIN(1,(Q141-'总览与权重'!$B$22)/('总览与权重'!$C$22-'总览与权重'!$B$22))),"NA")</x:f>
        <x:v>0.6214888693819057</x:v>
      </x:c>
      <x:c r="U141" s="23" t="n">
        <x:f>IF(O141="是",MAX(0,MIN(1,(R141-'总览与权重'!$B$23)/('总览与权重'!$C$23-'总览与权重'!$B$23))),"NA")</x:f>
        <x:v>0.6214888693819057</x:v>
      </x:c>
      <x:c r="V141" s="23" t="n">
        <x:f>IF(O141="是",J141,"NA")</x:f>
        <x:v>1</x:v>
      </x:c>
      <x:c r="W141" s="22" t="str">
        <x:v>完整</x:v>
      </x:c>
      <x:c r="X141" s="22" t="n">
        <x:v>1</x:v>
      </x:c>
      <x:c r="Y141" s="22" t="n">
        <x:v>0</x:v>
      </x:c>
      <x:c r="Z141" s="22" t="n">
        <x:v>-0.25</x:v>
      </x:c>
      <x:c r="AA141" s="22" t="n">
        <x:v>-0.119047619048</x:v>
      </x:c>
      <x:c r="AB141" s="22" t="str">
        <x:v>未匹配场景/评价记录</x:v>
      </x:c>
      <x:c r="AC141" s="22" t="str">
        <x:v>NA</x:v>
      </x:c>
      <x:c r="AD141" s="22" t="str">
        <x:v>NA</x:v>
      </x:c>
      <x:c r="AE141" s="22" t="str">
        <x:v>["S0130"]</x:v>
      </x:c>
      <x:c r="AF141" s="22" t="str">
        <x:v>["2025秋:2025秋-数学模型-问答记录导出20260502导出_已标注_已更新.xlsx:问答记录:133"]</x:v>
      </x:c>
      <x:c r="AG141" s="22" t="str">
        <x:v>evidence/student_evidence.jsonl；student_key=2025秋:25P025</x:v>
      </x:c>
      <x:c r="AH141" s="27" t="str"/>
    </x:row>
    <x:row r="142" ht="23" customHeight="1">
      <x:c r="A142" s="21" t="str">
        <x:v>2025秋:260001</x:v>
      </x:c>
      <x:c r="B142" s="22" t="str">
        <x:v>s3</x:v>
      </x:c>
      <x:c r="C142" s="24" t="n">
        <x:v>1</x:v>
      </x:c>
      <x:c r="D142" s="24" t="n">
        <x:v>1</x:v>
      </x:c>
      <x:c r="E142" s="22" t="n">
        <x:v>0</x:v>
      </x:c>
      <x:c r="F142" s="22" t="n">
        <x:v>0</x:v>
      </x:c>
      <x:c r="G142" s="22" t="n">
        <x:v>0</x:v>
      </x:c>
      <x:c r="H142" s="24" t="n">
        <x:v>1</x:v>
      </x:c>
      <x:c r="I142" s="24" t="n">
        <x:v>1</x:v>
      </x:c>
      <x:c r="J142" s="23" t="n">
        <x:f>IF(I142&gt;0,H142/I142,"NA")</x:f>
        <x:v>1</x:v>
      </x:c>
      <x:c r="K142" s="23" t="n">
        <x:f>MAX(0,MIN(1,(E142-'总览与权重'!$B$18)/('总览与权重'!$C$18-'总览与权重'!$B$18)))</x:f>
        <x:v>0</x:v>
      </x:c>
      <x:c r="L142" s="23" t="n">
        <x:f>MAX(0,MIN(1,(F142-'总览与权重'!$B$19)/('总览与权重'!$C$19-'总览与权重'!$B$19)))</x:f>
        <x:v>0</x:v>
      </x:c>
      <x:c r="M142" s="23" t="n">
        <x:f>MAX(0,MIN(1,(G142-'总览与权重'!$B$20)/('总览与权重'!$C$20-'总览与权重'!$B$20)))</x:f>
        <x:v>0</x:v>
      </x:c>
      <x:c r="N142" s="23" t="n">
        <x:f>J142</x:f>
        <x:v>1</x:v>
      </x:c>
      <x:c r="O142" s="22" t="str">
        <x:v>是</x:v>
      </x:c>
      <x:c r="P142" s="22" t="n">
        <x:v>-0.07517810241281792</x:v>
      </x:c>
      <x:c r="Q142" s="22" t="n">
        <x:v>-0.0939726280160224</x:v>
      </x:c>
      <x:c r="R142" s="22" t="n">
        <x:v>-0.09397262801602238</x:v>
      </x:c>
      <x:c r="S142" s="23" t="n">
        <x:f>IF(O142="是",MAX(0,MIN(1,(P142-'总览与权重'!$B$21)/('总览与权重'!$C$21-'总览与权重'!$B$21))),"NA")</x:f>
        <x:v>0.4968675790661326</x:v>
      </x:c>
      <x:c r="T142" s="23" t="n">
        <x:f>IF(O142="是",MAX(0,MIN(1,(Q142-'总览与权重'!$B$22)/('总览与权重'!$C$22-'总览与权重'!$B$22))),"NA")</x:f>
        <x:v>0.4530136859919888</x:v>
      </x:c>
      <x:c r="U142" s="23" t="n">
        <x:f>IF(O142="是",MAX(0,MIN(1,(R142-'总览与权重'!$B$23)/('总览与权重'!$C$23-'总览与权重'!$B$23))),"NA")</x:f>
        <x:v>0.4530136859919888</x:v>
      </x:c>
      <x:c r="V142" s="23" t="n">
        <x:f>IF(O142="是",J142,"NA")</x:f>
        <x:v>1</x:v>
      </x:c>
      <x:c r="W142" s="22" t="str">
        <x:v>完整</x:v>
      </x:c>
      <x:c r="X142" s="22" t="n">
        <x:v>1</x:v>
      </x:c>
      <x:c r="Y142" s="22" t="n">
        <x:v>0</x:v>
      </x:c>
      <x:c r="Z142" s="22" t="n">
        <x:v>0</x:v>
      </x:c>
      <x:c r="AA142" s="22" t="n">
        <x:v>0</x:v>
      </x:c>
      <x:c r="AB142" s="22" t="str">
        <x:v>未匹配场景/评价记录</x:v>
      </x:c>
      <x:c r="AC142" s="22" t="str">
        <x:v>NA</x:v>
      </x:c>
      <x:c r="AD142" s="22" t="str">
        <x:v>NA</x:v>
      </x:c>
      <x:c r="AE142" s="22" t="str">
        <x:v>["S0466"]</x:v>
      </x:c>
      <x:c r="AF142" s="22" t="str">
        <x:v>["2025秋:2025秋-数学模型-问答记录导出20260502导出_已标注_已更新.xlsx:问答记录:478"]</x:v>
      </x:c>
      <x:c r="AG142" s="22" t="str">
        <x:v>evidence/student_evidence.jsonl；student_key=2025秋:260001</x:v>
      </x:c>
      <x:c r="AH142" s="27" t="str"/>
    </x:row>
    <x:row r="143" ht="23" customHeight="1">
      <x:c r="A143" s="21" t="str">
        <x:v>2026春:250695</x:v>
      </x:c>
      <x:c r="B143" s="22" t="str">
        <x:v>s6</x:v>
      </x:c>
      <x:c r="C143" s="24" t="n">
        <x:v>1</x:v>
      </x:c>
      <x:c r="D143" s="24" t="n">
        <x:v>1</x:v>
      </x:c>
      <x:c r="E143" s="22" t="n">
        <x:v>0.2</x:v>
      </x:c>
      <x:c r="F143" s="22" t="n">
        <x:v>0.2</x:v>
      </x:c>
      <x:c r="G143" s="22" t="n">
        <x:v>0.2</x:v>
      </x:c>
      <x:c r="H143" s="24" t="n">
        <x:v>1</x:v>
      </x:c>
      <x:c r="I143" s="24" t="n">
        <x:v>2</x:v>
      </x:c>
      <x:c r="J143" s="23" t="n">
        <x:f>IF(I143&gt;0,H143/I143,"NA")</x:f>
        <x:v>0.5</x:v>
      </x:c>
      <x:c r="K143" s="23" t="n">
        <x:f>MAX(0,MIN(1,(E143-'总览与权重'!$B$18)/('总览与权重'!$C$18-'总览与权重'!$B$18)))</x:f>
        <x:v>0.016666666666666666</x:v>
      </x:c>
      <x:c r="L143" s="23" t="n">
        <x:f>MAX(0,MIN(1,(F143-'总览与权重'!$B$19)/('总览与权重'!$C$19-'总览与权重'!$B$19)))</x:f>
        <x:v>0.2</x:v>
      </x:c>
      <x:c r="M143" s="23" t="n">
        <x:f>MAX(0,MIN(1,(G143-'总览与权重'!$B$20)/('总览与权重'!$C$20-'总览与权重'!$B$20)))</x:f>
        <x:v>0.2</x:v>
      </x:c>
      <x:c r="N143" s="23" t="n">
        <x:f>J143</x:f>
        <x:v>0.5</x:v>
      </x:c>
      <x:c r="O143" s="22" t="str">
        <x:v>是</x:v>
      </x:c>
      <x:c r="P143" s="22" t="n">
        <x:v>0.04960000000000002</x:v>
      </x:c>
      <x:c r="Q143" s="22" t="n">
        <x:v>0.06200000000000002</x:v>
      </x:c>
      <x:c r="R143" s="22" t="n">
        <x:v>0.062</x:v>
      </x:c>
      <x:c r="S143" s="23" t="n">
        <x:f>IF(O143="是",MAX(0,MIN(1,(P143-'总览与权重'!$B$21)/('总览与权重'!$C$21-'总览与权重'!$B$21))),"NA")</x:f>
        <x:v>0.5020666666666667</x:v>
      </x:c>
      <x:c r="T143" s="23" t="n">
        <x:f>IF(O143="是",MAX(0,MIN(1,(Q143-'总览与权重'!$B$22)/('总览与权重'!$C$22-'总览与权重'!$B$22))),"NA")</x:f>
        <x:v>0.531</x:v>
      </x:c>
      <x:c r="U143" s="23" t="n">
        <x:f>IF(O143="是",MAX(0,MIN(1,(R143-'总览与权重'!$B$23)/('总览与权重'!$C$23-'总览与权重'!$B$23))),"NA")</x:f>
        <x:v>0.531</x:v>
      </x:c>
      <x:c r="V143" s="23" t="n">
        <x:f>IF(O143="是",J143,"NA")</x:f>
        <x:v>0.5</x:v>
      </x:c>
      <x:c r="W143" s="22" t="str">
        <x:v>完整</x:v>
      </x:c>
      <x:c r="X143" s="22" t="str">
        <x:v>NA</x:v>
      </x:c>
      <x:c r="Y143" s="22" t="str">
        <x:v>NA</x:v>
      </x:c>
      <x:c r="Z143" s="22" t="n">
        <x:v>0.18</x:v>
      </x:c>
      <x:c r="AA143" s="22" t="n">
        <x:v>0.349056603774</x:v>
      </x:c>
      <x:c r="AB143" s="22" t="str">
        <x:v>知识点理解与概念探究；正向评价（不计能力分）</x:v>
      </x:c>
      <x:c r="AC143" s="22" t="str">
        <x:v>NA</x:v>
      </x:c>
      <x:c r="AD143" s="22" t="str">
        <x:v>NA</x:v>
      </x:c>
      <x:c r="AE143" s="22" t="str">
        <x:v>["S0818"]</x:v>
      </x:c>
      <x:c r="AF143" s="22" t="str">
        <x:v>["2026春:问答记录导出0919_已更新.xlsx:问答记录:2"]</x:v>
      </x:c>
      <x:c r="AG143" s="22" t="str">
        <x:v>evidence/student_evidence.jsonl；student_key=2026春:250695</x:v>
      </x:c>
      <x:c r="AH143" s="27" t="str"/>
    </x:row>
    <x:row r="144" ht="48" customHeight="1">
      <x:c r="A144" s="21" t="str">
        <x:v>2026春:250845</x:v>
      </x:c>
      <x:c r="B144" s="22" t="str">
        <x:v>s6</x:v>
      </x:c>
      <x:c r="C144" s="24" t="n">
        <x:v>1</x:v>
      </x:c>
      <x:c r="D144" s="24" t="n">
        <x:v>1</x:v>
      </x:c>
      <x:c r="E144" s="22" t="n">
        <x:v>0</x:v>
      </x:c>
      <x:c r="F144" s="22" t="n">
        <x:v>0</x:v>
      </x:c>
      <x:c r="G144" s="22" t="n">
        <x:v>0</x:v>
      </x:c>
      <x:c r="H144" s="24" t="n">
        <x:v>1</x:v>
      </x:c>
      <x:c r="I144" s="24" t="n">
        <x:v>2</x:v>
      </x:c>
      <x:c r="J144" s="23" t="n">
        <x:f>IF(I144&gt;0,H144/I144,"NA")</x:f>
        <x:v>0.5</x:v>
      </x:c>
      <x:c r="K144" s="23" t="n">
        <x:f>MAX(0,MIN(1,(E144-'总览与权重'!$B$18)/('总览与权重'!$C$18-'总览与权重'!$B$18)))</x:f>
        <x:v>0</x:v>
      </x:c>
      <x:c r="L144" s="23" t="n">
        <x:f>MAX(0,MIN(1,(F144-'总览与权重'!$B$19)/('总览与权重'!$C$19-'总览与权重'!$B$19)))</x:f>
        <x:v>0</x:v>
      </x:c>
      <x:c r="M144" s="23" t="n">
        <x:f>MAX(0,MIN(1,(G144-'总览与权重'!$B$20)/('总览与权重'!$C$20-'总览与权重'!$B$20)))</x:f>
        <x:v>0</x:v>
      </x:c>
      <x:c r="N144" s="23" t="n">
        <x:f>J144</x:f>
        <x:v>0.5</x:v>
      </x:c>
      <x:c r="O144" s="22" t="str">
        <x:v>是</x:v>
      </x:c>
      <x:c r="P144" s="22" t="n">
        <x:v>-0.15771428571428572</x:v>
      </x:c>
      <x:c r="Q144" s="22" t="n">
        <x:v>-0.15771428571428572</x:v>
      </x:c>
      <x:c r="R144" s="22" t="n">
        <x:v>-0.15771428571428572</x:v>
      </x:c>
      <x:c r="S144" s="23" t="n">
        <x:f>IF(O144="是",MAX(0,MIN(1,(P144-'总览与权重'!$B$21)/('总览与权重'!$C$21-'总览与权重'!$B$21))),"NA")</x:f>
        <x:v>0.4934285714285714</x:v>
      </x:c>
      <x:c r="T144" s="23" t="n">
        <x:f>IF(O144="是",MAX(0,MIN(1,(Q144-'总览与权重'!$B$22)/('总览与权重'!$C$22-'总览与权重'!$B$22))),"NA")</x:f>
        <x:v>0.42114285714285715</x:v>
      </x:c>
      <x:c r="U144" s="23" t="n">
        <x:f>IF(O144="是",MAX(0,MIN(1,(R144-'总览与权重'!$B$23)/('总览与权重'!$C$23-'总览与权重'!$B$23))),"NA")</x:f>
        <x:v>0.42114285714285715</x:v>
      </x:c>
      <x:c r="V144" s="23" t="n">
        <x:f>IF(O144="是",J144,"NA")</x:f>
        <x:v>0.5</x:v>
      </x:c>
      <x:c r="W144" s="22" t="str">
        <x:v>完整</x:v>
      </x:c>
      <x:c r="X144" s="22" t="str">
        <x:v>NA</x:v>
      </x:c>
      <x:c r="Y144" s="22" t="str">
        <x:v>NA</x:v>
      </x:c>
      <x:c r="Z144" s="22" t="n">
        <x:v>0</x:v>
      </x:c>
      <x:c r="AA144" s="22" t="n">
        <x:v>0</x:v>
      </x:c>
      <x:c r="AB144" s="22" t="str">
        <x:v>知识点理解与概念探究；正向评价（不计能力分）</x:v>
      </x:c>
      <x:c r="AC144" s="22" t="str">
        <x:v>NA</x:v>
      </x:c>
      <x:c r="AD144" s="22" t="str">
        <x:v>NA</x:v>
      </x:c>
      <x:c r="AE144" s="22" t="str">
        <x:v>["S0825"]</x:v>
      </x:c>
      <x:c r="AF144" s="22" t="str">
        <x:v>["2026春:问答记录导出0919_已更新.xlsx:问答记录:9"]</x:v>
      </x:c>
      <x:c r="AG144" s="22" t="str">
        <x:v>evidence/student_evidence.jsonl；student_key=2026春:250845</x:v>
      </x:c>
      <x:c r="AH144" s="27" t="str">
        <x:v>同一锚点起止1条：未形成独立重复测量。</x:v>
      </x:c>
    </x:row>
    <x:row r="145" ht="23" customHeight="1">
      <x:c r="A145" s="21" t="str">
        <x:v>2026春:250868</x:v>
      </x:c>
      <x:c r="B145" s="22" t="str">
        <x:v>s3</x:v>
      </x:c>
      <x:c r="C145" s="24" t="n">
        <x:v>1</x:v>
      </x:c>
      <x:c r="D145" s="24" t="n">
        <x:v>1</x:v>
      </x:c>
      <x:c r="E145" s="22" t="n">
        <x:v>0.1232623857623858</x:v>
      </x:c>
      <x:c r="F145" s="22" t="n">
        <x:v>0.1232623857623858</x:v>
      </x:c>
      <x:c r="G145" s="22" t="n">
        <x:v>0.1232623857623858</x:v>
      </x:c>
      <x:c r="H145" s="24" t="n">
        <x:v>1</x:v>
      </x:c>
      <x:c r="I145" s="24" t="n">
        <x:v>4</x:v>
      </x:c>
      <x:c r="J145" s="23" t="n">
        <x:f>IF(I145&gt;0,H145/I145,"NA")</x:f>
        <x:v>0.25</x:v>
      </x:c>
      <x:c r="K145" s="23" t="n">
        <x:f>MAX(0,MIN(1,(E145-'总览与权重'!$B$18)/('总览与权重'!$C$18-'总览与权重'!$B$18)))</x:f>
        <x:v>0.010271865480198816</x:v>
      </x:c>
      <x:c r="L145" s="23" t="n">
        <x:f>MAX(0,MIN(1,(F145-'总览与权重'!$B$19)/('总览与权重'!$C$19-'总览与权重'!$B$19)))</x:f>
        <x:v>0.1232623857623858</x:v>
      </x:c>
      <x:c r="M145" s="23" t="n">
        <x:f>MAX(0,MIN(1,(G145-'总览与权重'!$B$20)/('总览与权重'!$C$20-'总览与权重'!$B$20)))</x:f>
        <x:v>0.1232623857623858</x:v>
      </x:c>
      <x:c r="N145" s="23" t="n">
        <x:f>J145</x:f>
        <x:v>0.25</x:v>
      </x:c>
      <x:c r="O145" s="22" t="str">
        <x:v>是</x:v>
      </x:c>
      <x:c r="P145" s="22" t="n">
        <x:v>-0.01356989988996446</x:v>
      </x:c>
      <x:c r="Q145" s="22" t="n">
        <x:v>-0.01356989988996446</x:v>
      </x:c>
      <x:c r="R145" s="22" t="n">
        <x:v>-0.01356989988996446</x:v>
      </x:c>
      <x:c r="S145" s="23" t="n">
        <x:f>IF(O145="是",MAX(0,MIN(1,(P145-'总览与权重'!$B$21)/('总览与权重'!$C$21-'总览与权重'!$B$21))),"NA")</x:f>
        <x:v>0.49943458750458486</x:v>
      </x:c>
      <x:c r="T145" s="23" t="n">
        <x:f>IF(O145="是",MAX(0,MIN(1,(Q145-'总览与权重'!$B$22)/('总览与权重'!$C$22-'总览与权重'!$B$22))),"NA")</x:f>
        <x:v>0.49321505005501776</x:v>
      </x:c>
      <x:c r="U145" s="23" t="n">
        <x:f>IF(O145="是",MAX(0,MIN(1,(R145-'总览与权重'!$B$23)/('总览与权重'!$C$23-'总览与权重'!$B$23))),"NA")</x:f>
        <x:v>0.49321505005501776</x:v>
      </x:c>
      <x:c r="V145" s="23" t="n">
        <x:f>IF(O145="是",J145,"NA")</x:f>
        <x:v>0.25</x:v>
      </x:c>
      <x:c r="W145" s="22" t="str">
        <x:v>完整</x:v>
      </x:c>
      <x:c r="X145" s="22" t="str">
        <x:v>NA</x:v>
      </x:c>
      <x:c r="Y145" s="22" t="str">
        <x:v>NA</x:v>
      </x:c>
      <x:c r="Z145" s="22" t="n">
        <x:v>0.3</x:v>
      </x:c>
      <x:c r="AA145" s="22" t="n">
        <x:v>0.666666666667</x:v>
      </x:c>
      <x:c r="AB145" s="22" t="str">
        <x:v>课程答疑复习与资源使用；无明确评价（不计能力分）</x:v>
      </x:c>
      <x:c r="AC145" s="22" t="str">
        <x:v>NA</x:v>
      </x:c>
      <x:c r="AD145" s="22" t="str">
        <x:v>NA</x:v>
      </x:c>
      <x:c r="AE145" s="22" t="str">
        <x:v>["S0828"]</x:v>
      </x:c>
      <x:c r="AF145" s="22" t="str">
        <x:v>["2026春:问答记录导出0919_已更新.xlsx:问答记录:12"]</x:v>
      </x:c>
      <x:c r="AG145" s="22" t="str">
        <x:v>evidence/student_evidence.jsonl；student_key=2026春:250868</x:v>
      </x:c>
      <x:c r="AH145" s="27" t="str"/>
    </x:row>
    <x:row r="146" ht="23" customHeight="1">
      <x:c r="A146" s="21" t="str">
        <x:v>2026春:258955</x:v>
      </x:c>
      <x:c r="B146" s="22" t="str">
        <x:v>s3</x:v>
      </x:c>
      <x:c r="C146" s="24" t="n">
        <x:v>1</x:v>
      </x:c>
      <x:c r="D146" s="24" t="n">
        <x:v>1</x:v>
      </x:c>
      <x:c r="E146" s="22" t="n">
        <x:v>0</x:v>
      </x:c>
      <x:c r="F146" s="22" t="n">
        <x:v>0</x:v>
      </x:c>
      <x:c r="G146" s="22" t="n">
        <x:v>0</x:v>
      </x:c>
      <x:c r="H146" s="24" t="n">
        <x:v>1</x:v>
      </x:c>
      <x:c r="I146" s="24" t="n">
        <x:v>2</x:v>
      </x:c>
      <x:c r="J146" s="23" t="n">
        <x:f>IF(I146&gt;0,H146/I146,"NA")</x:f>
        <x:v>0.5</x:v>
      </x:c>
      <x:c r="K146" s="23" t="n">
        <x:f>MAX(0,MIN(1,(E146-'总览与权重'!$B$18)/('总览与权重'!$C$18-'总览与权重'!$B$18)))</x:f>
        <x:v>0</x:v>
      </x:c>
      <x:c r="L146" s="23" t="n">
        <x:f>MAX(0,MIN(1,(F146-'总览与权重'!$B$19)/('总览与权重'!$C$19-'总览与权重'!$B$19)))</x:f>
        <x:v>0</x:v>
      </x:c>
      <x:c r="M146" s="23" t="n">
        <x:f>MAX(0,MIN(1,(G146-'总览与权重'!$B$20)/('总览与权重'!$C$20-'总览与权重'!$B$20)))</x:f>
        <x:v>0</x:v>
      </x:c>
      <x:c r="N146" s="23" t="n">
        <x:f>J146</x:f>
        <x:v>0.5</x:v>
      </x:c>
      <x:c r="O146" s="22" t="str">
        <x:v>是</x:v>
      </x:c>
      <x:c r="P146" s="22" t="n">
        <x:v>-0.13683228565235026</x:v>
      </x:c>
      <x:c r="Q146" s="22" t="n">
        <x:v>-0.13683228565235026</x:v>
      </x:c>
      <x:c r="R146" s="22" t="n">
        <x:v>-0.13683228565235026</x:v>
      </x:c>
      <x:c r="S146" s="23" t="n">
        <x:f>IF(O146="是",MAX(0,MIN(1,(P146-'总览与权重'!$B$21)/('总览与权重'!$C$21-'总览与权重'!$B$21))),"NA")</x:f>
        <x:v>0.4942986547644854</x:v>
      </x:c>
      <x:c r="T146" s="23" t="n">
        <x:f>IF(O146="是",MAX(0,MIN(1,(Q146-'总览与权重'!$B$22)/('总览与权重'!$C$22-'总览与权重'!$B$22))),"NA")</x:f>
        <x:v>0.43158385717382486</x:v>
      </x:c>
      <x:c r="U146" s="23" t="n">
        <x:f>IF(O146="是",MAX(0,MIN(1,(R146-'总览与权重'!$B$23)/('总览与权重'!$C$23-'总览与权重'!$B$23))),"NA")</x:f>
        <x:v>0.43158385717382486</x:v>
      </x:c>
      <x:c r="V146" s="23" t="n">
        <x:f>IF(O146="是",J146,"NA")</x:f>
        <x:v>0.5</x:v>
      </x:c>
      <x:c r="W146" s="22" t="str">
        <x:v>完整</x:v>
      </x:c>
      <x:c r="X146" s="22" t="str">
        <x:v>NA</x:v>
      </x:c>
      <x:c r="Y146" s="22" t="str">
        <x:v>NA</x:v>
      </x:c>
      <x:c r="Z146" s="22" t="n">
        <x:v>0</x:v>
      </x:c>
      <x:c r="AA146" s="22" t="n">
        <x:v>0</x:v>
      </x:c>
      <x:c r="AB146" s="22" t="str">
        <x:v>知识点理解与概念探究；正向评价（不计能力分）</x:v>
      </x:c>
      <x:c r="AC146" s="22" t="str">
        <x:v>NA</x:v>
      </x:c>
      <x:c r="AD146" s="22" t="str">
        <x:v>NA</x:v>
      </x:c>
      <x:c r="AE146" s="22" t="str">
        <x:v>["S0838"]</x:v>
      </x:c>
      <x:c r="AF146" s="22" t="str">
        <x:v>["2026春:问答记录导出0919_已更新.xlsx:问答记录:22"]</x:v>
      </x:c>
      <x:c r="AG146" s="22" t="str">
        <x:v>evidence/student_evidence.jsonl；student_key=2026春:258955</x:v>
      </x:c>
      <x:c r="AH146" s="27" t="str"/>
    </x:row>
    <x:row r="147" ht="23" customHeight="1">
      <x:c r="A147" s="21" t="str">
        <x:v>2026春:259443</x:v>
      </x:c>
      <x:c r="B147" s="22" t="str">
        <x:v>s3</x:v>
      </x:c>
      <x:c r="C147" s="24" t="n">
        <x:v>1</x:v>
      </x:c>
      <x:c r="D147" s="24" t="n">
        <x:v>1</x:v>
      </x:c>
      <x:c r="E147" s="22" t="n">
        <x:v>0.3810004146110808</x:v>
      </x:c>
      <x:c r="F147" s="22" t="n">
        <x:v>0.3810004146110808</x:v>
      </x:c>
      <x:c r="G147" s="22" t="n">
        <x:v>0.3810004146110808</x:v>
      </x:c>
      <x:c r="H147" s="24" t="n">
        <x:v>1</x:v>
      </x:c>
      <x:c r="I147" s="24" t="n">
        <x:v>1</x:v>
      </x:c>
      <x:c r="J147" s="23" t="n">
        <x:f>IF(I147&gt;0,H147/I147,"NA")</x:f>
        <x:v>1</x:v>
      </x:c>
      <x:c r="K147" s="23" t="n">
        <x:f>MAX(0,MIN(1,(E147-'总览与权重'!$B$18)/('总览与权重'!$C$18-'总览与权重'!$B$18)))</x:f>
        <x:v>0.0317500345509234</x:v>
      </x:c>
      <x:c r="L147" s="23" t="n">
        <x:f>MAX(0,MIN(1,(F147-'总览与权重'!$B$19)/('总览与权重'!$C$19-'总览与权重'!$B$19)))</x:f>
        <x:v>0.3810004146110808</x:v>
      </x:c>
      <x:c r="M147" s="23" t="n">
        <x:f>MAX(0,MIN(1,(G147-'总览与权重'!$B$20)/('总览与权重'!$C$20-'总览与权重'!$B$20)))</x:f>
        <x:v>0.3810004146110808</x:v>
      </x:c>
      <x:c r="N147" s="23" t="n">
        <x:f>J147</x:f>
        <x:v>1</x:v>
      </x:c>
      <x:c r="O147" s="22" t="str">
        <x:v>是</x:v>
      </x:c>
      <x:c r="P147" s="22" t="n">
        <x:v>0.24416812895873055</x:v>
      </x:c>
      <x:c r="Q147" s="22" t="n">
        <x:v>0.24416812895873055</x:v>
      </x:c>
      <x:c r="R147" s="22" t="n">
        <x:v>0.24416812895873055</x:v>
      </x:c>
      <x:c r="S147" s="23" t="n">
        <x:f>IF(O147="是",MAX(0,MIN(1,(P147-'总览与权重'!$B$21)/('总览与权重'!$C$21-'总览与权重'!$B$21))),"NA")</x:f>
        <x:v>0.5101736720399471</x:v>
      </x:c>
      <x:c r="T147" s="23" t="n">
        <x:f>IF(O147="是",MAX(0,MIN(1,(Q147-'总览与权重'!$B$22)/('总览与权重'!$C$22-'总览与权重'!$B$22))),"NA")</x:f>
        <x:v>0.6220840644793653</x:v>
      </x:c>
      <x:c r="U147" s="23" t="n">
        <x:f>IF(O147="是",MAX(0,MIN(1,(R147-'总览与权重'!$B$23)/('总览与权重'!$C$23-'总览与权重'!$B$23))),"NA")</x:f>
        <x:v>0.6220840644793653</x:v>
      </x:c>
      <x:c r="V147" s="23" t="n">
        <x:f>IF(O147="是",J147,"NA")</x:f>
        <x:v>1</x:v>
      </x:c>
      <x:c r="W147" s="22" t="str">
        <x:v>完整</x:v>
      </x:c>
      <x:c r="X147" s="22" t="str">
        <x:v>NA</x:v>
      </x:c>
      <x:c r="Y147" s="22" t="str">
        <x:v>NA</x:v>
      </x:c>
      <x:c r="Z147" s="22" t="n">
        <x:v>-0.25</x:v>
      </x:c>
      <x:c r="AA147" s="22" t="n">
        <x:v>-0.119047619048</x:v>
      </x:c>
      <x:c r="AB147" s="22" t="str">
        <x:v>模型方法选择与问题求解；无明确评价（不计能力分）</x:v>
      </x:c>
      <x:c r="AC147" s="22" t="str">
        <x:v>NA</x:v>
      </x:c>
      <x:c r="AD147" s="22" t="str">
        <x:v>NA</x:v>
      </x:c>
      <x:c r="AE147" s="22" t="str">
        <x:v>["S0850"]</x:v>
      </x:c>
      <x:c r="AF147" s="22" t="str">
        <x:v>["2026春:问答记录导出0919_已更新.xlsx:问答记录:34"]</x:v>
      </x:c>
      <x:c r="AG147" s="22" t="str">
        <x:v>evidence/student_evidence.jsonl；student_key=2026春:259443</x:v>
      </x:c>
      <x:c r="AH147" s="27" t="str"/>
    </x:row>
    <x:row r="148" ht="23" customHeight="1">
      <x:c r="A148" s="21" t="str">
        <x:v>2026春:25A071</x:v>
      </x:c>
      <x:c r="B148" s="22" t="str">
        <x:v>s3</x:v>
      </x:c>
      <x:c r="C148" s="24" t="n">
        <x:v>1</x:v>
      </x:c>
      <x:c r="D148" s="24" t="n">
        <x:v>1</x:v>
      </x:c>
      <x:c r="E148" s="22" t="n">
        <x:v>0.4630269369332064</x:v>
      </x:c>
      <x:c r="F148" s="22" t="n">
        <x:v>0.4630269369332064</x:v>
      </x:c>
      <x:c r="G148" s="22" t="n">
        <x:v>0.4630269369332064</x:v>
      </x:c>
      <x:c r="H148" s="24" t="n">
        <x:v>1</x:v>
      </x:c>
      <x:c r="I148" s="24" t="n">
        <x:v>2</x:v>
      </x:c>
      <x:c r="J148" s="23" t="n">
        <x:f>IF(I148&gt;0,H148/I148,"NA")</x:f>
        <x:v>0.5</x:v>
      </x:c>
      <x:c r="K148" s="23" t="n">
        <x:f>MAX(0,MIN(1,(E148-'总览与权重'!$B$18)/('总览与权重'!$C$18-'总览与权重'!$B$18)))</x:f>
        <x:v>0.0385855780777672</x:v>
      </x:c>
      <x:c r="L148" s="23" t="n">
        <x:f>MAX(0,MIN(1,(F148-'总览与权重'!$B$19)/('总览与权重'!$C$19-'总览与权重'!$B$19)))</x:f>
        <x:v>0.4630269369332064</x:v>
      </x:c>
      <x:c r="M148" s="23" t="n">
        <x:f>MAX(0,MIN(1,(G148-'总览与权重'!$B$20)/('总览与权重'!$C$20-'总览与权重'!$B$20)))</x:f>
        <x:v>0.4630269369332064</x:v>
      </x:c>
      <x:c r="N148" s="23" t="n">
        <x:f>J148</x:f>
        <x:v>0.5</x:v>
      </x:c>
      <x:c r="O148" s="22" t="str">
        <x:v>是</x:v>
      </x:c>
      <x:c r="P148" s="22" t="n">
        <x:v>0.29435304736941864</x:v>
      </x:c>
      <x:c r="Q148" s="22" t="n">
        <x:v>0.36794130921177326</x:v>
      </x:c>
      <x:c r="R148" s="22" t="n">
        <x:v>0.36794130921177326</x:v>
      </x:c>
      <x:c r="S148" s="23" t="n">
        <x:f>IF(O148="是",MAX(0,MIN(1,(P148-'总览与权重'!$B$21)/('总览与权重'!$C$21-'总览与权重'!$B$21))),"NA")</x:f>
        <x:v>0.5122647103070591</x:v>
      </x:c>
      <x:c r="T148" s="23" t="n">
        <x:f>IF(O148="是",MAX(0,MIN(1,(Q148-'总览与权重'!$B$22)/('总览与权重'!$C$22-'总览与权重'!$B$22))),"NA")</x:f>
        <x:v>0.6839706546058866</x:v>
      </x:c>
      <x:c r="U148" s="23" t="n">
        <x:f>IF(O148="是",MAX(0,MIN(1,(R148-'总览与权重'!$B$23)/('总览与权重'!$C$23-'总览与权重'!$B$23))),"NA")</x:f>
        <x:v>0.6839706546058866</x:v>
      </x:c>
      <x:c r="V148" s="23" t="n">
        <x:f>IF(O148="是",J148,"NA")</x:f>
        <x:v>0.5</x:v>
      </x:c>
      <x:c r="W148" s="22" t="str">
        <x:v>完整</x:v>
      </x:c>
      <x:c r="X148" s="22" t="str">
        <x:v>NA</x:v>
      </x:c>
      <x:c r="Y148" s="22" t="str">
        <x:v>NA</x:v>
      </x:c>
      <x:c r="Z148" s="22" t="n">
        <x:v>0.05</x:v>
      </x:c>
      <x:c r="AA148" s="22" t="n">
        <x:v>0.547619047619</x:v>
      </x:c>
      <x:c r="AB148" s="22" t="str">
        <x:v>知识点理解与概念探究；正向评价（不计能力分）</x:v>
      </x:c>
      <x:c r="AC148" s="22" t="str">
        <x:v>NA</x:v>
      </x:c>
      <x:c r="AD148" s="22" t="str">
        <x:v>NA</x:v>
      </x:c>
      <x:c r="AE148" s="22" t="str">
        <x:v>["S0868"]</x:v>
      </x:c>
      <x:c r="AF148" s="22" t="str">
        <x:v>["2026春:问答记录导出0919_已更新.xlsx:问答记录:52"]</x:v>
      </x:c>
      <x:c r="AG148" s="22" t="str">
        <x:v>evidence/student_evidence.jsonl；student_key=2026春:25A071</x:v>
      </x:c>
      <x:c r="AH148" s="27" t="str"/>
    </x:row>
    <x:row r="149" ht="23" customHeight="1">
      <x:c r="A149" s="21" t="str">
        <x:v>2026春:268112</x:v>
      </x:c>
      <x:c r="B149" s="22" t="str">
        <x:v>s3</x:v>
      </x:c>
      <x:c r="C149" s="24" t="n">
        <x:v>1</x:v>
      </x:c>
      <x:c r="D149" s="24" t="n">
        <x:v>1</x:v>
      </x:c>
      <x:c r="E149" s="22" t="n">
        <x:v>0.3582214187327823</x:v>
      </x:c>
      <x:c r="F149" s="22" t="n">
        <x:v>0.3582214187327823</x:v>
      </x:c>
      <x:c r="G149" s="22" t="n">
        <x:v>0.3582214187327823</x:v>
      </x:c>
      <x:c r="H149" s="24" t="n">
        <x:v>1</x:v>
      </x:c>
      <x:c r="I149" s="24" t="n">
        <x:v>2</x:v>
      </x:c>
      <x:c r="J149" s="23" t="n">
        <x:f>IF(I149&gt;0,H149/I149,"NA")</x:f>
        <x:v>0.5</x:v>
      </x:c>
      <x:c r="K149" s="23" t="n">
        <x:f>MAX(0,MIN(1,(E149-'总览与权重'!$B$18)/('总览与权重'!$C$18-'总览与权重'!$B$18)))</x:f>
        <x:v>0.029851784894398523</x:v>
      </x:c>
      <x:c r="L149" s="23" t="n">
        <x:f>MAX(0,MIN(1,(F149-'总览与权重'!$B$19)/('总览与权重'!$C$19-'总览与权重'!$B$19)))</x:f>
        <x:v>0.3582214187327823</x:v>
      </x:c>
      <x:c r="M149" s="23" t="n">
        <x:f>MAX(0,MIN(1,(G149-'总览与权重'!$B$20)/('总览与权重'!$C$20-'总览与权重'!$B$20)))</x:f>
        <x:v>0.3582214187327823</x:v>
      </x:c>
      <x:c r="N149" s="23" t="n">
        <x:f>J149</x:f>
        <x:v>0.5</x:v>
      </x:c>
      <x:c r="O149" s="22" t="str">
        <x:v>是</x:v>
      </x:c>
      <x:c r="P149" s="22" t="n">
        <x:v>0.22138913308043204</x:v>
      </x:c>
      <x:c r="Q149" s="22" t="n">
        <x:v>0.22138913308043204</x:v>
      </x:c>
      <x:c r="R149" s="22" t="n">
        <x:v>0.22138913308043204</x:v>
      </x:c>
      <x:c r="S149" s="23" t="n">
        <x:f>IF(O149="是",MAX(0,MIN(1,(P149-'总览与权重'!$B$21)/('总览与权重'!$C$21-'总览与权重'!$B$21))),"NA")</x:f>
        <x:v>0.5092245472116846</x:v>
      </x:c>
      <x:c r="T149" s="23" t="n">
        <x:f>IF(O149="是",MAX(0,MIN(1,(Q149-'总览与权重'!$B$22)/('总览与权重'!$C$22-'总览与权重'!$B$22))),"NA")</x:f>
        <x:v>0.610694566540216</x:v>
      </x:c>
      <x:c r="U149" s="23" t="n">
        <x:f>IF(O149="是",MAX(0,MIN(1,(R149-'总览与权重'!$B$23)/('总览与权重'!$C$23-'总览与权重'!$B$23))),"NA")</x:f>
        <x:v>0.610694566540216</x:v>
      </x:c>
      <x:c r="V149" s="23" t="n">
        <x:f>IF(O149="是",J149,"NA")</x:f>
        <x:v>0.5</x:v>
      </x:c>
      <x:c r="W149" s="22" t="str">
        <x:v>完整</x:v>
      </x:c>
      <x:c r="X149" s="22" t="str">
        <x:v>NA</x:v>
      </x:c>
      <x:c r="Y149" s="22" t="str">
        <x:v>NA</x:v>
      </x:c>
      <x:c r="Z149" s="22" t="n">
        <x:v>-0.25</x:v>
      </x:c>
      <x:c r="AA149" s="22" t="n">
        <x:v>-0.119047619048</x:v>
      </x:c>
      <x:c r="AB149" s="22" t="str">
        <x:v>知识点理解与概念探究；无明确评价（不计能力分）</x:v>
      </x:c>
      <x:c r="AC149" s="22" t="str">
        <x:v>NA</x:v>
      </x:c>
      <x:c r="AD149" s="22" t="str">
        <x:v>NA</x:v>
      </x:c>
      <x:c r="AE149" s="22" t="str">
        <x:v>["S0889"]</x:v>
      </x:c>
      <x:c r="AF149" s="22" t="str">
        <x:v>["2026春:问答记录导出0919_已更新.xlsx:问答记录:1516"]</x:v>
      </x:c>
      <x:c r="AG149" s="22" t="str">
        <x:v>evidence/student_evidence.jsonl；student_key=2026春:268112</x:v>
      </x:c>
      <x:c r="AH149" s="27" t="str"/>
    </x:row>
    <x:row r="150" ht="23" customHeight="1">
      <x:c r="A150" s="21" t="str">
        <x:v>2026春:268115</x:v>
      </x:c>
      <x:c r="B150" s="22" t="str">
        <x:v>s3</x:v>
      </x:c>
      <x:c r="C150" s="24" t="n">
        <x:v>1</x:v>
      </x:c>
      <x:c r="D150" s="24" t="n">
        <x:v>1</x:v>
      </x:c>
      <x:c r="E150" s="22" t="n">
        <x:v>0.3810004146110808</x:v>
      </x:c>
      <x:c r="F150" s="22" t="n">
        <x:v>0.3810004146110808</x:v>
      </x:c>
      <x:c r="G150" s="22" t="n">
        <x:v>0.3810004146110808</x:v>
      </x:c>
      <x:c r="H150" s="24" t="n">
        <x:v>2</x:v>
      </x:c>
      <x:c r="I150" s="24" t="n">
        <x:v>5</x:v>
      </x:c>
      <x:c r="J150" s="23" t="n">
        <x:f>IF(I150&gt;0,H150/I150,"NA")</x:f>
        <x:v>0.4</x:v>
      </x:c>
      <x:c r="K150" s="23" t="n">
        <x:f>MAX(0,MIN(1,(E150-'总览与权重'!$B$18)/('总览与权重'!$C$18-'总览与权重'!$B$18)))</x:f>
        <x:v>0.0317500345509234</x:v>
      </x:c>
      <x:c r="L150" s="23" t="n">
        <x:f>MAX(0,MIN(1,(F150-'总览与权重'!$B$19)/('总览与权重'!$C$19-'总览与权重'!$B$19)))</x:f>
        <x:v>0.3810004146110808</x:v>
      </x:c>
      <x:c r="M150" s="23" t="n">
        <x:f>MAX(0,MIN(1,(G150-'总览与权重'!$B$20)/('总览与权重'!$C$20-'总览与权重'!$B$20)))</x:f>
        <x:v>0.3810004146110808</x:v>
      </x:c>
      <x:c r="N150" s="23" t="n">
        <x:f>J150</x:f>
        <x:v>0.4</x:v>
      </x:c>
      <x:c r="O150" s="22" t="str">
        <x:v>是</x:v>
      </x:c>
      <x:c r="P150" s="22" t="n">
        <x:v>0.24416812895873055</x:v>
      </x:c>
      <x:c r="Q150" s="22" t="n">
        <x:v>0.24416812895873055</x:v>
      </x:c>
      <x:c r="R150" s="22" t="n">
        <x:v>0.24416812895873055</x:v>
      </x:c>
      <x:c r="S150" s="23" t="n">
        <x:f>IF(O150="是",MAX(0,MIN(1,(P150-'总览与权重'!$B$21)/('总览与权重'!$C$21-'总览与权重'!$B$21))),"NA")</x:f>
        <x:v>0.5101736720399471</x:v>
      </x:c>
      <x:c r="T150" s="23" t="n">
        <x:f>IF(O150="是",MAX(0,MIN(1,(Q150-'总览与权重'!$B$22)/('总览与权重'!$C$22-'总览与权重'!$B$22))),"NA")</x:f>
        <x:v>0.6220840644793653</x:v>
      </x:c>
      <x:c r="U150" s="23" t="n">
        <x:f>IF(O150="是",MAX(0,MIN(1,(R150-'总览与权重'!$B$23)/('总览与权重'!$C$23-'总览与权重'!$B$23))),"NA")</x:f>
        <x:v>0.6220840644793653</x:v>
      </x:c>
      <x:c r="V150" s="23" t="n">
        <x:f>IF(O150="是",J150,"NA")</x:f>
        <x:v>0.4</x:v>
      </x:c>
      <x:c r="W150" s="22" t="str">
        <x:v>完整</x:v>
      </x:c>
      <x:c r="X150" s="22" t="str">
        <x:v>NA</x:v>
      </x:c>
      <x:c r="Y150" s="22" t="str">
        <x:v>NA</x:v>
      </x:c>
      <x:c r="Z150" s="22" t="n">
        <x:v>-0.25</x:v>
      </x:c>
      <x:c r="AA150" s="22" t="n">
        <x:v>-0.119047619048</x:v>
      </x:c>
      <x:c r="AB150" s="22" t="str">
        <x:v>知识点理解与概念探究；正向评价（不计能力分）</x:v>
      </x:c>
      <x:c r="AC150" s="22" t="str">
        <x:v>NA</x:v>
      </x:c>
      <x:c r="AD150" s="22" t="str">
        <x:v>NA</x:v>
      </x:c>
      <x:c r="AE150" s="22" t="str">
        <x:v>["S0897"]</x:v>
      </x:c>
      <x:c r="AF150" s="22" t="str">
        <x:v>["2026春:问答记录导出0919_已更新.xlsx:问答记录:1524"]</x:v>
      </x:c>
      <x:c r="AG150" s="22" t="str">
        <x:v>evidence/student_evidence.jsonl；student_key=2026春:268115</x:v>
      </x:c>
      <x:c r="AH150" s="27" t="str"/>
    </x:row>
    <x:row r="151" ht="23" customHeight="1">
      <x:c r="A151" s="21" t="str">
        <x:v>2026春:268121</x:v>
      </x:c>
      <x:c r="B151" s="22" t="str">
        <x:v>s3</x:v>
      </x:c>
      <x:c r="C151" s="24" t="n">
        <x:v>1</x:v>
      </x:c>
      <x:c r="D151" s="24" t="n">
        <x:v>1</x:v>
      </x:c>
      <x:c r="E151" s="22" t="n">
        <x:v>0.3627356475917338</x:v>
      </x:c>
      <x:c r="F151" s="22" t="n">
        <x:v>0.3627356475917338</x:v>
      </x:c>
      <x:c r="G151" s="22" t="n">
        <x:v>0.3627356475917338</x:v>
      </x:c>
      <x:c r="H151" s="24" t="n">
        <x:v>4</x:v>
      </x:c>
      <x:c r="I151" s="24" t="n">
        <x:v>6</x:v>
      </x:c>
      <x:c r="J151" s="23" t="n">
        <x:f>IF(I151&gt;0,H151/I151,"NA")</x:f>
        <x:v>0.6666666666666666</x:v>
      </x:c>
      <x:c r="K151" s="23" t="n">
        <x:f>MAX(0,MIN(1,(E151-'总览与权重'!$B$18)/('总览与权重'!$C$18-'总览与权重'!$B$18)))</x:f>
        <x:v>0.030227970632644485</x:v>
      </x:c>
      <x:c r="L151" s="23" t="n">
        <x:f>MAX(0,MIN(1,(F151-'总览与权重'!$B$19)/('总览与权重'!$C$19-'总览与权重'!$B$19)))</x:f>
        <x:v>0.3627356475917338</x:v>
      </x:c>
      <x:c r="M151" s="23" t="n">
        <x:f>MAX(0,MIN(1,(G151-'总览与权重'!$B$20)/('总览与权重'!$C$20-'总览与权重'!$B$20)))</x:f>
        <x:v>0.3627356475917338</x:v>
      </x:c>
      <x:c r="N151" s="23" t="n">
        <x:f>J151</x:f>
        <x:v>0.6666666666666666</x:v>
      </x:c>
      <x:c r="O151" s="22" t="str">
        <x:v>是</x:v>
      </x:c>
      <x:c r="P151" s="22" t="n">
        <x:v>0.22590336193938357</x:v>
      </x:c>
      <x:c r="Q151" s="22" t="n">
        <x:v>0.22590336193938357</x:v>
      </x:c>
      <x:c r="R151" s="22" t="n">
        <x:v>0.22590336193938357</x:v>
      </x:c>
      <x:c r="S151" s="23" t="n">
        <x:f>IF(O151="是",MAX(0,MIN(1,(P151-'总览与权重'!$B$21)/('总览与权重'!$C$21-'总览与权重'!$B$21))),"NA")</x:f>
        <x:v>0.5094126400808077</x:v>
      </x:c>
      <x:c r="T151" s="23" t="n">
        <x:f>IF(O151="是",MAX(0,MIN(1,(Q151-'总览与权重'!$B$22)/('总览与权重'!$C$22-'总览与权重'!$B$22))),"NA")</x:f>
        <x:v>0.6129516809696918</x:v>
      </x:c>
      <x:c r="U151" s="23" t="n">
        <x:f>IF(O151="是",MAX(0,MIN(1,(R151-'总览与权重'!$B$23)/('总览与权重'!$C$23-'总览与权重'!$B$23))),"NA")</x:f>
        <x:v>0.6129516809696918</x:v>
      </x:c>
      <x:c r="V151" s="23" t="n">
        <x:f>IF(O151="是",J151,"NA")</x:f>
        <x:v>0.6666666666666666</x:v>
      </x:c>
      <x:c r="W151" s="22" t="str">
        <x:v>完整</x:v>
      </x:c>
      <x:c r="X151" s="22" t="str">
        <x:v>NA</x:v>
      </x:c>
      <x:c r="Y151" s="22" t="str">
        <x:v>NA</x:v>
      </x:c>
      <x:c r="Z151" s="22" t="n">
        <x:v>-0.25</x:v>
      </x:c>
      <x:c r="AA151" s="22" t="n">
        <x:v>-0.119047619048</x:v>
      </x:c>
      <x:c r="AB151" s="22" t="str">
        <x:v>课程答疑复习与资源使用；正向评价（不计能力分）</x:v>
      </x:c>
      <x:c r="AC151" s="22" t="str">
        <x:v>NA</x:v>
      </x:c>
      <x:c r="AD151" s="22" t="str">
        <x:v>NA</x:v>
      </x:c>
      <x:c r="AE151" s="22" t="str">
        <x:v>["S0915"]</x:v>
      </x:c>
      <x:c r="AF151" s="22" t="str">
        <x:v>["2026春:问答记录导出0919_已更新.xlsx:问答记录:1542"]</x:v>
      </x:c>
      <x:c r="AG151" s="22" t="str">
        <x:v>evidence/student_evidence.jsonl；student_key=2026春:268121</x:v>
      </x:c>
      <x:c r="AH151" s="27" t="str"/>
    </x:row>
    <x:row r="152" ht="23" customHeight="1">
      <x:c r="A152" s="21" t="str">
        <x:v>2026春:268126</x:v>
      </x:c>
      <x:c r="B152" s="22" t="str">
        <x:v>s3</x:v>
      </x:c>
      <x:c r="C152" s="24" t="n">
        <x:v>1</x:v>
      </x:c>
      <x:c r="D152" s="24" t="n">
        <x:v>1</x:v>
      </x:c>
      <x:c r="E152" s="22" t="n">
        <x:v>0.34944574708586496</x:v>
      </x:c>
      <x:c r="F152" s="22" t="n">
        <x:v>0.34944574708586496</x:v>
      </x:c>
      <x:c r="G152" s="22" t="n">
        <x:v>0.34944574708586496</x:v>
      </x:c>
      <x:c r="H152" s="24" t="n">
        <x:v>1</x:v>
      </x:c>
      <x:c r="I152" s="24" t="n">
        <x:v>3</x:v>
      </x:c>
      <x:c r="J152" s="23" t="n">
        <x:f>IF(I152&gt;0,H152/I152,"NA")</x:f>
        <x:v>0.3333333333333333</x:v>
      </x:c>
      <x:c r="K152" s="23" t="n">
        <x:f>MAX(0,MIN(1,(E152-'总览与权重'!$B$18)/('总览与权重'!$C$18-'总览与权重'!$B$18)))</x:f>
        <x:v>0.02912047892382208</x:v>
      </x:c>
      <x:c r="L152" s="23" t="n">
        <x:f>MAX(0,MIN(1,(F152-'总览与权重'!$B$19)/('总览与权重'!$C$19-'总览与权重'!$B$19)))</x:f>
        <x:v>0.34944574708586496</x:v>
      </x:c>
      <x:c r="M152" s="23" t="n">
        <x:f>MAX(0,MIN(1,(G152-'总览与权重'!$B$20)/('总览与权重'!$C$20-'总览与权重'!$B$20)))</x:f>
        <x:v>0.34944574708586496</x:v>
      </x:c>
      <x:c r="N152" s="23" t="n">
        <x:f>J152</x:f>
        <x:v>0.3333333333333333</x:v>
      </x:c>
      <x:c r="O152" s="22" t="str">
        <x:v>是</x:v>
      </x:c>
      <x:c r="P152" s="22" t="n">
        <x:v>0.231560761445105</x:v>
      </x:c>
      <x:c r="Q152" s="22" t="n">
        <x:v>0.231560761445105</x:v>
      </x:c>
      <x:c r="R152" s="22" t="n">
        <x:v>0.231560761445105</x:v>
      </x:c>
      <x:c r="S152" s="23" t="n">
        <x:f>IF(O152="是",MAX(0,MIN(1,(P152-'总览与权重'!$B$21)/('总览与权重'!$C$21-'总览与权重'!$B$21))),"NA")</x:f>
        <x:v>0.5096483650602127</x:v>
      </x:c>
      <x:c r="T152" s="23" t="n">
        <x:f>IF(O152="是",MAX(0,MIN(1,(Q152-'总览与权重'!$B$22)/('总览与权重'!$C$22-'总览与权重'!$B$22))),"NA")</x:f>
        <x:v>0.6157803807225525</x:v>
      </x:c>
      <x:c r="U152" s="23" t="n">
        <x:f>IF(O152="是",MAX(0,MIN(1,(R152-'总览与权重'!$B$23)/('总览与权重'!$C$23-'总览与权重'!$B$23))),"NA")</x:f>
        <x:v>0.6157803807225525</x:v>
      </x:c>
      <x:c r="V152" s="23" t="n">
        <x:f>IF(O152="是",J152,"NA")</x:f>
        <x:v>0.3333333333333333</x:v>
      </x:c>
      <x:c r="W152" s="22" t="str">
        <x:v>完整</x:v>
      </x:c>
      <x:c r="X152" s="22" t="str">
        <x:v>NA</x:v>
      </x:c>
      <x:c r="Y152" s="22" t="str">
        <x:v>NA</x:v>
      </x:c>
      <x:c r="Z152" s="22" t="n">
        <x:v>-0.25</x:v>
      </x:c>
      <x:c r="AA152" s="22" t="n">
        <x:v>-0.119047619048</x:v>
      </x:c>
      <x:c r="AB152" s="22" t="str">
        <x:v>科研课题与学习路径规划；正向评价（不计能力分）</x:v>
      </x:c>
      <x:c r="AC152" s="22" t="str">
        <x:v>NA</x:v>
      </x:c>
      <x:c r="AD152" s="22" t="str">
        <x:v>NA</x:v>
      </x:c>
      <x:c r="AE152" s="22" t="str">
        <x:v>["S0931"]</x:v>
      </x:c>
      <x:c r="AF152" s="22" t="str">
        <x:v>["2026春:问答记录导出0919_已更新.xlsx:问答记录:1558"]</x:v>
      </x:c>
      <x:c r="AG152" s="22" t="str">
        <x:v>evidence/student_evidence.jsonl；student_key=2026春:268126</x:v>
      </x:c>
      <x:c r="AH152" s="27" t="str"/>
    </x:row>
    <x:row r="153" ht="23" customHeight="1">
      <x:c r="A153" s="21" t="str">
        <x:v>2026春:268127</x:v>
      </x:c>
      <x:c r="B153" s="22" t="str">
        <x:v>s3</x:v>
      </x:c>
      <x:c r="C153" s="24" t="n">
        <x:v>1</x:v>
      </x:c>
      <x:c r="D153" s="24" t="n">
        <x:v>1</x:v>
      </x:c>
      <x:c r="E153" s="22" t="n">
        <x:v>0.3818843761667175</x:v>
      </x:c>
      <x:c r="F153" s="22" t="n">
        <x:v>0.3818843761667175</x:v>
      </x:c>
      <x:c r="G153" s="22" t="n">
        <x:v>0.3818843761667175</x:v>
      </x:c>
      <x:c r="H153" s="24" t="n">
        <x:v>2</x:v>
      </x:c>
      <x:c r="I153" s="24" t="n">
        <x:v>3</x:v>
      </x:c>
      <x:c r="J153" s="23" t="n">
        <x:f>IF(I153&gt;0,H153/I153,"NA")</x:f>
        <x:v>0.6666666666666666</x:v>
      </x:c>
      <x:c r="K153" s="23" t="n">
        <x:f>MAX(0,MIN(1,(E153-'总览与权重'!$B$18)/('总览与权重'!$C$18-'总览与权重'!$B$18)))</x:f>
        <x:v>0.03182369801389313</x:v>
      </x:c>
      <x:c r="L153" s="23" t="n">
        <x:f>MAX(0,MIN(1,(F153-'总览与权重'!$B$19)/('总览与权重'!$C$19-'总览与权重'!$B$19)))</x:f>
        <x:v>0.3818843761667175</x:v>
      </x:c>
      <x:c r="M153" s="23" t="n">
        <x:f>MAX(0,MIN(1,(G153-'总览与权重'!$B$20)/('总览与权重'!$C$20-'总览与权重'!$B$20)))</x:f>
        <x:v>0.3818843761667175</x:v>
      </x:c>
      <x:c r="N153" s="23" t="n">
        <x:f>J153</x:f>
        <x:v>0.6666666666666666</x:v>
      </x:c>
      <x:c r="O153" s="22" t="str">
        <x:v>是</x:v>
      </x:c>
      <x:c r="P153" s="22" t="n">
        <x:v>0.24505209051436724</x:v>
      </x:c>
      <x:c r="Q153" s="22" t="n">
        <x:v>0.24505209051436724</x:v>
      </x:c>
      <x:c r="R153" s="22" t="n">
        <x:v>0.24505209051436724</x:v>
      </x:c>
      <x:c r="S153" s="23" t="n">
        <x:f>IF(O153="是",MAX(0,MIN(1,(P153-'总览与权重'!$B$21)/('总览与权重'!$C$21-'总览与权重'!$B$21))),"NA")</x:f>
        <x:v>0.510210503771432</x:v>
      </x:c>
      <x:c r="T153" s="23" t="n">
        <x:f>IF(O153="是",MAX(0,MIN(1,(Q153-'总览与权重'!$B$22)/('总览与权重'!$C$22-'总览与权重'!$B$22))),"NA")</x:f>
        <x:v>0.6225260452571836</x:v>
      </x:c>
      <x:c r="U153" s="23" t="n">
        <x:f>IF(O153="是",MAX(0,MIN(1,(R153-'总览与权重'!$B$23)/('总览与权重'!$C$23-'总览与权重'!$B$23))),"NA")</x:f>
        <x:v>0.6225260452571836</x:v>
      </x:c>
      <x:c r="V153" s="23" t="n">
        <x:f>IF(O153="是",J153,"NA")</x:f>
        <x:v>0.6666666666666666</x:v>
      </x:c>
      <x:c r="W153" s="22" t="str">
        <x:v>完整</x:v>
      </x:c>
      <x:c r="X153" s="22" t="str">
        <x:v>NA</x:v>
      </x:c>
      <x:c r="Y153" s="22" t="str">
        <x:v>NA</x:v>
      </x:c>
      <x:c r="Z153" s="22" t="n">
        <x:v>-0.25</x:v>
      </x:c>
      <x:c r="AA153" s="22" t="n">
        <x:v>-0.119047619048</x:v>
      </x:c>
      <x:c r="AB153" s="22" t="str">
        <x:v>课程答疑复习与资源使用；正向评价（不计能力分）</x:v>
      </x:c>
      <x:c r="AC153" s="22" t="str">
        <x:v>NA</x:v>
      </x:c>
      <x:c r="AD153" s="22" t="str">
        <x:v>NA</x:v>
      </x:c>
      <x:c r="AE153" s="22" t="str">
        <x:v>["S0935"]</x:v>
      </x:c>
      <x:c r="AF153" s="22" t="str">
        <x:v>["2026春:问答记录导出0919_已更新.xlsx:问答记录:1562"]</x:v>
      </x:c>
      <x:c r="AG153" s="22" t="str">
        <x:v>evidence/student_evidence.jsonl；student_key=2026春:268127</x:v>
      </x:c>
      <x:c r="AH153" s="27" t="str"/>
    </x:row>
    <x:row r="154" ht="23" customHeight="1">
      <x:c r="A154" s="21" t="str">
        <x:v>2026春:268130</x:v>
      </x:c>
      <x:c r="B154" s="22" t="str">
        <x:v>s3</x:v>
      </x:c>
      <x:c r="C154" s="24" t="n">
        <x:v>1</x:v>
      </x:c>
      <x:c r="D154" s="24" t="n">
        <x:v>1</x:v>
      </x:c>
      <x:c r="E154" s="22" t="n">
        <x:v>0.1480728136129798</x:v>
      </x:c>
      <x:c r="F154" s="22" t="n">
        <x:v>0.1480728136129798</x:v>
      </x:c>
      <x:c r="G154" s="22" t="n">
        <x:v>0.1480728136129798</x:v>
      </x:c>
      <x:c r="H154" s="24" t="n">
        <x:v>1</x:v>
      </x:c>
      <x:c r="I154" s="24" t="n">
        <x:v>3</x:v>
      </x:c>
      <x:c r="J154" s="23" t="n">
        <x:f>IF(I154&gt;0,H154/I154,"NA")</x:f>
        <x:v>0.3333333333333333</x:v>
      </x:c>
      <x:c r="K154" s="23" t="n">
        <x:f>MAX(0,MIN(1,(E154-'总览与权重'!$B$18)/('总览与权重'!$C$18-'总览与权重'!$B$18)))</x:f>
        <x:v>0.012339401134414984</x:v>
      </x:c>
      <x:c r="L154" s="23" t="n">
        <x:f>MAX(0,MIN(1,(F154-'总览与权重'!$B$19)/('总览与权重'!$C$19-'总览与权重'!$B$19)))</x:f>
        <x:v>0.1480728136129798</x:v>
      </x:c>
      <x:c r="M154" s="23" t="n">
        <x:f>MAX(0,MIN(1,(G154-'总览与权重'!$B$20)/('总览与权重'!$C$20-'总览与权重'!$B$20)))</x:f>
        <x:v>0.1480728136129798</x:v>
      </x:c>
      <x:c r="N154" s="23" t="n">
        <x:f>J154</x:f>
        <x:v>0.3333333333333333</x:v>
      </x:c>
      <x:c r="O154" s="22" t="str">
        <x:v>是</x:v>
      </x:c>
      <x:c r="P154" s="22" t="n">
        <x:v>0.030187827972219874</x:v>
      </x:c>
      <x:c r="Q154" s="22" t="n">
        <x:v>0.030187827972219874</x:v>
      </x:c>
      <x:c r="R154" s="22" t="n">
        <x:v>0.030187827972219874</x:v>
      </x:c>
      <x:c r="S154" s="23" t="n">
        <x:f>IF(O154="是",MAX(0,MIN(1,(P154-'总览与权重'!$B$21)/('总览与权重'!$C$21-'总览与权重'!$B$21))),"NA")</x:f>
        <x:v>0.5012578261655092</x:v>
      </x:c>
      <x:c r="T154" s="23" t="n">
        <x:f>IF(O154="是",MAX(0,MIN(1,(Q154-'总览与权重'!$B$22)/('总览与权重'!$C$22-'总览与权重'!$B$22))),"NA")</x:f>
        <x:v>0.5150939139861099</x:v>
      </x:c>
      <x:c r="U154" s="23" t="n">
        <x:f>IF(O154="是",MAX(0,MIN(1,(R154-'总览与权重'!$B$23)/('总览与权重'!$C$23-'总览与权重'!$B$23))),"NA")</x:f>
        <x:v>0.5150939139861099</x:v>
      </x:c>
      <x:c r="V154" s="23" t="n">
        <x:f>IF(O154="是",J154,"NA")</x:f>
        <x:v>0.3333333333333333</x:v>
      </x:c>
      <x:c r="W154" s="22" t="str">
        <x:v>完整</x:v>
      </x:c>
      <x:c r="X154" s="22" t="str">
        <x:v>NA</x:v>
      </x:c>
      <x:c r="Y154" s="22" t="str">
        <x:v>NA</x:v>
      </x:c>
      <x:c r="Z154" s="22" t="n">
        <x:v>0.3</x:v>
      </x:c>
      <x:c r="AA154" s="22" t="n">
        <x:v>0.666666666667</x:v>
      </x:c>
      <x:c r="AB154" s="22" t="str">
        <x:v>模型方法选择与问题求解；正向评价（不计能力分）</x:v>
      </x:c>
      <x:c r="AC154" s="22" t="str">
        <x:v>NA</x:v>
      </x:c>
      <x:c r="AD154" s="22" t="str">
        <x:v>NA</x:v>
      </x:c>
      <x:c r="AE154" s="22" t="str">
        <x:v>["S0938"]</x:v>
      </x:c>
      <x:c r="AF154" s="22" t="str">
        <x:v>["2026春:问答记录导出0919_已更新.xlsx:问答记录:1565"]</x:v>
      </x:c>
      <x:c r="AG154" s="22" t="str">
        <x:v>evidence/student_evidence.jsonl；student_key=2026春:268130</x:v>
      </x:c>
      <x:c r="AH154" s="27" t="str"/>
    </x:row>
    <x:row r="155" ht="23" customHeight="1">
      <x:c r="A155" s="21" t="str">
        <x:v>2026春:268133</x:v>
      </x:c>
      <x:c r="B155" s="22" t="str">
        <x:v>s3</x:v>
      </x:c>
      <x:c r="C155" s="24" t="n">
        <x:v>1</x:v>
      </x:c>
      <x:c r="D155" s="24" t="n">
        <x:v>1</x:v>
      </x:c>
      <x:c r="E155" s="22" t="n">
        <x:v>0.1303745910458248</x:v>
      </x:c>
      <x:c r="F155" s="22" t="n">
        <x:v>0.1303745910458248</x:v>
      </x:c>
      <x:c r="G155" s="22" t="n">
        <x:v>0.1303745910458248</x:v>
      </x:c>
      <x:c r="H155" s="24" t="n">
        <x:v>1</x:v>
      </x:c>
      <x:c r="I155" s="24" t="n">
        <x:v>4</x:v>
      </x:c>
      <x:c r="J155" s="23" t="n">
        <x:f>IF(I155&gt;0,H155/I155,"NA")</x:f>
        <x:v>0.25</x:v>
      </x:c>
      <x:c r="K155" s="23" t="n">
        <x:f>MAX(0,MIN(1,(E155-'总览与权重'!$B$18)/('总览与权重'!$C$18-'总览与权重'!$B$18)))</x:f>
        <x:v>0.010864549253818733</x:v>
      </x:c>
      <x:c r="L155" s="23" t="n">
        <x:f>MAX(0,MIN(1,(F155-'总览与权重'!$B$19)/('总览与权重'!$C$19-'总览与权重'!$B$19)))</x:f>
        <x:v>0.1303745910458248</x:v>
      </x:c>
      <x:c r="M155" s="23" t="n">
        <x:f>MAX(0,MIN(1,(G155-'总览与权重'!$B$20)/('总览与权重'!$C$20-'总览与权重'!$B$20)))</x:f>
        <x:v>0.1303745910458248</x:v>
      </x:c>
      <x:c r="N155" s="23" t="n">
        <x:f>J155</x:f>
        <x:v>0.25</x:v>
      </x:c>
      <x:c r="O155" s="22" t="str">
        <x:v>是</x:v>
      </x:c>
      <x:c r="P155" s="22" t="n">
        <x:v>-0.006457694606525455</x:v>
      </x:c>
      <x:c r="Q155" s="22" t="n">
        <x:v>-0.006457694606525455</x:v>
      </x:c>
      <x:c r="R155" s="22" t="n">
        <x:v>-0.006457694606525455</x:v>
      </x:c>
      <x:c r="S155" s="23" t="n">
        <x:f>IF(O155="是",MAX(0,MIN(1,(P155-'总览与权重'!$B$21)/('总览与权重'!$C$21-'总览与权重'!$B$21))),"NA")</x:f>
        <x:v>0.49973092939139474</x:v>
      </x:c>
      <x:c r="T155" s="23" t="n">
        <x:f>IF(O155="是",MAX(0,MIN(1,(Q155-'总览与权重'!$B$22)/('总览与权重'!$C$22-'总览与权重'!$B$22))),"NA")</x:f>
        <x:v>0.4967711526967373</x:v>
      </x:c>
      <x:c r="U155" s="23" t="n">
        <x:f>IF(O155="是",MAX(0,MIN(1,(R155-'总览与权重'!$B$23)/('总览与权重'!$C$23-'总览与权重'!$B$23))),"NA")</x:f>
        <x:v>0.4967711526967373</x:v>
      </x:c>
      <x:c r="V155" s="23" t="n">
        <x:f>IF(O155="是",J155,"NA")</x:f>
        <x:v>0.25</x:v>
      </x:c>
      <x:c r="W155" s="22" t="str">
        <x:v>完整</x:v>
      </x:c>
      <x:c r="X155" s="22" t="str">
        <x:v>NA</x:v>
      </x:c>
      <x:c r="Y155" s="22" t="str">
        <x:v>NA</x:v>
      </x:c>
      <x:c r="Z155" s="22" t="n">
        <x:v>0.3</x:v>
      </x:c>
      <x:c r="AA155" s="22" t="n">
        <x:v>0.666666666667</x:v>
      </x:c>
      <x:c r="AB155" s="22" t="str">
        <x:v>模型方法选择与问题求解；正负并存或有条件评价（不计能力分）</x:v>
      </x:c>
      <x:c r="AC155" s="22" t="str">
        <x:v>NA</x:v>
      </x:c>
      <x:c r="AD155" s="22" t="str">
        <x:v>NA</x:v>
      </x:c>
      <x:c r="AE155" s="22" t="str">
        <x:v>["S0944"]</x:v>
      </x:c>
      <x:c r="AF155" s="22" t="str">
        <x:v>["2026春:问答记录导出0919_已更新.xlsx:问答记录:1571"]</x:v>
      </x:c>
      <x:c r="AG155" s="22" t="str">
        <x:v>evidence/student_evidence.jsonl；student_key=2026春:268133</x:v>
      </x:c>
      <x:c r="AH155" s="27" t="str"/>
    </x:row>
    <x:row r="156" ht="23" customHeight="1">
      <x:c r="A156" s="21" t="str">
        <x:v>2026春:268135</x:v>
      </x:c>
      <x:c r="B156" s="22" t="str">
        <x:v>s3</x:v>
      </x:c>
      <x:c r="C156" s="24" t="n">
        <x:v>1</x:v>
      </x:c>
      <x:c r="D156" s="24" t="n">
        <x:v>1</x:v>
      </x:c>
      <x:c r="E156" s="22" t="n">
        <x:v>0.31986204222885284</x:v>
      </x:c>
      <x:c r="F156" s="22" t="n">
        <x:v>0.31986204222885284</x:v>
      </x:c>
      <x:c r="G156" s="22" t="n">
        <x:v>0.31986204222885284</x:v>
      </x:c>
      <x:c r="H156" s="24" t="n">
        <x:v>1</x:v>
      </x:c>
      <x:c r="I156" s="24" t="n">
        <x:v>4</x:v>
      </x:c>
      <x:c r="J156" s="23" t="n">
        <x:f>IF(I156&gt;0,H156/I156,"NA")</x:f>
        <x:v>0.25</x:v>
      </x:c>
      <x:c r="K156" s="23" t="n">
        <x:f>MAX(0,MIN(1,(E156-'总览与权重'!$B$18)/('总览与权重'!$C$18-'总览与权重'!$B$18)))</x:f>
        <x:v>0.026655170185737737</x:v>
      </x:c>
      <x:c r="L156" s="23" t="n">
        <x:f>MAX(0,MIN(1,(F156-'总览与权重'!$B$19)/('总览与权重'!$C$19-'总览与权重'!$B$19)))</x:f>
        <x:v>0.31986204222885284</x:v>
      </x:c>
      <x:c r="M156" s="23" t="n">
        <x:f>MAX(0,MIN(1,(G156-'总览与权重'!$B$20)/('总览与权重'!$C$20-'总览与权重'!$B$20)))</x:f>
        <x:v>0.31986204222885284</x:v>
      </x:c>
      <x:c r="N156" s="23" t="n">
        <x:f>J156</x:f>
        <x:v>0.25</x:v>
      </x:c>
      <x:c r="O156" s="22" t="str">
        <x:v>是</x:v>
      </x:c>
      <x:c r="P156" s="22" t="n">
        <x:v>0.2019770565880929</x:v>
      </x:c>
      <x:c r="Q156" s="22" t="n">
        <x:v>0.2019770565880929</x:v>
      </x:c>
      <x:c r="R156" s="22" t="n">
        <x:v>0.2019770565880929</x:v>
      </x:c>
      <x:c r="S156" s="23" t="n">
        <x:f>IF(O156="是",MAX(0,MIN(1,(P156-'总览与权重'!$B$21)/('总览与权重'!$C$21-'总览与权重'!$B$21))),"NA")</x:f>
        <x:v>0.5084157106911705</x:v>
      </x:c>
      <x:c r="T156" s="23" t="n">
        <x:f>IF(O156="是",MAX(0,MIN(1,(Q156-'总览与权重'!$B$22)/('总览与权重'!$C$22-'总览与权重'!$B$22))),"NA")</x:f>
        <x:v>0.6009885282940465</x:v>
      </x:c>
      <x:c r="U156" s="23" t="n">
        <x:f>IF(O156="是",MAX(0,MIN(1,(R156-'总览与权重'!$B$23)/('总览与权重'!$C$23-'总览与权重'!$B$23))),"NA")</x:f>
        <x:v>0.6009885282940465</x:v>
      </x:c>
      <x:c r="V156" s="23" t="n">
        <x:f>IF(O156="是",J156,"NA")</x:f>
        <x:v>0.25</x:v>
      </x:c>
      <x:c r="W156" s="22" t="str">
        <x:v>完整</x:v>
      </x:c>
      <x:c r="X156" s="22" t="str">
        <x:v>NA</x:v>
      </x:c>
      <x:c r="Y156" s="22" t="str">
        <x:v>NA</x:v>
      </x:c>
      <x:c r="Z156" s="22" t="n">
        <x:v>-0.25</x:v>
      </x:c>
      <x:c r="AA156" s="22" t="n">
        <x:v>-0.119047619048</x:v>
      </x:c>
      <x:c r="AB156" s="22" t="str">
        <x:v>课程答疑复习与资源使用；无明确评价（不计能力分）</x:v>
      </x:c>
      <x:c r="AC156" s="22" t="str">
        <x:v>NA</x:v>
      </x:c>
      <x:c r="AD156" s="22" t="str">
        <x:v>NA</x:v>
      </x:c>
      <x:c r="AE156" s="22" t="str">
        <x:v>["S0948"]</x:v>
      </x:c>
      <x:c r="AF156" s="22" t="str">
        <x:v>["2026春:问答记录导出0919_已更新.xlsx:问答记录:1575"]</x:v>
      </x:c>
      <x:c r="AG156" s="22" t="str">
        <x:v>evidence/student_evidence.jsonl；student_key=2026春:268135</x:v>
      </x:c>
      <x:c r="AH156" s="27" t="str"/>
    </x:row>
    <x:row r="157" ht="23" customHeight="1">
      <x:c r="A157" s="21" t="str">
        <x:v>2026春:268139</x:v>
      </x:c>
      <x:c r="B157" s="22" t="str">
        <x:v>s3</x:v>
      </x:c>
      <x:c r="C157" s="24" t="n">
        <x:v>1</x:v>
      </x:c>
      <x:c r="D157" s="24" t="n">
        <x:v>1</x:v>
      </x:c>
      <x:c r="E157" s="22" t="n">
        <x:v>0.3502220596156387</x:v>
      </x:c>
      <x:c r="F157" s="22" t="n">
        <x:v>0.3502220596156387</x:v>
      </x:c>
      <x:c r="G157" s="22" t="n">
        <x:v>0.3502220596156387</x:v>
      </x:c>
      <x:c r="H157" s="24" t="n">
        <x:v>3</x:v>
      </x:c>
      <x:c r="I157" s="24" t="n">
        <x:v>3</x:v>
      </x:c>
      <x:c r="J157" s="23" t="n">
        <x:f>IF(I157&gt;0,H157/I157,"NA")</x:f>
        <x:v>1</x:v>
      </x:c>
      <x:c r="K157" s="23" t="n">
        <x:f>MAX(0,MIN(1,(E157-'总览与权重'!$B$18)/('总览与权重'!$C$18-'总览与权重'!$B$18)))</x:f>
        <x:v>0.029185171634636558</x:v>
      </x:c>
      <x:c r="L157" s="23" t="n">
        <x:f>MAX(0,MIN(1,(F157-'总览与权重'!$B$19)/('总览与权重'!$C$19-'总览与权重'!$B$19)))</x:f>
        <x:v>0.3502220596156387</x:v>
      </x:c>
      <x:c r="M157" s="23" t="n">
        <x:f>MAX(0,MIN(1,(G157-'总览与权重'!$B$20)/('总览与权重'!$C$20-'总览与权重'!$B$20)))</x:f>
        <x:v>0.3502220596156387</x:v>
      </x:c>
      <x:c r="N157" s="23" t="n">
        <x:f>J157</x:f>
        <x:v>1</x:v>
      </x:c>
      <x:c r="O157" s="22" t="str">
        <x:v>否</x:v>
      </x:c>
      <x:c r="P157" s="22" t="str">
        <x:v>NA</x:v>
      </x:c>
      <x:c r="Q157" s="22" t="str">
        <x:v>NA</x:v>
      </x:c>
      <x:c r="R157" s="22" t="str">
        <x:v>NA</x:v>
      </x:c>
      <x:c r="S157" s="23" t="str">
        <x:f>IF(O157="是",MAX(0,MIN(1,(P157-'总览与权重'!$B$21)/('总览与权重'!$C$21-'总览与权重'!$B$21))),"NA")</x:f>
        <x:v>NA</x:v>
      </x:c>
      <x:c r="T157" s="23" t="str">
        <x:f>IF(O157="是",MAX(0,MIN(1,(Q157-'总览与权重'!$B$22)/('总览与权重'!$C$22-'总览与权重'!$B$22))),"NA")</x:f>
        <x:v>NA</x:v>
      </x:c>
      <x:c r="U157" s="23" t="str">
        <x:f>IF(O157="是",MAX(0,MIN(1,(R157-'总览与权重'!$B$23)/('总览与权重'!$C$23-'总览与权重'!$B$23))),"NA")</x:f>
        <x:v>NA</x:v>
      </x:c>
      <x:c r="V157" s="23" t="str">
        <x:f>IF(O157="是",J157,"NA")</x:f>
        <x:v>NA</x:v>
      </x:c>
      <x:c r="W157" s="22" t="str">
        <x:v>无完整领域最早before配对</x:v>
      </x:c>
      <x:c r="X157" s="22" t="str">
        <x:v>NA</x:v>
      </x:c>
      <x:c r="Y157" s="22" t="str">
        <x:v>NA</x:v>
      </x:c>
      <x:c r="Z157" s="22" t="n">
        <x:v>-0.25</x:v>
      </x:c>
      <x:c r="AA157" s="22" t="n">
        <x:v>-0.119047619048</x:v>
      </x:c>
      <x:c r="AB157" s="22" t="str">
        <x:v>代码数据与工具实现；正向评价（不计能力分）</x:v>
      </x:c>
      <x:c r="AC157" s="22" t="str">
        <x:v>NA</x:v>
      </x:c>
      <x:c r="AD157" s="22" t="str">
        <x:v>NA</x:v>
      </x:c>
      <x:c r="AE157" s="22" t="str">
        <x:v>["S0956"]</x:v>
      </x:c>
      <x:c r="AF157" s="22" t="str">
        <x:v>["2026春:问答记录导出0919_已更新.xlsx:问答记录:1583"]</x:v>
      </x:c>
      <x:c r="AG157" s="22" t="str">
        <x:v>evidence/student_evidence.jsonl；student_key=2026春:268139</x:v>
      </x:c>
      <x:c r="AH157" s="27" t="str"/>
    </x:row>
    <x:row r="158" ht="23" customHeight="1">
      <x:c r="A158" s="21" t="str">
        <x:v>2026春:268140</x:v>
      </x:c>
      <x:c r="B158" s="22" t="str">
        <x:v>s3</x:v>
      </x:c>
      <x:c r="C158" s="24" t="n">
        <x:v>1</x:v>
      </x:c>
      <x:c r="D158" s="24" t="n">
        <x:v>1</x:v>
      </x:c>
      <x:c r="E158" s="22" t="n">
        <x:v>0.5027078986587183</x:v>
      </x:c>
      <x:c r="F158" s="22" t="n">
        <x:v>0.5027078986587183</x:v>
      </x:c>
      <x:c r="G158" s="22" t="n">
        <x:v>0.5027078986587183</x:v>
      </x:c>
      <x:c r="H158" s="24" t="n">
        <x:v>3</x:v>
      </x:c>
      <x:c r="I158" s="24" t="n">
        <x:v>4</x:v>
      </x:c>
      <x:c r="J158" s="23" t="n">
        <x:f>IF(I158&gt;0,H158/I158,"NA")</x:f>
        <x:v>0.75</x:v>
      </x:c>
      <x:c r="K158" s="23" t="n">
        <x:f>MAX(0,MIN(1,(E158-'总览与权重'!$B$18)/('总览与权重'!$C$18-'总览与权重'!$B$18)))</x:f>
        <x:v>0.04189232488822653</x:v>
      </x:c>
      <x:c r="L158" s="23" t="n">
        <x:f>MAX(0,MIN(1,(F158-'总览与权重'!$B$19)/('总览与权重'!$C$19-'总览与权重'!$B$19)))</x:f>
        <x:v>0.5027078986587183</x:v>
      </x:c>
      <x:c r="M158" s="23" t="n">
        <x:f>MAX(0,MIN(1,(G158-'总览与权重'!$B$20)/('总览与权重'!$C$20-'总览与权重'!$B$20)))</x:f>
        <x:v>0.5027078986587183</x:v>
      </x:c>
      <x:c r="N158" s="23" t="n">
        <x:f>J158</x:f>
        <x:v>0.75</x:v>
      </x:c>
      <x:c r="O158" s="22" t="str">
        <x:v>是</x:v>
      </x:c>
      <x:c r="P158" s="22" t="n">
        <x:v>0.36587561300636806</x:v>
      </x:c>
      <x:c r="Q158" s="22" t="n">
        <x:v>0.36587561300636806</x:v>
      </x:c>
      <x:c r="R158" s="22" t="n">
        <x:v>0.36587561300636806</x:v>
      </x:c>
      <x:c r="S158" s="23" t="n">
        <x:f>IF(O158="是",MAX(0,MIN(1,(P158-'总览与权重'!$B$21)/('总览与权重'!$C$21-'总览与权重'!$B$21))),"NA")</x:f>
        <x:v>0.5152448172085987</x:v>
      </x:c>
      <x:c r="T158" s="23" t="n">
        <x:f>IF(O158="是",MAX(0,MIN(1,(Q158-'总览与权重'!$B$22)/('总览与权重'!$C$22-'总览与权重'!$B$22))),"NA")</x:f>
        <x:v>0.682937806503184</x:v>
      </x:c>
      <x:c r="U158" s="23" t="n">
        <x:f>IF(O158="是",MAX(0,MIN(1,(R158-'总览与权重'!$B$23)/('总览与权重'!$C$23-'总览与权重'!$B$23))),"NA")</x:f>
        <x:v>0.682937806503184</x:v>
      </x:c>
      <x:c r="V158" s="23" t="n">
        <x:f>IF(O158="是",J158,"NA")</x:f>
        <x:v>0.75</x:v>
      </x:c>
      <x:c r="W158" s="22" t="str">
        <x:v>完整</x:v>
      </x:c>
      <x:c r="X158" s="22" t="str">
        <x:v>NA</x:v>
      </x:c>
      <x:c r="Y158" s="22" t="str">
        <x:v>NA</x:v>
      </x:c>
      <x:c r="Z158" s="22" t="n">
        <x:v>0.05</x:v>
      </x:c>
      <x:c r="AA158" s="22" t="n">
        <x:v>0.547619047619</x:v>
      </x:c>
      <x:c r="AB158" s="22" t="str">
        <x:v>知识点理解与概念探究；正向评价（不计能力分）</x:v>
      </x:c>
      <x:c r="AC158" s="22" t="str">
        <x:v>NA</x:v>
      </x:c>
      <x:c r="AD158" s="22" t="str">
        <x:v>NA</x:v>
      </x:c>
      <x:c r="AE158" s="22" t="str">
        <x:v>["S0964"]</x:v>
      </x:c>
      <x:c r="AF158" s="22" t="str">
        <x:v>["2026春:问答记录导出0919_已更新.xlsx:问答记录:1591"]</x:v>
      </x:c>
      <x:c r="AG158" s="22" t="str">
        <x:v>evidence/student_evidence.jsonl；student_key=2026春:268140</x:v>
      </x:c>
      <x:c r="AH158" s="27" t="str"/>
    </x:row>
    <x:row r="159" ht="23" customHeight="1">
      <x:c r="A159" s="21" t="str">
        <x:v>2026春:268144</x:v>
      </x:c>
      <x:c r="B159" s="22" t="str">
        <x:v>s3</x:v>
      </x:c>
      <x:c r="C159" s="24" t="n">
        <x:v>1</x:v>
      </x:c>
      <x:c r="D159" s="24" t="n">
        <x:v>1</x:v>
      </x:c>
      <x:c r="E159" s="22" t="n">
        <x:v>0.3582214187327823</x:v>
      </x:c>
      <x:c r="F159" s="22" t="n">
        <x:v>0.3582214187327823</x:v>
      </x:c>
      <x:c r="G159" s="22" t="n">
        <x:v>0.3582214187327823</x:v>
      </x:c>
      <x:c r="H159" s="24" t="n">
        <x:v>1</x:v>
      </x:c>
      <x:c r="I159" s="24" t="n">
        <x:v>3</x:v>
      </x:c>
      <x:c r="J159" s="23" t="n">
        <x:f>IF(I159&gt;0,H159/I159,"NA")</x:f>
        <x:v>0.3333333333333333</x:v>
      </x:c>
      <x:c r="K159" s="23" t="n">
        <x:f>MAX(0,MIN(1,(E159-'总览与权重'!$B$18)/('总览与权重'!$C$18-'总览与权重'!$B$18)))</x:f>
        <x:v>0.029851784894398523</x:v>
      </x:c>
      <x:c r="L159" s="23" t="n">
        <x:f>MAX(0,MIN(1,(F159-'总览与权重'!$B$19)/('总览与权重'!$C$19-'总览与权重'!$B$19)))</x:f>
        <x:v>0.3582214187327823</x:v>
      </x:c>
      <x:c r="M159" s="23" t="n">
        <x:f>MAX(0,MIN(1,(G159-'总览与权重'!$B$20)/('总览与权重'!$C$20-'总览与权重'!$B$20)))</x:f>
        <x:v>0.3582214187327823</x:v>
      </x:c>
      <x:c r="N159" s="23" t="n">
        <x:f>J159</x:f>
        <x:v>0.3333333333333333</x:v>
      </x:c>
      <x:c r="O159" s="22" t="str">
        <x:v>是</x:v>
      </x:c>
      <x:c r="P159" s="22" t="n">
        <x:v>0.22138913308043204</x:v>
      </x:c>
      <x:c r="Q159" s="22" t="n">
        <x:v>0.22138913308043204</x:v>
      </x:c>
      <x:c r="R159" s="22" t="n">
        <x:v>0.22138913308043204</x:v>
      </x:c>
      <x:c r="S159" s="23" t="n">
        <x:f>IF(O159="是",MAX(0,MIN(1,(P159-'总览与权重'!$B$21)/('总览与权重'!$C$21-'总览与权重'!$B$21))),"NA")</x:f>
        <x:v>0.5092245472116846</x:v>
      </x:c>
      <x:c r="T159" s="23" t="n">
        <x:f>IF(O159="是",MAX(0,MIN(1,(Q159-'总览与权重'!$B$22)/('总览与权重'!$C$22-'总览与权重'!$B$22))),"NA")</x:f>
        <x:v>0.610694566540216</x:v>
      </x:c>
      <x:c r="U159" s="23" t="n">
        <x:f>IF(O159="是",MAX(0,MIN(1,(R159-'总览与权重'!$B$23)/('总览与权重'!$C$23-'总览与权重'!$B$23))),"NA")</x:f>
        <x:v>0.610694566540216</x:v>
      </x:c>
      <x:c r="V159" s="23" t="n">
        <x:f>IF(O159="是",J159,"NA")</x:f>
        <x:v>0.3333333333333333</x:v>
      </x:c>
      <x:c r="W159" s="22" t="str">
        <x:v>完整</x:v>
      </x:c>
      <x:c r="X159" s="22" t="str">
        <x:v>NA</x:v>
      </x:c>
      <x:c r="Y159" s="22" t="str">
        <x:v>NA</x:v>
      </x:c>
      <x:c r="Z159" s="22" t="n">
        <x:v>-0.25</x:v>
      </x:c>
      <x:c r="AA159" s="22" t="n">
        <x:v>-0.119047619048</x:v>
      </x:c>
      <x:c r="AB159" s="22" t="str">
        <x:v>知识点理解与概念探究；正向评价（不计能力分）</x:v>
      </x:c>
      <x:c r="AC159" s="22" t="str">
        <x:v>NA</x:v>
      </x:c>
      <x:c r="AD159" s="22" t="str">
        <x:v>NA</x:v>
      </x:c>
      <x:c r="AE159" s="22" t="str">
        <x:v>["S0983"]</x:v>
      </x:c>
      <x:c r="AF159" s="22" t="str">
        <x:v>["2026春:问答记录导出0919_已更新.xlsx:问答记录:1610"]</x:v>
      </x:c>
      <x:c r="AG159" s="22" t="str">
        <x:v>evidence/student_evidence.jsonl；student_key=2026春:268144</x:v>
      </x:c>
      <x:c r="AH159" s="27" t="str"/>
    </x:row>
    <x:row r="160" ht="48" customHeight="1">
      <x:c r="A160" s="21" t="str">
        <x:v>2026春:268151</x:v>
      </x:c>
      <x:c r="B160" s="22" t="str">
        <x:v>s3</x:v>
      </x:c>
      <x:c r="C160" s="24" t="n">
        <x:v>1</x:v>
      </x:c>
      <x:c r="D160" s="24" t="n">
        <x:v>1</x:v>
      </x:c>
      <x:c r="E160" s="22" t="n">
        <x:v>0</x:v>
      </x:c>
      <x:c r="F160" s="22" t="n">
        <x:v>0</x:v>
      </x:c>
      <x:c r="G160" s="22" t="n">
        <x:v>0</x:v>
      </x:c>
      <x:c r="H160" s="24" t="n">
        <x:v>2</x:v>
      </x:c>
      <x:c r="I160" s="24" t="n">
        <x:v>3</x:v>
      </x:c>
      <x:c r="J160" s="23" t="n">
        <x:f>IF(I160&gt;0,H160/I160,"NA")</x:f>
        <x:v>0.6666666666666666</x:v>
      </x:c>
      <x:c r="K160" s="23" t="n">
        <x:f>MAX(0,MIN(1,(E160-'总览与权重'!$B$18)/('总览与权重'!$C$18-'总览与权重'!$B$18)))</x:f>
        <x:v>0</x:v>
      </x:c>
      <x:c r="L160" s="23" t="n">
        <x:f>MAX(0,MIN(1,(F160-'总览与权重'!$B$19)/('总览与权重'!$C$19-'总览与权重'!$B$19)))</x:f>
        <x:v>0</x:v>
      </x:c>
      <x:c r="M160" s="23" t="n">
        <x:f>MAX(0,MIN(1,(G160-'总览与权重'!$B$20)/('总览与权重'!$C$20-'总览与权重'!$B$20)))</x:f>
        <x:v>0</x:v>
      </x:c>
      <x:c r="N160" s="23" t="n">
        <x:f>J160</x:f>
        <x:v>0.6666666666666666</x:v>
      </x:c>
      <x:c r="O160" s="22" t="str">
        <x:v>否</x:v>
      </x:c>
      <x:c r="P160" s="22" t="str">
        <x:v>NA</x:v>
      </x:c>
      <x:c r="Q160" s="22" t="str">
        <x:v>NA</x:v>
      </x:c>
      <x:c r="R160" s="22" t="str">
        <x:v>NA</x:v>
      </x:c>
      <x:c r="S160" s="23" t="str">
        <x:f>IF(O160="是",MAX(0,MIN(1,(P160-'总览与权重'!$B$21)/('总览与权重'!$C$21-'总览与权重'!$B$21))),"NA")</x:f>
        <x:v>NA</x:v>
      </x:c>
      <x:c r="T160" s="23" t="str">
        <x:f>IF(O160="是",MAX(0,MIN(1,(Q160-'总览与权重'!$B$22)/('总览与权重'!$C$22-'总览与权重'!$B$22))),"NA")</x:f>
        <x:v>NA</x:v>
      </x:c>
      <x:c r="U160" s="23" t="str">
        <x:f>IF(O160="是",MAX(0,MIN(1,(R160-'总览与权重'!$B$23)/('总览与权重'!$C$23-'总览与权重'!$B$23))),"NA")</x:f>
        <x:v>NA</x:v>
      </x:c>
      <x:c r="V160" s="23" t="str">
        <x:f>IF(O160="是",J160,"NA")</x:f>
        <x:v>NA</x:v>
      </x:c>
      <x:c r="W160" s="22" t="str">
        <x:v>无完整领域最早before配对</x:v>
      </x:c>
      <x:c r="X160" s="22" t="str">
        <x:v>NA</x:v>
      </x:c>
      <x:c r="Y160" s="22" t="str">
        <x:v>NA</x:v>
      </x:c>
      <x:c r="Z160" s="22" t="n">
        <x:v>0</x:v>
      </x:c>
      <x:c r="AA160" s="22" t="n">
        <x:v>0</x:v>
      </x:c>
      <x:c r="AB160" s="22" t="str">
        <x:v>知识点理解与概念探究；正向评价（不计能力分）</x:v>
      </x:c>
      <x:c r="AC160" s="22" t="str">
        <x:v>NA</x:v>
      </x:c>
      <x:c r="AD160" s="22" t="str">
        <x:v>NA</x:v>
      </x:c>
      <x:c r="AE160" s="22" t="str">
        <x:v>["S1004"]</x:v>
      </x:c>
      <x:c r="AF160" s="22" t="str">
        <x:v>["2026春:问答记录导出0919_已更新.xlsx:问答记录:1631"]</x:v>
      </x:c>
      <x:c r="AG160" s="22" t="str">
        <x:v>evidence/student_evidence.jsonl；student_key=2026春:268151</x:v>
      </x:c>
      <x:c r="AH160" s="27" t="str">
        <x:v>同一锚点起止1条：未形成独立重复测量。</x:v>
      </x:c>
    </x:row>
    <x:row r="161" ht="23" customHeight="1">
      <x:c r="A161" s="21" t="str">
        <x:v>2026春:268154</x:v>
      </x:c>
      <x:c r="B161" s="22" t="str">
        <x:v>s3</x:v>
      </x:c>
      <x:c r="C161" s="24" t="n">
        <x:v>1</x:v>
      </x:c>
      <x:c r="D161" s="24" t="n">
        <x:v>1</x:v>
      </x:c>
      <x:c r="E161" s="22" t="n">
        <x:v>0.3627356475917338</x:v>
      </x:c>
      <x:c r="F161" s="22" t="n">
        <x:v>0.3627356475917338</x:v>
      </x:c>
      <x:c r="G161" s="22" t="n">
        <x:v>0.3627356475917338</x:v>
      </x:c>
      <x:c r="H161" s="24" t="n">
        <x:v>2</x:v>
      </x:c>
      <x:c r="I161" s="24" t="n">
        <x:v>5</x:v>
      </x:c>
      <x:c r="J161" s="23" t="n">
        <x:f>IF(I161&gt;0,H161/I161,"NA")</x:f>
        <x:v>0.4</x:v>
      </x:c>
      <x:c r="K161" s="23" t="n">
        <x:f>MAX(0,MIN(1,(E161-'总览与权重'!$B$18)/('总览与权重'!$C$18-'总览与权重'!$B$18)))</x:f>
        <x:v>0.030227970632644485</x:v>
      </x:c>
      <x:c r="L161" s="23" t="n">
        <x:f>MAX(0,MIN(1,(F161-'总览与权重'!$B$19)/('总览与权重'!$C$19-'总览与权重'!$B$19)))</x:f>
        <x:v>0.3627356475917338</x:v>
      </x:c>
      <x:c r="M161" s="23" t="n">
        <x:f>MAX(0,MIN(1,(G161-'总览与权重'!$B$20)/('总览与权重'!$C$20-'总览与权重'!$B$20)))</x:f>
        <x:v>0.3627356475917338</x:v>
      </x:c>
      <x:c r="N161" s="23" t="n">
        <x:f>J161</x:f>
        <x:v>0.4</x:v>
      </x:c>
      <x:c r="O161" s="22" t="str">
        <x:v>是</x:v>
      </x:c>
      <x:c r="P161" s="22" t="n">
        <x:v>0.22590336193938357</x:v>
      </x:c>
      <x:c r="Q161" s="22" t="n">
        <x:v>0.22590336193938357</x:v>
      </x:c>
      <x:c r="R161" s="22" t="n">
        <x:v>0.22590336193938357</x:v>
      </x:c>
      <x:c r="S161" s="23" t="n">
        <x:f>IF(O161="是",MAX(0,MIN(1,(P161-'总览与权重'!$B$21)/('总览与权重'!$C$21-'总览与权重'!$B$21))),"NA")</x:f>
        <x:v>0.5094126400808077</x:v>
      </x:c>
      <x:c r="T161" s="23" t="n">
        <x:f>IF(O161="是",MAX(0,MIN(1,(Q161-'总览与权重'!$B$22)/('总览与权重'!$C$22-'总览与权重'!$B$22))),"NA")</x:f>
        <x:v>0.6129516809696918</x:v>
      </x:c>
      <x:c r="U161" s="23" t="n">
        <x:f>IF(O161="是",MAX(0,MIN(1,(R161-'总览与权重'!$B$23)/('总览与权重'!$C$23-'总览与权重'!$B$23))),"NA")</x:f>
        <x:v>0.6129516809696918</x:v>
      </x:c>
      <x:c r="V161" s="23" t="n">
        <x:f>IF(O161="是",J161,"NA")</x:f>
        <x:v>0.4</x:v>
      </x:c>
      <x:c r="W161" s="22" t="str">
        <x:v>完整</x:v>
      </x:c>
      <x:c r="X161" s="22" t="str">
        <x:v>NA</x:v>
      </x:c>
      <x:c r="Y161" s="22" t="str">
        <x:v>NA</x:v>
      </x:c>
      <x:c r="Z161" s="22" t="n">
        <x:v>-0.25</x:v>
      </x:c>
      <x:c r="AA161" s="22" t="n">
        <x:v>-0.119047619048</x:v>
      </x:c>
      <x:c r="AB161" s="22" t="str">
        <x:v>课程答疑复习与资源使用；正向评价（不计能力分）</x:v>
      </x:c>
      <x:c r="AC161" s="22" t="str">
        <x:v>NA</x:v>
      </x:c>
      <x:c r="AD161" s="22" t="str">
        <x:v>NA</x:v>
      </x:c>
      <x:c r="AE161" s="22" t="str">
        <x:v>["S1009"]</x:v>
      </x:c>
      <x:c r="AF161" s="22" t="str">
        <x:v>["2026春:问答记录导出0919_已更新.xlsx:问答记录:1636"]</x:v>
      </x:c>
      <x:c r="AG161" s="22" t="str">
        <x:v>evidence/student_evidence.jsonl；student_key=2026春:268154</x:v>
      </x:c>
      <x:c r="AH161" s="27" t="str"/>
    </x:row>
    <x:row r="162" ht="23" customHeight="1">
      <x:c r="A162" s="21" t="str">
        <x:v>2026春:268162</x:v>
      </x:c>
      <x:c r="B162" s="22" t="str">
        <x:v>s3</x:v>
      </x:c>
      <x:c r="C162" s="24" t="n">
        <x:v>1</x:v>
      </x:c>
      <x:c r="D162" s="24" t="n">
        <x:v>1</x:v>
      </x:c>
      <x:c r="E162" s="22" t="n">
        <x:v>0.3627356475917338</x:v>
      </x:c>
      <x:c r="F162" s="22" t="n">
        <x:v>0.3627356475917338</x:v>
      </x:c>
      <x:c r="G162" s="22" t="n">
        <x:v>0.3627356475917338</x:v>
      </x:c>
      <x:c r="H162" s="24" t="n">
        <x:v>1</x:v>
      </x:c>
      <x:c r="I162" s="24" t="n">
        <x:v>3</x:v>
      </x:c>
      <x:c r="J162" s="23" t="n">
        <x:f>IF(I162&gt;0,H162/I162,"NA")</x:f>
        <x:v>0.3333333333333333</x:v>
      </x:c>
      <x:c r="K162" s="23" t="n">
        <x:f>MAX(0,MIN(1,(E162-'总览与权重'!$B$18)/('总览与权重'!$C$18-'总览与权重'!$B$18)))</x:f>
        <x:v>0.030227970632644485</x:v>
      </x:c>
      <x:c r="L162" s="23" t="n">
        <x:f>MAX(0,MIN(1,(F162-'总览与权重'!$B$19)/('总览与权重'!$C$19-'总览与权重'!$B$19)))</x:f>
        <x:v>0.3627356475917338</x:v>
      </x:c>
      <x:c r="M162" s="23" t="n">
        <x:f>MAX(0,MIN(1,(G162-'总览与权重'!$B$20)/('总览与权重'!$C$20-'总览与权重'!$B$20)))</x:f>
        <x:v>0.3627356475917338</x:v>
      </x:c>
      <x:c r="N162" s="23" t="n">
        <x:f>J162</x:f>
        <x:v>0.3333333333333333</x:v>
      </x:c>
      <x:c r="O162" s="22" t="str">
        <x:v>是</x:v>
      </x:c>
      <x:c r="P162" s="22" t="n">
        <x:v>0.22590336193938357</x:v>
      </x:c>
      <x:c r="Q162" s="22" t="n">
        <x:v>0.22590336193938357</x:v>
      </x:c>
      <x:c r="R162" s="22" t="n">
        <x:v>0.22590336193938357</x:v>
      </x:c>
      <x:c r="S162" s="23" t="n">
        <x:f>IF(O162="是",MAX(0,MIN(1,(P162-'总览与权重'!$B$21)/('总览与权重'!$C$21-'总览与权重'!$B$21))),"NA")</x:f>
        <x:v>0.5094126400808077</x:v>
      </x:c>
      <x:c r="T162" s="23" t="n">
        <x:f>IF(O162="是",MAX(0,MIN(1,(Q162-'总览与权重'!$B$22)/('总览与权重'!$C$22-'总览与权重'!$B$22))),"NA")</x:f>
        <x:v>0.6129516809696918</x:v>
      </x:c>
      <x:c r="U162" s="23" t="n">
        <x:f>IF(O162="是",MAX(0,MIN(1,(R162-'总览与权重'!$B$23)/('总览与权重'!$C$23-'总览与权重'!$B$23))),"NA")</x:f>
        <x:v>0.6129516809696918</x:v>
      </x:c>
      <x:c r="V162" s="23" t="n">
        <x:f>IF(O162="是",J162,"NA")</x:f>
        <x:v>0.3333333333333333</x:v>
      </x:c>
      <x:c r="W162" s="22" t="str">
        <x:v>完整</x:v>
      </x:c>
      <x:c r="X162" s="22" t="str">
        <x:v>NA</x:v>
      </x:c>
      <x:c r="Y162" s="22" t="str">
        <x:v>NA</x:v>
      </x:c>
      <x:c r="Z162" s="22" t="n">
        <x:v>-0.25</x:v>
      </x:c>
      <x:c r="AA162" s="22" t="n">
        <x:v>-0.119047619048</x:v>
      </x:c>
      <x:c r="AB162" s="22" t="str">
        <x:v>知识点理解与概念探究；正向评价（不计能力分）</x:v>
      </x:c>
      <x:c r="AC162" s="22" t="str">
        <x:v>NA</x:v>
      </x:c>
      <x:c r="AD162" s="22" t="str">
        <x:v>NA</x:v>
      </x:c>
      <x:c r="AE162" s="22" t="str">
        <x:v>["S1027"]</x:v>
      </x:c>
      <x:c r="AF162" s="22" t="str">
        <x:v>["2026春:问答记录导出0919_已更新.xlsx:问答记录:1654"]</x:v>
      </x:c>
      <x:c r="AG162" s="22" t="str">
        <x:v>evidence/student_evidence.jsonl；student_key=2026春:268162</x:v>
      </x:c>
      <x:c r="AH162" s="27" t="str"/>
    </x:row>
    <x:row r="163" ht="23" customHeight="1">
      <x:c r="A163" s="21" t="str">
        <x:v>2026春:268174</x:v>
      </x:c>
      <x:c r="B163" s="22" t="str">
        <x:v>s3</x:v>
      </x:c>
      <x:c r="C163" s="24" t="n">
        <x:v>1</x:v>
      </x:c>
      <x:c r="D163" s="24" t="n">
        <x:v>1</x:v>
      </x:c>
      <x:c r="E163" s="22" t="n">
        <x:v>0.3582214187327823</x:v>
      </x:c>
      <x:c r="F163" s="22" t="n">
        <x:v>0.3582214187327823</x:v>
      </x:c>
      <x:c r="G163" s="22" t="n">
        <x:v>0.3582214187327823</x:v>
      </x:c>
      <x:c r="H163" s="24" t="n">
        <x:v>2</x:v>
      </x:c>
      <x:c r="I163" s="24" t="n">
        <x:v>2</x:v>
      </x:c>
      <x:c r="J163" s="23" t="n">
        <x:f>IF(I163&gt;0,H163/I163,"NA")</x:f>
        <x:v>1</x:v>
      </x:c>
      <x:c r="K163" s="23" t="n">
        <x:f>MAX(0,MIN(1,(E163-'总览与权重'!$B$18)/('总览与权重'!$C$18-'总览与权重'!$B$18)))</x:f>
        <x:v>0.029851784894398523</x:v>
      </x:c>
      <x:c r="L163" s="23" t="n">
        <x:f>MAX(0,MIN(1,(F163-'总览与权重'!$B$19)/('总览与权重'!$C$19-'总览与权重'!$B$19)))</x:f>
        <x:v>0.3582214187327823</x:v>
      </x:c>
      <x:c r="M163" s="23" t="n">
        <x:f>MAX(0,MIN(1,(G163-'总览与权重'!$B$20)/('总览与权重'!$C$20-'总览与权重'!$B$20)))</x:f>
        <x:v>0.3582214187327823</x:v>
      </x:c>
      <x:c r="N163" s="23" t="n">
        <x:f>J163</x:f>
        <x:v>1</x:v>
      </x:c>
      <x:c r="O163" s="22" t="str">
        <x:v>是</x:v>
      </x:c>
      <x:c r="P163" s="22" t="n">
        <x:v>0.22138913308043204</x:v>
      </x:c>
      <x:c r="Q163" s="22" t="n">
        <x:v>0.22138913308043204</x:v>
      </x:c>
      <x:c r="R163" s="22" t="n">
        <x:v>0.22138913308043204</x:v>
      </x:c>
      <x:c r="S163" s="23" t="n">
        <x:f>IF(O163="是",MAX(0,MIN(1,(P163-'总览与权重'!$B$21)/('总览与权重'!$C$21-'总览与权重'!$B$21))),"NA")</x:f>
        <x:v>0.5092245472116846</x:v>
      </x:c>
      <x:c r="T163" s="23" t="n">
        <x:f>IF(O163="是",MAX(0,MIN(1,(Q163-'总览与权重'!$B$22)/('总览与权重'!$C$22-'总览与权重'!$B$22))),"NA")</x:f>
        <x:v>0.610694566540216</x:v>
      </x:c>
      <x:c r="U163" s="23" t="n">
        <x:f>IF(O163="是",MAX(0,MIN(1,(R163-'总览与权重'!$B$23)/('总览与权重'!$C$23-'总览与权重'!$B$23))),"NA")</x:f>
        <x:v>0.610694566540216</x:v>
      </x:c>
      <x:c r="V163" s="23" t="n">
        <x:f>IF(O163="是",J163,"NA")</x:f>
        <x:v>1</x:v>
      </x:c>
      <x:c r="W163" s="22" t="str">
        <x:v>完整</x:v>
      </x:c>
      <x:c r="X163" s="22" t="str">
        <x:v>NA</x:v>
      </x:c>
      <x:c r="Y163" s="22" t="str">
        <x:v>NA</x:v>
      </x:c>
      <x:c r="Z163" s="22" t="n">
        <x:v>-0.25</x:v>
      </x:c>
      <x:c r="AA163" s="22" t="n">
        <x:v>-0.119047619048</x:v>
      </x:c>
      <x:c r="AB163" s="22" t="str">
        <x:v>知识点理解与概念探究；正向评价（不计能力分）</x:v>
      </x:c>
      <x:c r="AC163" s="22" t="str">
        <x:v>NA</x:v>
      </x:c>
      <x:c r="AD163" s="22" t="str">
        <x:v>NA</x:v>
      </x:c>
      <x:c r="AE163" s="22" t="str">
        <x:v>["S1044"]</x:v>
      </x:c>
      <x:c r="AF163" s="22" t="str">
        <x:v>["2026春:问答记录导出0919_已更新.xlsx:问答记录:1671"]</x:v>
      </x:c>
      <x:c r="AG163" s="22" t="str">
        <x:v>evidence/student_evidence.jsonl；student_key=2026春:268174</x:v>
      </x:c>
      <x:c r="AH163" s="27" t="str"/>
    </x:row>
    <x:row r="164" ht="23" customHeight="1">
      <x:c r="A164" s="21" t="str">
        <x:v>2026春:268176</x:v>
      </x:c>
      <x:c r="B164" s="22" t="str">
        <x:v>s3</x:v>
      </x:c>
      <x:c r="C164" s="24" t="n">
        <x:v>1</x:v>
      </x:c>
      <x:c r="D164" s="24" t="n">
        <x:v>1</x:v>
      </x:c>
      <x:c r="E164" s="22" t="n">
        <x:v>0</x:v>
      </x:c>
      <x:c r="F164" s="22" t="n">
        <x:v>0</x:v>
      </x:c>
      <x:c r="G164" s="22" t="n">
        <x:v>0</x:v>
      </x:c>
      <x:c r="H164" s="24" t="n">
        <x:v>1</x:v>
      </x:c>
      <x:c r="I164" s="24" t="n">
        <x:v>2</x:v>
      </x:c>
      <x:c r="J164" s="23" t="n">
        <x:f>IF(I164&gt;0,H164/I164,"NA")</x:f>
        <x:v>0.5</x:v>
      </x:c>
      <x:c r="K164" s="23" t="n">
        <x:f>MAX(0,MIN(1,(E164-'总览与权重'!$B$18)/('总览与权重'!$C$18-'总览与权重'!$B$18)))</x:f>
        <x:v>0</x:v>
      </x:c>
      <x:c r="L164" s="23" t="n">
        <x:f>MAX(0,MIN(1,(F164-'总览与权重'!$B$19)/('总览与权重'!$C$19-'总览与权重'!$B$19)))</x:f>
        <x:v>0</x:v>
      </x:c>
      <x:c r="M164" s="23" t="n">
        <x:f>MAX(0,MIN(1,(G164-'总览与权重'!$B$20)/('总览与权重'!$C$20-'总览与权重'!$B$20)))</x:f>
        <x:v>0</x:v>
      </x:c>
      <x:c r="N164" s="23" t="n">
        <x:f>J164</x:f>
        <x:v>0.5</x:v>
      </x:c>
      <x:c r="O164" s="22" t="str">
        <x:v>是</x:v>
      </x:c>
      <x:c r="P164" s="22" t="n">
        <x:v>-0.13683228565235026</x:v>
      </x:c>
      <x:c r="Q164" s="22" t="n">
        <x:v>-0.13683228565235026</x:v>
      </x:c>
      <x:c r="R164" s="22" t="n">
        <x:v>-0.13683228565235026</x:v>
      </x:c>
      <x:c r="S164" s="23" t="n">
        <x:f>IF(O164="是",MAX(0,MIN(1,(P164-'总览与权重'!$B$21)/('总览与权重'!$C$21-'总览与权重'!$B$21))),"NA")</x:f>
        <x:v>0.4942986547644854</x:v>
      </x:c>
      <x:c r="T164" s="23" t="n">
        <x:f>IF(O164="是",MAX(0,MIN(1,(Q164-'总览与权重'!$B$22)/('总览与权重'!$C$22-'总览与权重'!$B$22))),"NA")</x:f>
        <x:v>0.43158385717382486</x:v>
      </x:c>
      <x:c r="U164" s="23" t="n">
        <x:f>IF(O164="是",MAX(0,MIN(1,(R164-'总览与权重'!$B$23)/('总览与权重'!$C$23-'总览与权重'!$B$23))),"NA")</x:f>
        <x:v>0.43158385717382486</x:v>
      </x:c>
      <x:c r="V164" s="23" t="n">
        <x:f>IF(O164="是",J164,"NA")</x:f>
        <x:v>0.5</x:v>
      </x:c>
      <x:c r="W164" s="22" t="str">
        <x:v>完整</x:v>
      </x:c>
      <x:c r="X164" s="22" t="str">
        <x:v>NA</x:v>
      </x:c>
      <x:c r="Y164" s="22" t="str">
        <x:v>NA</x:v>
      </x:c>
      <x:c r="Z164" s="22" t="n">
        <x:v>0</x:v>
      </x:c>
      <x:c r="AA164" s="22" t="n">
        <x:v>0</x:v>
      </x:c>
      <x:c r="AB164" s="22" t="str">
        <x:v>知识点理解与概念探究；无明确评价（不计能力分）</x:v>
      </x:c>
      <x:c r="AC164" s="22" t="str">
        <x:v>NA</x:v>
      </x:c>
      <x:c r="AD164" s="22" t="str">
        <x:v>NA</x:v>
      </x:c>
      <x:c r="AE164" s="22" t="str">
        <x:v>["S1047"]</x:v>
      </x:c>
      <x:c r="AF164" s="22" t="str">
        <x:v>["2026春:问答记录导出0919_已更新.xlsx:问答记录:1674"]</x:v>
      </x:c>
      <x:c r="AG164" s="22" t="str">
        <x:v>evidence/student_evidence.jsonl；student_key=2026春:268176</x:v>
      </x:c>
      <x:c r="AH164" s="27" t="str"/>
    </x:row>
    <x:row r="165" ht="23" customHeight="1">
      <x:c r="A165" s="21" t="str">
        <x:v>2026春:268183</x:v>
      </x:c>
      <x:c r="B165" s="22" t="str">
        <x:v>s3</x:v>
      </x:c>
      <x:c r="C165" s="24" t="n">
        <x:v>1</x:v>
      </x:c>
      <x:c r="D165" s="24" t="n">
        <x:v>1</x:v>
      </x:c>
      <x:c r="E165" s="22" t="n">
        <x:v>0.3818843761667175</x:v>
      </x:c>
      <x:c r="F165" s="22" t="n">
        <x:v>0.3818843761667175</x:v>
      </x:c>
      <x:c r="G165" s="22" t="n">
        <x:v>0.3818843761667175</x:v>
      </x:c>
      <x:c r="H165" s="24" t="n">
        <x:v>3</x:v>
      </x:c>
      <x:c r="I165" s="24" t="n">
        <x:v>3</x:v>
      </x:c>
      <x:c r="J165" s="23" t="n">
        <x:f>IF(I165&gt;0,H165/I165,"NA")</x:f>
        <x:v>1</x:v>
      </x:c>
      <x:c r="K165" s="23" t="n">
        <x:f>MAX(0,MIN(1,(E165-'总览与权重'!$B$18)/('总览与权重'!$C$18-'总览与权重'!$B$18)))</x:f>
        <x:v>0.03182369801389313</x:v>
      </x:c>
      <x:c r="L165" s="23" t="n">
        <x:f>MAX(0,MIN(1,(F165-'总览与权重'!$B$19)/('总览与权重'!$C$19-'总览与权重'!$B$19)))</x:f>
        <x:v>0.3818843761667175</x:v>
      </x:c>
      <x:c r="M165" s="23" t="n">
        <x:f>MAX(0,MIN(1,(G165-'总览与权重'!$B$20)/('总览与权重'!$C$20-'总览与权重'!$B$20)))</x:f>
        <x:v>0.3818843761667175</x:v>
      </x:c>
      <x:c r="N165" s="23" t="n">
        <x:f>J165</x:f>
        <x:v>1</x:v>
      </x:c>
      <x:c r="O165" s="22" t="str">
        <x:v>是</x:v>
      </x:c>
      <x:c r="P165" s="22" t="n">
        <x:v>0.24505209051436724</x:v>
      </x:c>
      <x:c r="Q165" s="22" t="n">
        <x:v>0.24505209051436724</x:v>
      </x:c>
      <x:c r="R165" s="22" t="n">
        <x:v>0.24505209051436724</x:v>
      </x:c>
      <x:c r="S165" s="23" t="n">
        <x:f>IF(O165="是",MAX(0,MIN(1,(P165-'总览与权重'!$B$21)/('总览与权重'!$C$21-'总览与权重'!$B$21))),"NA")</x:f>
        <x:v>0.510210503771432</x:v>
      </x:c>
      <x:c r="T165" s="23" t="n">
        <x:f>IF(O165="是",MAX(0,MIN(1,(Q165-'总览与权重'!$B$22)/('总览与权重'!$C$22-'总览与权重'!$B$22))),"NA")</x:f>
        <x:v>0.6225260452571836</x:v>
      </x:c>
      <x:c r="U165" s="23" t="n">
        <x:f>IF(O165="是",MAX(0,MIN(1,(R165-'总览与权重'!$B$23)/('总览与权重'!$C$23-'总览与权重'!$B$23))),"NA")</x:f>
        <x:v>0.6225260452571836</x:v>
      </x:c>
      <x:c r="V165" s="23" t="n">
        <x:f>IF(O165="是",J165,"NA")</x:f>
        <x:v>1</x:v>
      </x:c>
      <x:c r="W165" s="22" t="str">
        <x:v>完整</x:v>
      </x:c>
      <x:c r="X165" s="22" t="str">
        <x:v>NA</x:v>
      </x:c>
      <x:c r="Y165" s="22" t="str">
        <x:v>NA</x:v>
      </x:c>
      <x:c r="Z165" s="22" t="n">
        <x:v>-0.25</x:v>
      </x:c>
      <x:c r="AA165" s="22" t="n">
        <x:v>-0.119047619048</x:v>
      </x:c>
      <x:c r="AB165" s="22" t="str">
        <x:v>知识点理解与概念探究；正向评价（不计能力分）</x:v>
      </x:c>
      <x:c r="AC165" s="22" t="str">
        <x:v>NA</x:v>
      </x:c>
      <x:c r="AD165" s="22" t="str">
        <x:v>NA</x:v>
      </x:c>
      <x:c r="AE165" s="22" t="str">
        <x:v>["S1051"]</x:v>
      </x:c>
      <x:c r="AF165" s="22" t="str">
        <x:v>["2026春:问答记录导出0919_已更新.xlsx:问答记录:1678"]</x:v>
      </x:c>
      <x:c r="AG165" s="22" t="str">
        <x:v>evidence/student_evidence.jsonl；student_key=2026春:268183</x:v>
      </x:c>
      <x:c r="AH165" s="27" t="str"/>
    </x:row>
    <x:row r="166" ht="23" customHeight="1">
      <x:c r="A166" s="21" t="str">
        <x:v>2026春:268184</x:v>
      </x:c>
      <x:c r="B166" s="22" t="str">
        <x:v>s3</x:v>
      </x:c>
      <x:c r="C166" s="24" t="n">
        <x:v>1</x:v>
      </x:c>
      <x:c r="D166" s="24" t="n">
        <x:v>1</x:v>
      </x:c>
      <x:c r="E166" s="22" t="n">
        <x:v>0.3627356475917338</x:v>
      </x:c>
      <x:c r="F166" s="22" t="n">
        <x:v>0.3627356475917338</x:v>
      </x:c>
      <x:c r="G166" s="22" t="n">
        <x:v>0.3627356475917338</x:v>
      </x:c>
      <x:c r="H166" s="24" t="n">
        <x:v>1</x:v>
      </x:c>
      <x:c r="I166" s="24" t="n">
        <x:v>1</x:v>
      </x:c>
      <x:c r="J166" s="23" t="n">
        <x:f>IF(I166&gt;0,H166/I166,"NA")</x:f>
        <x:v>1</x:v>
      </x:c>
      <x:c r="K166" s="23" t="n">
        <x:f>MAX(0,MIN(1,(E166-'总览与权重'!$B$18)/('总览与权重'!$C$18-'总览与权重'!$B$18)))</x:f>
        <x:v>0.030227970632644485</x:v>
      </x:c>
      <x:c r="L166" s="23" t="n">
        <x:f>MAX(0,MIN(1,(F166-'总览与权重'!$B$19)/('总览与权重'!$C$19-'总览与权重'!$B$19)))</x:f>
        <x:v>0.3627356475917338</x:v>
      </x:c>
      <x:c r="M166" s="23" t="n">
        <x:f>MAX(0,MIN(1,(G166-'总览与权重'!$B$20)/('总览与权重'!$C$20-'总览与权重'!$B$20)))</x:f>
        <x:v>0.3627356475917338</x:v>
      </x:c>
      <x:c r="N166" s="23" t="n">
        <x:f>J166</x:f>
        <x:v>1</x:v>
      </x:c>
      <x:c r="O166" s="22" t="str">
        <x:v>是</x:v>
      </x:c>
      <x:c r="P166" s="22" t="n">
        <x:v>0.22590336193938357</x:v>
      </x:c>
      <x:c r="Q166" s="22" t="n">
        <x:v>0.22590336193938357</x:v>
      </x:c>
      <x:c r="R166" s="22" t="n">
        <x:v>0.22590336193938357</x:v>
      </x:c>
      <x:c r="S166" s="23" t="n">
        <x:f>IF(O166="是",MAX(0,MIN(1,(P166-'总览与权重'!$B$21)/('总览与权重'!$C$21-'总览与权重'!$B$21))),"NA")</x:f>
        <x:v>0.5094126400808077</x:v>
      </x:c>
      <x:c r="T166" s="23" t="n">
        <x:f>IF(O166="是",MAX(0,MIN(1,(Q166-'总览与权重'!$B$22)/('总览与权重'!$C$22-'总览与权重'!$B$22))),"NA")</x:f>
        <x:v>0.6129516809696918</x:v>
      </x:c>
      <x:c r="U166" s="23" t="n">
        <x:f>IF(O166="是",MAX(0,MIN(1,(R166-'总览与权重'!$B$23)/('总览与权重'!$C$23-'总览与权重'!$B$23))),"NA")</x:f>
        <x:v>0.6129516809696918</x:v>
      </x:c>
      <x:c r="V166" s="23" t="n">
        <x:f>IF(O166="是",J166,"NA")</x:f>
        <x:v>1</x:v>
      </x:c>
      <x:c r="W166" s="22" t="str">
        <x:v>完整</x:v>
      </x:c>
      <x:c r="X166" s="22" t="str">
        <x:v>NA</x:v>
      </x:c>
      <x:c r="Y166" s="22" t="str">
        <x:v>NA</x:v>
      </x:c>
      <x:c r="Z166" s="22" t="n">
        <x:v>-0.25</x:v>
      </x:c>
      <x:c r="AA166" s="22" t="n">
        <x:v>-0.119047619048</x:v>
      </x:c>
      <x:c r="AB166" s="22" t="str">
        <x:v>课程答疑复习与资源使用；正向评价（不计能力分）</x:v>
      </x:c>
      <x:c r="AC166" s="22" t="str">
        <x:v>NA</x:v>
      </x:c>
      <x:c r="AD166" s="22" t="str">
        <x:v>NA</x:v>
      </x:c>
      <x:c r="AE166" s="22" t="str">
        <x:v>["S1054"]</x:v>
      </x:c>
      <x:c r="AF166" s="22" t="str">
        <x:v>["2026春:问答记录导出0919_已更新.xlsx:问答记录:1681"]</x:v>
      </x:c>
      <x:c r="AG166" s="22" t="str">
        <x:v>evidence/student_evidence.jsonl；student_key=2026春:268184</x:v>
      </x:c>
      <x:c r="AH166" s="27" t="str"/>
    </x:row>
    <x:row r="167" ht="23" customHeight="1">
      <x:c r="A167" s="21" t="str">
        <x:v>2026春:268194</x:v>
      </x:c>
      <x:c r="B167" s="22" t="str">
        <x:v>s3</x:v>
      </x:c>
      <x:c r="C167" s="24" t="n">
        <x:v>1</x:v>
      </x:c>
      <x:c r="D167" s="24" t="n">
        <x:v>1</x:v>
      </x:c>
      <x:c r="E167" s="22" t="n">
        <x:v>0.3810004146110808</x:v>
      </x:c>
      <x:c r="F167" s="22" t="n">
        <x:v>0.3810004146110808</x:v>
      </x:c>
      <x:c r="G167" s="22" t="n">
        <x:v>0.3810004146110808</x:v>
      </x:c>
      <x:c r="H167" s="24" t="n">
        <x:v>1</x:v>
      </x:c>
      <x:c r="I167" s="24" t="n">
        <x:v>3</x:v>
      </x:c>
      <x:c r="J167" s="23" t="n">
        <x:f>IF(I167&gt;0,H167/I167,"NA")</x:f>
        <x:v>0.3333333333333333</x:v>
      </x:c>
      <x:c r="K167" s="23" t="n">
        <x:f>MAX(0,MIN(1,(E167-'总览与权重'!$B$18)/('总览与权重'!$C$18-'总览与权重'!$B$18)))</x:f>
        <x:v>0.0317500345509234</x:v>
      </x:c>
      <x:c r="L167" s="23" t="n">
        <x:f>MAX(0,MIN(1,(F167-'总览与权重'!$B$19)/('总览与权重'!$C$19-'总览与权重'!$B$19)))</x:f>
        <x:v>0.3810004146110808</x:v>
      </x:c>
      <x:c r="M167" s="23" t="n">
        <x:f>MAX(0,MIN(1,(G167-'总览与权重'!$B$20)/('总览与权重'!$C$20-'总览与权重'!$B$20)))</x:f>
        <x:v>0.3810004146110808</x:v>
      </x:c>
      <x:c r="N167" s="23" t="n">
        <x:f>J167</x:f>
        <x:v>0.3333333333333333</x:v>
      </x:c>
      <x:c r="O167" s="22" t="str">
        <x:v>是</x:v>
      </x:c>
      <x:c r="P167" s="22" t="n">
        <x:v>0.24416812895873055</x:v>
      </x:c>
      <x:c r="Q167" s="22" t="n">
        <x:v>0.24416812895873055</x:v>
      </x:c>
      <x:c r="R167" s="22" t="n">
        <x:v>0.24416812895873055</x:v>
      </x:c>
      <x:c r="S167" s="23" t="n">
        <x:f>IF(O167="是",MAX(0,MIN(1,(P167-'总览与权重'!$B$21)/('总览与权重'!$C$21-'总览与权重'!$B$21))),"NA")</x:f>
        <x:v>0.5101736720399471</x:v>
      </x:c>
      <x:c r="T167" s="23" t="n">
        <x:f>IF(O167="是",MAX(0,MIN(1,(Q167-'总览与权重'!$B$22)/('总览与权重'!$C$22-'总览与权重'!$B$22))),"NA")</x:f>
        <x:v>0.6220840644793653</x:v>
      </x:c>
      <x:c r="U167" s="23" t="n">
        <x:f>IF(O167="是",MAX(0,MIN(1,(R167-'总览与权重'!$B$23)/('总览与权重'!$C$23-'总览与权重'!$B$23))),"NA")</x:f>
        <x:v>0.6220840644793653</x:v>
      </x:c>
      <x:c r="V167" s="23" t="n">
        <x:f>IF(O167="是",J167,"NA")</x:f>
        <x:v>0.3333333333333333</x:v>
      </x:c>
      <x:c r="W167" s="22" t="str">
        <x:v>完整</x:v>
      </x:c>
      <x:c r="X167" s="22" t="str">
        <x:v>NA</x:v>
      </x:c>
      <x:c r="Y167" s="22" t="str">
        <x:v>NA</x:v>
      </x:c>
      <x:c r="Z167" s="22" t="n">
        <x:v>-0.25</x:v>
      </x:c>
      <x:c r="AA167" s="22" t="n">
        <x:v>-0.119047619048</x:v>
      </x:c>
      <x:c r="AB167" s="22" t="str">
        <x:v>代码数据与工具实现；无明确评价（不计能力分）</x:v>
      </x:c>
      <x:c r="AC167" s="22" t="str">
        <x:v>NA</x:v>
      </x:c>
      <x:c r="AD167" s="22" t="str">
        <x:v>NA</x:v>
      </x:c>
      <x:c r="AE167" s="22" t="str">
        <x:v>["S1067"]</x:v>
      </x:c>
      <x:c r="AF167" s="22" t="str">
        <x:v>["2026春:问答记录导出0919_已更新.xlsx:问答记录:1694"]</x:v>
      </x:c>
      <x:c r="AG167" s="22" t="str">
        <x:v>evidence/student_evidence.jsonl；student_key=2026春:268194</x:v>
      </x:c>
      <x:c r="AH167" s="27" t="str"/>
    </x:row>
    <x:row r="168" ht="23" customHeight="1">
      <x:c r="A168" s="21" t="str">
        <x:v>2026春:268195</x:v>
      </x:c>
      <x:c r="B168" s="22" t="str">
        <x:v>mixed</x:v>
      </x:c>
      <x:c r="C168" s="24" t="n">
        <x:v>2</x:v>
      </x:c>
      <x:c r="D168" s="24" t="n">
        <x:v>2</x:v>
      </x:c>
      <x:c r="E168" s="22" t="n">
        <x:v>0.3004904021297464</x:v>
      </x:c>
      <x:c r="F168" s="22" t="n">
        <x:v>0.1502452010648732</x:v>
      </x:c>
      <x:c r="G168" s="22" t="n">
        <x:v>0.2</x:v>
      </x:c>
      <x:c r="H168" s="24" t="n">
        <x:v>4</x:v>
      </x:c>
      <x:c r="I168" s="24" t="n">
        <x:v>7</x:v>
      </x:c>
      <x:c r="J168" s="23" t="n">
        <x:f>IF(I168&gt;0,H168/I168,"NA")</x:f>
        <x:v>0.5714285714285714</x:v>
      </x:c>
      <x:c r="K168" s="23" t="n">
        <x:f>MAX(0,MIN(1,(E168-'总览与权重'!$B$18)/('总览与权重'!$C$18-'总览与权重'!$B$18)))</x:f>
        <x:v>0.025040866844145537</x:v>
      </x:c>
      <x:c r="L168" s="23" t="n">
        <x:f>MAX(0,MIN(1,(F168-'总览与权重'!$B$19)/('总览与权重'!$C$19-'总览与权重'!$B$19)))</x:f>
        <x:v>0.1502452010648732</x:v>
      </x:c>
      <x:c r="M168" s="23" t="n">
        <x:f>MAX(0,MIN(1,(G168-'总览与权重'!$B$20)/('总览与权重'!$C$20-'总览与权重'!$B$20)))</x:f>
        <x:v>0.2</x:v>
      </x:c>
      <x:c r="N168" s="23" t="n">
        <x:f>J168</x:f>
        <x:v>0.5714285714285714</x:v>
      </x:c>
      <x:c r="O168" s="22" t="str">
        <x:v>否</x:v>
      </x:c>
      <x:c r="P168" s="22" t="str">
        <x:v>NA</x:v>
      </x:c>
      <x:c r="Q168" s="22" t="str">
        <x:v>NA</x:v>
      </x:c>
      <x:c r="R168" s="22" t="str">
        <x:v>NA</x:v>
      </x:c>
      <x:c r="S168" s="23" t="str">
        <x:f>IF(O168="是",MAX(0,MIN(1,(P168-'总览与权重'!$B$21)/('总览与权重'!$C$21-'总览与权重'!$B$21))),"NA")</x:f>
        <x:v>NA</x:v>
      </x:c>
      <x:c r="T168" s="23" t="str">
        <x:f>IF(O168="是",MAX(0,MIN(1,(Q168-'总览与权重'!$B$22)/('总览与权重'!$C$22-'总览与权重'!$B$22))),"NA")</x:f>
        <x:v>NA</x:v>
      </x:c>
      <x:c r="U168" s="23" t="str">
        <x:f>IF(O168="是",MAX(0,MIN(1,(R168-'总览与权重'!$B$23)/('总览与权重'!$C$23-'总览与权重'!$B$23))),"NA")</x:f>
        <x:v>NA</x:v>
      </x:c>
      <x:c r="V168" s="23" t="str">
        <x:f>IF(O168="是",J168,"NA")</x:f>
        <x:v>NA</x:v>
      </x:c>
      <x:c r="W168" s="22" t="str">
        <x:v>领域配对混量尺，未做等值校准</x:v>
      </x:c>
      <x:c r="X168" s="22" t="str">
        <x:v>NA</x:v>
      </x:c>
      <x:c r="Y168" s="22" t="str">
        <x:v>NA</x:v>
      </x:c>
      <x:c r="Z168" s="22" t="str">
        <x:v>NA</x:v>
      </x:c>
      <x:c r="AA168" s="22" t="str">
        <x:v>NA</x:v>
      </x:c>
      <x:c r="AB168" s="22" t="str">
        <x:v>知识点理解与概念探究；无明确评价（不计能力分）</x:v>
      </x:c>
      <x:c r="AC168" s="22" t="str">
        <x:v>NA</x:v>
      </x:c>
      <x:c r="AD168" s="22" t="str">
        <x:v>NA</x:v>
      </x:c>
      <x:c r="AE168" s="22" t="str">
        <x:v>["S1075","S1076"]</x:v>
      </x:c>
      <x:c r="AF168" s="22" t="str">
        <x:v>["2026春:问答记录导出0919_已更新.xlsx:问答记录:1702","2026春:问答记录导出0919_已更新.xlsx:问答记录:1703"]</x:v>
      </x:c>
      <x:c r="AG168" s="22" t="str">
        <x:v>evidence/student_evidence.jsonl；student_key=2026春:268195</x:v>
      </x:c>
      <x:c r="AH168" s="27" t="str"/>
    </x:row>
    <x:row r="169" ht="23" customHeight="1">
      <x:c r="A169" s="21" t="str">
        <x:v>2026春:268206</x:v>
      </x:c>
      <x:c r="B169" s="22" t="str">
        <x:v>s3</x:v>
      </x:c>
      <x:c r="C169" s="24" t="n">
        <x:v>1</x:v>
      </x:c>
      <x:c r="D169" s="24" t="n">
        <x:v>1</x:v>
      </x:c>
      <x:c r="E169" s="22" t="n">
        <x:v>0.5126783968719453</x:v>
      </x:c>
      <x:c r="F169" s="22" t="n">
        <x:v>0.5126783968719453</x:v>
      </x:c>
      <x:c r="G169" s="22" t="n">
        <x:v>0.5126783968719453</x:v>
      </x:c>
      <x:c r="H169" s="24" t="n">
        <x:v>2</x:v>
      </x:c>
      <x:c r="I169" s="24" t="n">
        <x:v>3</x:v>
      </x:c>
      <x:c r="J169" s="23" t="n">
        <x:f>IF(I169&gt;0,H169/I169,"NA")</x:f>
        <x:v>0.6666666666666666</x:v>
      </x:c>
      <x:c r="K169" s="23" t="n">
        <x:f>MAX(0,MIN(1,(E169-'总览与权重'!$B$18)/('总览与权重'!$C$18-'总览与权重'!$B$18)))</x:f>
        <x:v>0.042723199739328775</x:v>
      </x:c>
      <x:c r="L169" s="23" t="n">
        <x:f>MAX(0,MIN(1,(F169-'总览与权重'!$B$19)/('总览与权重'!$C$19-'总览与权重'!$B$19)))</x:f>
        <x:v>0.5126783968719453</x:v>
      </x:c>
      <x:c r="M169" s="23" t="n">
        <x:f>MAX(0,MIN(1,(G169-'总览与权重'!$B$20)/('总览与权重'!$C$20-'总览与权重'!$B$20)))</x:f>
        <x:v>0.5126783968719453</x:v>
      </x:c>
      <x:c r="N169" s="23" t="n">
        <x:f>J169</x:f>
        <x:v>0.6666666666666666</x:v>
      </x:c>
      <x:c r="O169" s="22" t="str">
        <x:v>是</x:v>
      </x:c>
      <x:c r="P169" s="22" t="n">
        <x:v>0.3758744701158555</x:v>
      </x:c>
      <x:c r="Q169" s="22" t="n">
        <x:v>0.3758744701158555</x:v>
      </x:c>
      <x:c r="R169" s="22" t="n">
        <x:v>0.3758744701158555</x:v>
      </x:c>
      <x:c r="S169" s="23" t="n">
        <x:f>IF(O169="是",MAX(0,MIN(1,(P169-'总览与权重'!$B$21)/('总览与权重'!$C$21-'总览与权重'!$B$21))),"NA")</x:f>
        <x:v>0.5156614362548273</x:v>
      </x:c>
      <x:c r="T169" s="23" t="n">
        <x:f>IF(O169="是",MAX(0,MIN(1,(Q169-'总览与权重'!$B$22)/('总览与权重'!$C$22-'总览与权重'!$B$22))),"NA")</x:f>
        <x:v>0.6879372350579278</x:v>
      </x:c>
      <x:c r="U169" s="23" t="n">
        <x:f>IF(O169="是",MAX(0,MIN(1,(R169-'总览与权重'!$B$23)/('总览与权重'!$C$23-'总览与权重'!$B$23))),"NA")</x:f>
        <x:v>0.6879372350579278</x:v>
      </x:c>
      <x:c r="V169" s="23" t="n">
        <x:f>IF(O169="是",J169,"NA")</x:f>
        <x:v>0.6666666666666666</x:v>
      </x:c>
      <x:c r="W169" s="22" t="str">
        <x:v>完整</x:v>
      </x:c>
      <x:c r="X169" s="22" t="str">
        <x:v>NA</x:v>
      </x:c>
      <x:c r="Y169" s="22" t="str">
        <x:v>NA</x:v>
      </x:c>
      <x:c r="Z169" s="22" t="n">
        <x:v>0.05</x:v>
      </x:c>
      <x:c r="AA169" s="22" t="n">
        <x:v>0.547619047619</x:v>
      </x:c>
      <x:c r="AB169" s="22" t="str">
        <x:v>知识点理解与概念探究；正向评价（不计能力分）</x:v>
      </x:c>
      <x:c r="AC169" s="22" t="str">
        <x:v>NA</x:v>
      </x:c>
      <x:c r="AD169" s="22" t="str">
        <x:v>NA</x:v>
      </x:c>
      <x:c r="AE169" s="22" t="str">
        <x:v>["S1083"]</x:v>
      </x:c>
      <x:c r="AF169" s="22" t="str">
        <x:v>["2026春:问答记录导出0919_已更新.xlsx:问答记录:1710"]</x:v>
      </x:c>
      <x:c r="AG169" s="22" t="str">
        <x:v>evidence/student_evidence.jsonl；student_key=2026春:268206</x:v>
      </x:c>
      <x:c r="AH169" s="27" t="str"/>
    </x:row>
    <x:row r="170" ht="23" customHeight="1">
      <x:c r="A170" s="21" t="str">
        <x:v>2026春:268219</x:v>
      </x:c>
      <x:c r="B170" s="22" t="str">
        <x:v>s3</x:v>
      </x:c>
      <x:c r="C170" s="24" t="n">
        <x:v>1</x:v>
      </x:c>
      <x:c r="D170" s="24" t="n">
        <x:v>1</x:v>
      </x:c>
      <x:c r="E170" s="22" t="n">
        <x:v>0</x:v>
      </x:c>
      <x:c r="F170" s="22" t="n">
        <x:v>0</x:v>
      </x:c>
      <x:c r="G170" s="22" t="n">
        <x:v>0</x:v>
      </x:c>
      <x:c r="H170" s="24" t="n">
        <x:v>1</x:v>
      </x:c>
      <x:c r="I170" s="24" t="n">
        <x:v>1</x:v>
      </x:c>
      <x:c r="J170" s="23" t="n">
        <x:f>IF(I170&gt;0,H170/I170,"NA")</x:f>
        <x:v>1</x:v>
      </x:c>
      <x:c r="K170" s="23" t="n">
        <x:f>MAX(0,MIN(1,(E170-'总览与权重'!$B$18)/('总览与权重'!$C$18-'总览与权重'!$B$18)))</x:f>
        <x:v>0</x:v>
      </x:c>
      <x:c r="L170" s="23" t="n">
        <x:f>MAX(0,MIN(1,(F170-'总览与权重'!$B$19)/('总览与权重'!$C$19-'总览与权重'!$B$19)))</x:f>
        <x:v>0</x:v>
      </x:c>
      <x:c r="M170" s="23" t="n">
        <x:f>MAX(0,MIN(1,(G170-'总览与权重'!$B$20)/('总览与权重'!$C$20-'总览与权重'!$B$20)))</x:f>
        <x:v>0</x:v>
      </x:c>
      <x:c r="N170" s="23" t="n">
        <x:f>J170</x:f>
        <x:v>1</x:v>
      </x:c>
      <x:c r="O170" s="22" t="str">
        <x:v>是</x:v>
      </x:c>
      <x:c r="P170" s="22" t="n">
        <x:v>-0.05166897418072275</x:v>
      </x:c>
      <x:c r="Q170" s="22" t="n">
        <x:v>-0.06458621772590344</x:v>
      </x:c>
      <x:c r="R170" s="22" t="n">
        <x:v>-0.06458621772590344</x:v>
      </x:c>
      <x:c r="S170" s="23" t="n">
        <x:f>IF(O170="是",MAX(0,MIN(1,(P170-'总览与权重'!$B$21)/('总览与权重'!$C$21-'总览与权重'!$B$21))),"NA")</x:f>
        <x:v>0.4978471260758032</x:v>
      </x:c>
      <x:c r="T170" s="23" t="n">
        <x:f>IF(O170="是",MAX(0,MIN(1,(Q170-'总览与权重'!$B$22)/('总览与权重'!$C$22-'总览与权重'!$B$22))),"NA")</x:f>
        <x:v>0.4677068911370483</x:v>
      </x:c>
      <x:c r="U170" s="23" t="n">
        <x:f>IF(O170="是",MAX(0,MIN(1,(R170-'总览与权重'!$B$23)/('总览与权重'!$C$23-'总览与权重'!$B$23))),"NA")</x:f>
        <x:v>0.4677068911370483</x:v>
      </x:c>
      <x:c r="V170" s="23" t="n">
        <x:f>IF(O170="是",J170,"NA")</x:f>
        <x:v>1</x:v>
      </x:c>
      <x:c r="W170" s="22" t="str">
        <x:v>完整</x:v>
      </x:c>
      <x:c r="X170" s="22" t="str">
        <x:v>NA</x:v>
      </x:c>
      <x:c r="Y170" s="22" t="str">
        <x:v>NA</x:v>
      </x:c>
      <x:c r="Z170" s="22" t="n">
        <x:v>0</x:v>
      </x:c>
      <x:c r="AA170" s="22" t="n">
        <x:v>0</x:v>
      </x:c>
      <x:c r="AB170" s="22" t="str">
        <x:v>知识点理解与概念探究；正向评价（不计能力分）</x:v>
      </x:c>
      <x:c r="AC170" s="22" t="str">
        <x:v>NA</x:v>
      </x:c>
      <x:c r="AD170" s="22" t="str">
        <x:v>NA</x:v>
      </x:c>
      <x:c r="AE170" s="22" t="str">
        <x:v>["S1094"]</x:v>
      </x:c>
      <x:c r="AF170" s="22" t="str">
        <x:v>["2026春:问答记录导出0919_已更新.xlsx:问答记录:1721"]</x:v>
      </x:c>
      <x:c r="AG170" s="22" t="str">
        <x:v>evidence/student_evidence.jsonl；student_key=2026春:268219</x:v>
      </x:c>
      <x:c r="AH170" s="27" t="str"/>
    </x:row>
    <x:row r="171" ht="23" customHeight="1">
      <x:c r="A171" s="21" t="str">
        <x:v>2026春:268240</x:v>
      </x:c>
      <x:c r="B171" s="22" t="str">
        <x:v>s3</x:v>
      </x:c>
      <x:c r="C171" s="24" t="n">
        <x:v>1</x:v>
      </x:c>
      <x:c r="D171" s="24" t="n">
        <x:v>1</x:v>
      </x:c>
      <x:c r="E171" s="22" t="n">
        <x:v>0.48148380449516814</x:v>
      </x:c>
      <x:c r="F171" s="22" t="n">
        <x:v>0.48148380449516814</x:v>
      </x:c>
      <x:c r="G171" s="22" t="n">
        <x:v>0.48148380449516814</x:v>
      </x:c>
      <x:c r="H171" s="24" t="n">
        <x:v>2</x:v>
      </x:c>
      <x:c r="I171" s="24" t="n">
        <x:v>3</x:v>
      </x:c>
      <x:c r="J171" s="23" t="n">
        <x:f>IF(I171&gt;0,H171/I171,"NA")</x:f>
        <x:v>0.6666666666666666</x:v>
      </x:c>
      <x:c r="K171" s="23" t="n">
        <x:f>MAX(0,MIN(1,(E171-'总览与权重'!$B$18)/('总览与权重'!$C$18-'总览与权重'!$B$18)))</x:f>
        <x:v>0.04012365037459734</x:v>
      </x:c>
      <x:c r="L171" s="23" t="n">
        <x:f>MAX(0,MIN(1,(F171-'总览与权重'!$B$19)/('总览与权重'!$C$19-'总览与权重'!$B$19)))</x:f>
        <x:v>0.48148380449516814</x:v>
      </x:c>
      <x:c r="M171" s="23" t="n">
        <x:f>MAX(0,MIN(1,(G171-'总览与权重'!$B$20)/('总览与权重'!$C$20-'总览与权重'!$B$20)))</x:f>
        <x:v>0.48148380449516814</x:v>
      </x:c>
      <x:c r="N171" s="23" t="n">
        <x:f>J171</x:f>
        <x:v>0.6666666666666666</x:v>
      </x:c>
      <x:c r="O171" s="22" t="str">
        <x:v>是</x:v>
      </x:c>
      <x:c r="P171" s="22" t="n">
        <x:v>0.34465151884281786</x:v>
      </x:c>
      <x:c r="Q171" s="22" t="n">
        <x:v>0.34465151884281786</x:v>
      </x:c>
      <x:c r="R171" s="22" t="n">
        <x:v>0.34465151884281786</x:v>
      </x:c>
      <x:c r="S171" s="23" t="n">
        <x:f>IF(O171="是",MAX(0,MIN(1,(P171-'总览与权重'!$B$21)/('总览与权重'!$C$21-'总览与权重'!$B$21))),"NA")</x:f>
        <x:v>0.5143604799517841</x:v>
      </x:c>
      <x:c r="T171" s="23" t="n">
        <x:f>IF(O171="是",MAX(0,MIN(1,(Q171-'总览与权重'!$B$22)/('总览与权重'!$C$22-'总览与权重'!$B$22))),"NA")</x:f>
        <x:v>0.6723257594214089</x:v>
      </x:c>
      <x:c r="U171" s="23" t="n">
        <x:f>IF(O171="是",MAX(0,MIN(1,(R171-'总览与权重'!$B$23)/('总览与权重'!$C$23-'总览与权重'!$B$23))),"NA")</x:f>
        <x:v>0.6723257594214089</x:v>
      </x:c>
      <x:c r="V171" s="23" t="n">
        <x:f>IF(O171="是",J171,"NA")</x:f>
        <x:v>0.6666666666666666</x:v>
      </x:c>
      <x:c r="W171" s="22" t="str">
        <x:v>完整</x:v>
      </x:c>
      <x:c r="X171" s="22" t="str">
        <x:v>NA</x:v>
      </x:c>
      <x:c r="Y171" s="22" t="str">
        <x:v>NA</x:v>
      </x:c>
      <x:c r="Z171" s="22" t="n">
        <x:v>0.05</x:v>
      </x:c>
      <x:c r="AA171" s="22" t="n">
        <x:v>0.547619047619</x:v>
      </x:c>
      <x:c r="AB171" s="22" t="str">
        <x:v>知识点理解与概念探究；正向评价（不计能力分）</x:v>
      </x:c>
      <x:c r="AC171" s="22" t="str">
        <x:v>NA</x:v>
      </x:c>
      <x:c r="AD171" s="22" t="str">
        <x:v>NA</x:v>
      </x:c>
      <x:c r="AE171" s="22" t="str">
        <x:v>["S1113"]</x:v>
      </x:c>
      <x:c r="AF171" s="22" t="str">
        <x:v>["2026春:问答记录导出0919_已更新.xlsx:问答记录:1740"]</x:v>
      </x:c>
      <x:c r="AG171" s="22" t="str">
        <x:v>evidence/student_evidence.jsonl；student_key=2026春:268240</x:v>
      </x:c>
      <x:c r="AH171" s="27" t="str"/>
    </x:row>
    <x:row r="172" ht="48" customHeight="1">
      <x:c r="A172" s="21" t="str">
        <x:v>2026春:268246</x:v>
      </x:c>
      <x:c r="B172" s="22" t="str">
        <x:v>s3</x:v>
      </x:c>
      <x:c r="C172" s="24" t="n">
        <x:v>2</x:v>
      </x:c>
      <x:c r="D172" s="24" t="n">
        <x:v>1</x:v>
      </x:c>
      <x:c r="E172" s="22" t="n">
        <x:v>0.32883100935845777</x:v>
      </x:c>
      <x:c r="F172" s="22" t="n">
        <x:v>0.32883100935845777</x:v>
      </x:c>
      <x:c r="G172" s="22" t="n">
        <x:v>0.32883100935845777</x:v>
      </x:c>
      <x:c r="H172" s="24" t="n">
        <x:v>3</x:v>
      </x:c>
      <x:c r="I172" s="24" t="n">
        <x:v>3</x:v>
      </x:c>
      <x:c r="J172" s="23" t="n">
        <x:f>IF(I172&gt;0,H172/I172,"NA")</x:f>
        <x:v>1</x:v>
      </x:c>
      <x:c r="K172" s="23" t="n">
        <x:f>MAX(0,MIN(1,(E172-'总览与权重'!$B$18)/('总览与权重'!$C$18-'总览与权重'!$B$18)))</x:f>
        <x:v>0.027402584113204814</x:v>
      </x:c>
      <x:c r="L172" s="23" t="n">
        <x:f>MAX(0,MIN(1,(F172-'总览与权重'!$B$19)/('总览与权重'!$C$19-'总览与权重'!$B$19)))</x:f>
        <x:v>0.32883100935845777</x:v>
      </x:c>
      <x:c r="M172" s="23" t="n">
        <x:f>MAX(0,MIN(1,(G172-'总览与权重'!$B$20)/('总览与权重'!$C$20-'总览与权重'!$B$20)))</x:f>
        <x:v>0.32883100935845777</x:v>
      </x:c>
      <x:c r="N172" s="23" t="n">
        <x:f>J172</x:f>
        <x:v>1</x:v>
      </x:c>
      <x:c r="O172" s="22" t="str">
        <x:v>否</x:v>
      </x:c>
      <x:c r="P172" s="22" t="str">
        <x:v>NA</x:v>
      </x:c>
      <x:c r="Q172" s="22" t="str">
        <x:v>NA</x:v>
      </x:c>
      <x:c r="R172" s="22" t="str">
        <x:v>NA</x:v>
      </x:c>
      <x:c r="S172" s="23" t="str">
        <x:f>IF(O172="是",MAX(0,MIN(1,(P172-'总览与权重'!$B$21)/('总览与权重'!$C$21-'总览与权重'!$B$21))),"NA")</x:f>
        <x:v>NA</x:v>
      </x:c>
      <x:c r="T172" s="23" t="str">
        <x:f>IF(O172="是",MAX(0,MIN(1,(Q172-'总览与权重'!$B$22)/('总览与权重'!$C$22-'总览与权重'!$B$22))),"NA")</x:f>
        <x:v>NA</x:v>
      </x:c>
      <x:c r="U172" s="23" t="str">
        <x:f>IF(O172="是",MAX(0,MIN(1,(R172-'总览与权重'!$B$23)/('总览与权重'!$C$23-'总览与权重'!$B$23))),"NA")</x:f>
        <x:v>NA</x:v>
      </x:c>
      <x:c r="V172" s="23" t="str">
        <x:f>IF(O172="是",J172,"NA")</x:f>
        <x:v>NA</x:v>
      </x:c>
      <x:c r="W172" s="22" t="str">
        <x:v>无完整领域最早before配对</x:v>
      </x:c>
      <x:c r="X172" s="22" t="str">
        <x:v>NA</x:v>
      </x:c>
      <x:c r="Y172" s="22" t="str">
        <x:v>NA</x:v>
      </x:c>
      <x:c r="Z172" s="22" t="n">
        <x:v>0</x:v>
      </x:c>
      <x:c r="AA172" s="22" t="n">
        <x:v>0.119047619048</x:v>
      </x:c>
      <x:c r="AB172" s="22" t="str">
        <x:v>知识点理解与概念探究；正向评价（不计能力分）</x:v>
      </x:c>
      <x:c r="AC172" s="22" t="str">
        <x:v>NA</x:v>
      </x:c>
      <x:c r="AD172" s="22" t="str">
        <x:v>NA</x:v>
      </x:c>
      <x:c r="AE172" s="22" t="str">
        <x:v>["S1132","S1133"]</x:v>
      </x:c>
      <x:c r="AF172" s="22" t="str">
        <x:v>["2026春:问答记录导出0919_已更新.xlsx:问答记录:1759","2026春:问答记录导出0919_已更新.xlsx:问答记录:1760"]</x:v>
      </x:c>
      <x:c r="AG172" s="22" t="str">
        <x:v>evidence/student_evidence.jsonl；student_key=2026春:268246</x:v>
      </x:c>
      <x:c r="AH172" s="27" t="str">
        <x:v>同一锚点起止1条：未形成独立重复测量。</x:v>
      </x:c>
    </x:row>
    <x:row r="173" ht="23" customHeight="1">
      <x:c r="A173" s="21" t="str">
        <x:v>2026春:268248</x:v>
      </x:c>
      <x:c r="B173" s="22" t="str">
        <x:v>s3</x:v>
      </x:c>
      <x:c r="C173" s="24" t="n">
        <x:v>3</x:v>
      </x:c>
      <x:c r="D173" s="24" t="n">
        <x:v>1</x:v>
      </x:c>
      <x:c r="E173" s="22" t="n">
        <x:v>0.34944574708586496</x:v>
      </x:c>
      <x:c r="F173" s="22" t="n">
        <x:v>0.34944574708586496</x:v>
      </x:c>
      <x:c r="G173" s="22" t="n">
        <x:v>0.34944574708586496</x:v>
      </x:c>
      <x:c r="H173" s="24" t="n">
        <x:v>5</x:v>
      </x:c>
      <x:c r="I173" s="24" t="n">
        <x:v>6</x:v>
      </x:c>
      <x:c r="J173" s="23" t="n">
        <x:f>IF(I173&gt;0,H173/I173,"NA")</x:f>
        <x:v>0.8333333333333334</x:v>
      </x:c>
      <x:c r="K173" s="23" t="n">
        <x:f>MAX(0,MIN(1,(E173-'总览与权重'!$B$18)/('总览与权重'!$C$18-'总览与权重'!$B$18)))</x:f>
        <x:v>0.02912047892382208</x:v>
      </x:c>
      <x:c r="L173" s="23" t="n">
        <x:f>MAX(0,MIN(1,(F173-'总览与权重'!$B$19)/('总览与权重'!$C$19-'总览与权重'!$B$19)))</x:f>
        <x:v>0.34944574708586496</x:v>
      </x:c>
      <x:c r="M173" s="23" t="n">
        <x:f>MAX(0,MIN(1,(G173-'总览与权重'!$B$20)/('总览与权重'!$C$20-'总览与权重'!$B$20)))</x:f>
        <x:v>0.34944574708586496</x:v>
      </x:c>
      <x:c r="N173" s="23" t="n">
        <x:f>J173</x:f>
        <x:v>0.8333333333333334</x:v>
      </x:c>
      <x:c r="O173" s="22" t="str">
        <x:v>否</x:v>
      </x:c>
      <x:c r="P173" s="22" t="str">
        <x:v>NA</x:v>
      </x:c>
      <x:c r="Q173" s="22" t="str">
        <x:v>NA</x:v>
      </x:c>
      <x:c r="R173" s="22" t="str">
        <x:v>NA</x:v>
      </x:c>
      <x:c r="S173" s="23" t="str">
        <x:f>IF(O173="是",MAX(0,MIN(1,(P173-'总览与权重'!$B$21)/('总览与权重'!$C$21-'总览与权重'!$B$21))),"NA")</x:f>
        <x:v>NA</x:v>
      </x:c>
      <x:c r="T173" s="23" t="str">
        <x:f>IF(O173="是",MAX(0,MIN(1,(Q173-'总览与权重'!$B$22)/('总览与权重'!$C$22-'总览与权重'!$B$22))),"NA")</x:f>
        <x:v>NA</x:v>
      </x:c>
      <x:c r="U173" s="23" t="str">
        <x:f>IF(O173="是",MAX(0,MIN(1,(R173-'总览与权重'!$B$23)/('总览与权重'!$C$23-'总览与权重'!$B$23))),"NA")</x:f>
        <x:v>NA</x:v>
      </x:c>
      <x:c r="V173" s="23" t="str">
        <x:f>IF(O173="是",J173,"NA")</x:f>
        <x:v>NA</x:v>
      </x:c>
      <x:c r="W173" s="22" t="str">
        <x:v>无完整领域最早before配对</x:v>
      </x:c>
      <x:c r="X173" s="22" t="str">
        <x:v>NA</x:v>
      </x:c>
      <x:c r="Y173" s="22" t="str">
        <x:v>NA</x:v>
      </x:c>
      <x:c r="Z173" s="22" t="n">
        <x:v>-0.333333333333</x:v>
      </x:c>
      <x:c r="AA173" s="22" t="n">
        <x:v>-0.31746031746</x:v>
      </x:c>
      <x:c r="AB173" s="22" t="str">
        <x:v>代码数据与工具实现；正负并存或有条件评价（不计能力分）</x:v>
      </x:c>
      <x:c r="AC173" s="22" t="str">
        <x:v>NA</x:v>
      </x:c>
      <x:c r="AD173" s="22" t="str">
        <x:v>NA</x:v>
      </x:c>
      <x:c r="AE173" s="22" t="str">
        <x:v>["S1142","S1143","S1144"]</x:v>
      </x:c>
      <x:c r="AF173" s="22" t="str">
        <x:v>["2026春:问答记录导出0919_已更新.xlsx:问答记录:1769","2026春:问答记录导出0919_已更新.xlsx:问答记录:1770","2026春:问答记录导出0919_已更新.xlsx:问答记录:1771"]</x:v>
      </x:c>
      <x:c r="AG173" s="22" t="str">
        <x:v>evidence/student_evidence.jsonl；student_key=2026春:268248</x:v>
      </x:c>
      <x:c r="AH173" s="27" t="str"/>
    </x:row>
    <x:row r="174" ht="23" customHeight="1">
      <x:c r="A174" s="21" t="str">
        <x:v>2026春:268444</x:v>
      </x:c>
      <x:c r="B174" s="22" t="str">
        <x:v>s3</x:v>
      </x:c>
      <x:c r="C174" s="24" t="n">
        <x:v>1</x:v>
      </x:c>
      <x:c r="D174" s="24" t="n">
        <x:v>1</x:v>
      </x:c>
      <x:c r="E174" s="22" t="n">
        <x:v>0.3798100244161617</x:v>
      </x:c>
      <x:c r="F174" s="22" t="n">
        <x:v>0.3798100244161617</x:v>
      </x:c>
      <x:c r="G174" s="22" t="n">
        <x:v>0.3798100244161617</x:v>
      </x:c>
      <x:c r="H174" s="24" t="n">
        <x:v>1</x:v>
      </x:c>
      <x:c r="I174" s="24" t="n">
        <x:v>4</x:v>
      </x:c>
      <x:c r="J174" s="23" t="n">
        <x:f>IF(I174&gt;0,H174/I174,"NA")</x:f>
        <x:v>0.25</x:v>
      </x:c>
      <x:c r="K174" s="23" t="n">
        <x:f>MAX(0,MIN(1,(E174-'总览与权重'!$B$18)/('总览与权重'!$C$18-'总览与权重'!$B$18)))</x:f>
        <x:v>0.031650835368013476</x:v>
      </x:c>
      <x:c r="L174" s="23" t="n">
        <x:f>MAX(0,MIN(1,(F174-'总览与权重'!$B$19)/('总览与权重'!$C$19-'总览与权重'!$B$19)))</x:f>
        <x:v>0.3798100244161617</x:v>
      </x:c>
      <x:c r="M174" s="23" t="n">
        <x:f>MAX(0,MIN(1,(G174-'总览与权重'!$B$20)/('总览与权重'!$C$20-'总览与权重'!$B$20)))</x:f>
        <x:v>0.3798100244161617</x:v>
      </x:c>
      <x:c r="N174" s="23" t="n">
        <x:f>J174</x:f>
        <x:v>0.25</x:v>
      </x:c>
      <x:c r="O174" s="22" t="str">
        <x:v>否</x:v>
      </x:c>
      <x:c r="P174" s="22" t="str">
        <x:v>NA</x:v>
      </x:c>
      <x:c r="Q174" s="22" t="str">
        <x:v>NA</x:v>
      </x:c>
      <x:c r="R174" s="22" t="str">
        <x:v>NA</x:v>
      </x:c>
      <x:c r="S174" s="23" t="str">
        <x:f>IF(O174="是",MAX(0,MIN(1,(P174-'总览与权重'!$B$21)/('总览与权重'!$C$21-'总览与权重'!$B$21))),"NA")</x:f>
        <x:v>NA</x:v>
      </x:c>
      <x:c r="T174" s="23" t="str">
        <x:f>IF(O174="是",MAX(0,MIN(1,(Q174-'总览与权重'!$B$22)/('总览与权重'!$C$22-'总览与权重'!$B$22))),"NA")</x:f>
        <x:v>NA</x:v>
      </x:c>
      <x:c r="U174" s="23" t="str">
        <x:f>IF(O174="是",MAX(0,MIN(1,(R174-'总览与权重'!$B$23)/('总览与权重'!$C$23-'总览与权重'!$B$23))),"NA")</x:f>
        <x:v>NA</x:v>
      </x:c>
      <x:c r="V174" s="23" t="str">
        <x:f>IF(O174="是",J174,"NA")</x:f>
        <x:v>NA</x:v>
      </x:c>
      <x:c r="W174" s="22" t="str">
        <x:v>无完整领域最早before配对</x:v>
      </x:c>
      <x:c r="X174" s="22" t="str">
        <x:v>NA</x:v>
      </x:c>
      <x:c r="Y174" s="22" t="str">
        <x:v>NA</x:v>
      </x:c>
      <x:c r="Z174" s="22" t="n">
        <x:v>-0.25</x:v>
      </x:c>
      <x:c r="AA174" s="22" t="n">
        <x:v>-0.119047619048</x:v>
      </x:c>
      <x:c r="AB174" s="22" t="str">
        <x:v>专业需求与课程模块规划；正向评价（不计能力分）</x:v>
      </x:c>
      <x:c r="AC174" s="22" t="str">
        <x:v>NA</x:v>
      </x:c>
      <x:c r="AD174" s="22" t="str">
        <x:v>NA</x:v>
      </x:c>
      <x:c r="AE174" s="22" t="str">
        <x:v>["S1199"]</x:v>
      </x:c>
      <x:c r="AF174" s="22" t="str">
        <x:v>["2026春:问答记录导出0919_已更新.xlsx:问答记录:1826"]</x:v>
      </x:c>
      <x:c r="AG174" s="22" t="str">
        <x:v>evidence/student_evidence.jsonl；student_key=2026春:268444</x:v>
      </x:c>
      <x:c r="AH174" s="27" t="str"/>
    </x:row>
    <x:row r="175" ht="23" customHeight="1">
      <x:c r="A175" s="21" t="str">
        <x:v>2026春:268498</x:v>
      </x:c>
      <x:c r="B175" s="22" t="str">
        <x:v>s3</x:v>
      </x:c>
      <x:c r="C175" s="24" t="n">
        <x:v>1</x:v>
      </x:c>
      <x:c r="D175" s="24" t="n">
        <x:v>1</x:v>
      </x:c>
      <x:c r="E175" s="22" t="n">
        <x:v>0.12719256759230113</x:v>
      </x:c>
      <x:c r="F175" s="22" t="n">
        <x:v>0.12719256759230113</x:v>
      </x:c>
      <x:c r="G175" s="22" t="n">
        <x:v>0.12719256759230113</x:v>
      </x:c>
      <x:c r="H175" s="24" t="n">
        <x:v>2</x:v>
      </x:c>
      <x:c r="I175" s="24" t="n">
        <x:v>5</x:v>
      </x:c>
      <x:c r="J175" s="23" t="n">
        <x:f>IF(I175&gt;0,H175/I175,"NA")</x:f>
        <x:v>0.4</x:v>
      </x:c>
      <x:c r="K175" s="23" t="n">
        <x:f>MAX(0,MIN(1,(E175-'总览与权重'!$B$18)/('总览与权重'!$C$18-'总览与权重'!$B$18)))</x:f>
        <x:v>0.01059938063269176</x:v>
      </x:c>
      <x:c r="L175" s="23" t="n">
        <x:f>MAX(0,MIN(1,(F175-'总览与权重'!$B$19)/('总览与权重'!$C$19-'总览与权重'!$B$19)))</x:f>
        <x:v>0.12719256759230113</x:v>
      </x:c>
      <x:c r="M175" s="23" t="n">
        <x:f>MAX(0,MIN(1,(G175-'总览与权重'!$B$20)/('总览与权重'!$C$20-'总览与权重'!$B$20)))</x:f>
        <x:v>0.12719256759230113</x:v>
      </x:c>
      <x:c r="N175" s="23" t="n">
        <x:f>J175</x:f>
        <x:v>0.4</x:v>
      </x:c>
      <x:c r="O175" s="22" t="str">
        <x:v>是</x:v>
      </x:c>
      <x:c r="P175" s="22" t="n">
        <x:v>-0.009611359163788608</x:v>
      </x:c>
      <x:c r="Q175" s="22" t="n">
        <x:v>-0.009611359163788608</x:v>
      </x:c>
      <x:c r="R175" s="22" t="n">
        <x:v>-0.009611359163788608</x:v>
      </x:c>
      <x:c r="S175" s="23" t="n">
        <x:f>IF(O175="是",MAX(0,MIN(1,(P175-'总览与权重'!$B$21)/('总览与权重'!$C$21-'总览与权重'!$B$21))),"NA")</x:f>
        <x:v>0.4995995267015088</x:v>
      </x:c>
      <x:c r="T175" s="23" t="n">
        <x:f>IF(O175="是",MAX(0,MIN(1,(Q175-'总览与权重'!$B$22)/('总览与权重'!$C$22-'总览与权重'!$B$22))),"NA")</x:f>
        <x:v>0.4951943204181057</x:v>
      </x:c>
      <x:c r="U175" s="23" t="n">
        <x:f>IF(O175="是",MAX(0,MIN(1,(R175-'总览与权重'!$B$23)/('总览与权重'!$C$23-'总览与权重'!$B$23))),"NA")</x:f>
        <x:v>0.4951943204181057</x:v>
      </x:c>
      <x:c r="V175" s="23" t="n">
        <x:f>IF(O175="是",J175,"NA")</x:f>
        <x:v>0.4</x:v>
      </x:c>
      <x:c r="W175" s="22" t="str">
        <x:v>完整</x:v>
      </x:c>
      <x:c r="X175" s="22" t="str">
        <x:v>NA</x:v>
      </x:c>
      <x:c r="Y175" s="22" t="str">
        <x:v>NA</x:v>
      </x:c>
      <x:c r="Z175" s="22" t="n">
        <x:v>0.3</x:v>
      </x:c>
      <x:c r="AA175" s="22" t="n">
        <x:v>0.666666666667</x:v>
      </x:c>
      <x:c r="AB175" s="22" t="str">
        <x:v>课程答疑复习与资源使用；正向评价（不计能力分）</x:v>
      </x:c>
      <x:c r="AC175" s="22" t="str">
        <x:v>NA</x:v>
      </x:c>
      <x:c r="AD175" s="22" t="str">
        <x:v>NA</x:v>
      </x:c>
      <x:c r="AE175" s="22" t="str">
        <x:v>["S1207"]</x:v>
      </x:c>
      <x:c r="AF175" s="22" t="str">
        <x:v>["2026春:问答记录导出0919_已更新.xlsx:问答记录:1834"]</x:v>
      </x:c>
      <x:c r="AG175" s="22" t="str">
        <x:v>evidence/student_evidence.jsonl；student_key=2026春:268498</x:v>
      </x:c>
      <x:c r="AH175" s="27" t="str"/>
    </x:row>
    <x:row r="176" ht="23" customHeight="1">
      <x:c r="A176" s="21" t="str">
        <x:v>2026春:268502</x:v>
      </x:c>
      <x:c r="B176" s="22" t="str">
        <x:v>s3</x:v>
      </x:c>
      <x:c r="C176" s="24" t="n">
        <x:v>1</x:v>
      </x:c>
      <x:c r="D176" s="24" t="n">
        <x:v>1</x:v>
      </x:c>
      <x:c r="E176" s="22" t="n">
        <x:v>0.3583636510631417</x:v>
      </x:c>
      <x:c r="F176" s="22" t="n">
        <x:v>0.3583636510631417</x:v>
      </x:c>
      <x:c r="G176" s="22" t="n">
        <x:v>0.3583636510631417</x:v>
      </x:c>
      <x:c r="H176" s="24" t="n">
        <x:v>3</x:v>
      </x:c>
      <x:c r="I176" s="24" t="n">
        <x:v>3</x:v>
      </x:c>
      <x:c r="J176" s="23" t="n">
        <x:f>IF(I176&gt;0,H176/I176,"NA")</x:f>
        <x:v>1</x:v>
      </x:c>
      <x:c r="K176" s="23" t="n">
        <x:f>MAX(0,MIN(1,(E176-'总览与权重'!$B$18)/('总览与权重'!$C$18-'总览与权重'!$B$18)))</x:f>
        <x:v>0.029863637588595143</x:v>
      </x:c>
      <x:c r="L176" s="23" t="n">
        <x:f>MAX(0,MIN(1,(F176-'总览与权重'!$B$19)/('总览与权重'!$C$19-'总览与权重'!$B$19)))</x:f>
        <x:v>0.3583636510631417</x:v>
      </x:c>
      <x:c r="M176" s="23" t="n">
        <x:f>MAX(0,MIN(1,(G176-'总览与权重'!$B$20)/('总览与权重'!$C$20-'总览与权重'!$B$20)))</x:f>
        <x:v>0.3583636510631417</x:v>
      </x:c>
      <x:c r="N176" s="23" t="n">
        <x:f>J176</x:f>
        <x:v>1</x:v>
      </x:c>
      <x:c r="O176" s="22" t="str">
        <x:v>是</x:v>
      </x:c>
      <x:c r="P176" s="22" t="n">
        <x:v>0.22155972430705198</x:v>
      </x:c>
      <x:c r="Q176" s="22" t="n">
        <x:v>0.22155972430705198</x:v>
      </x:c>
      <x:c r="R176" s="22" t="n">
        <x:v>0.22155972430705198</x:v>
      </x:c>
      <x:c r="S176" s="23" t="n">
        <x:f>IF(O176="是",MAX(0,MIN(1,(P176-'总览与权重'!$B$21)/('总览与权重'!$C$21-'总览与权重'!$B$21))),"NA")</x:f>
        <x:v>0.5092316551794606</x:v>
      </x:c>
      <x:c r="T176" s="23" t="n">
        <x:f>IF(O176="是",MAX(0,MIN(1,(Q176-'总览与权重'!$B$22)/('总览与权重'!$C$22-'总览与权重'!$B$22))),"NA")</x:f>
        <x:v>0.610779862153526</x:v>
      </x:c>
      <x:c r="U176" s="23" t="n">
        <x:f>IF(O176="是",MAX(0,MIN(1,(R176-'总览与权重'!$B$23)/('总览与权重'!$C$23-'总览与权重'!$B$23))),"NA")</x:f>
        <x:v>0.610779862153526</x:v>
      </x:c>
      <x:c r="V176" s="23" t="n">
        <x:f>IF(O176="是",J176,"NA")</x:f>
        <x:v>1</x:v>
      </x:c>
      <x:c r="W176" s="22" t="str">
        <x:v>完整</x:v>
      </x:c>
      <x:c r="X176" s="22" t="str">
        <x:v>NA</x:v>
      </x:c>
      <x:c r="Y176" s="22" t="str">
        <x:v>NA</x:v>
      </x:c>
      <x:c r="Z176" s="22" t="n">
        <x:v>-0.25</x:v>
      </x:c>
      <x:c r="AA176" s="22" t="n">
        <x:v>-0.119047619048</x:v>
      </x:c>
      <x:c r="AB176" s="22" t="str">
        <x:v>课程答疑复习与资源使用；正向评价（不计能力分）</x:v>
      </x:c>
      <x:c r="AC176" s="22" t="str">
        <x:v>NA</x:v>
      </x:c>
      <x:c r="AD176" s="22" t="str">
        <x:v>NA</x:v>
      </x:c>
      <x:c r="AE176" s="22" t="str">
        <x:v>["S1220"]</x:v>
      </x:c>
      <x:c r="AF176" s="22" t="str">
        <x:v>["2026春:问答记录导出0919_已更新.xlsx:问答记录:1847"]</x:v>
      </x:c>
      <x:c r="AG176" s="22" t="str">
        <x:v>evidence/student_evidence.jsonl；student_key=2026春:268502</x:v>
      </x:c>
      <x:c r="AH176" s="27" t="str"/>
    </x:row>
    <x:row r="177" ht="48" customHeight="1">
      <x:c r="A177" s="21" t="str">
        <x:v>2026春:268520</x:v>
      </x:c>
      <x:c r="B177" s="22" t="str">
        <x:v>s6</x:v>
      </x:c>
      <x:c r="C177" s="24" t="n">
        <x:v>1</x:v>
      </x:c>
      <x:c r="D177" s="24" t="n">
        <x:v>1</x:v>
      </x:c>
      <x:c r="E177" s="22" t="n">
        <x:v>0</x:v>
      </x:c>
      <x:c r="F177" s="22" t="n">
        <x:v>0</x:v>
      </x:c>
      <x:c r="G177" s="22" t="n">
        <x:v>0</x:v>
      </x:c>
      <x:c r="H177" s="24" t="n">
        <x:v>2</x:v>
      </x:c>
      <x:c r="I177" s="24" t="n">
        <x:v>3</x:v>
      </x:c>
      <x:c r="J177" s="23" t="n">
        <x:f>IF(I177&gt;0,H177/I177,"NA")</x:f>
        <x:v>0.6666666666666666</x:v>
      </x:c>
      <x:c r="K177" s="23" t="n">
        <x:f>MAX(0,MIN(1,(E177-'总览与权重'!$B$18)/('总览与权重'!$C$18-'总览与权重'!$B$18)))</x:f>
        <x:v>0</x:v>
      </x:c>
      <x:c r="L177" s="23" t="n">
        <x:f>MAX(0,MIN(1,(F177-'总览与权重'!$B$19)/('总览与权重'!$C$19-'总览与权重'!$B$19)))</x:f>
        <x:v>0</x:v>
      </x:c>
      <x:c r="M177" s="23" t="n">
        <x:f>MAX(0,MIN(1,(G177-'总览与权重'!$B$20)/('总览与权重'!$C$20-'总览与权重'!$B$20)))</x:f>
        <x:v>0</x:v>
      </x:c>
      <x:c r="N177" s="23" t="n">
        <x:f>J177</x:f>
        <x:v>0.6666666666666666</x:v>
      </x:c>
      <x:c r="O177" s="22" t="str">
        <x:v>是</x:v>
      </x:c>
      <x:c r="P177" s="22" t="n">
        <x:v>-0.15771428571428572</x:v>
      </x:c>
      <x:c r="Q177" s="22" t="n">
        <x:v>-0.15771428571428572</x:v>
      </x:c>
      <x:c r="R177" s="22" t="n">
        <x:v>-0.15771428571428572</x:v>
      </x:c>
      <x:c r="S177" s="23" t="n">
        <x:f>IF(O177="是",MAX(0,MIN(1,(P177-'总览与权重'!$B$21)/('总览与权重'!$C$21-'总览与权重'!$B$21))),"NA")</x:f>
        <x:v>0.4934285714285714</x:v>
      </x:c>
      <x:c r="T177" s="23" t="n">
        <x:f>IF(O177="是",MAX(0,MIN(1,(Q177-'总览与权重'!$B$22)/('总览与权重'!$C$22-'总览与权重'!$B$22))),"NA")</x:f>
        <x:v>0.42114285714285715</x:v>
      </x:c>
      <x:c r="U177" s="23" t="n">
        <x:f>IF(O177="是",MAX(0,MIN(1,(R177-'总览与权重'!$B$23)/('总览与权重'!$C$23-'总览与权重'!$B$23))),"NA")</x:f>
        <x:v>0.42114285714285715</x:v>
      </x:c>
      <x:c r="V177" s="23" t="n">
        <x:f>IF(O177="是",J177,"NA")</x:f>
        <x:v>0.6666666666666666</x:v>
      </x:c>
      <x:c r="W177" s="22" t="str">
        <x:v>完整</x:v>
      </x:c>
      <x:c r="X177" s="22" t="str">
        <x:v>NA</x:v>
      </x:c>
      <x:c r="Y177" s="22" t="str">
        <x:v>NA</x:v>
      </x:c>
      <x:c r="Z177" s="22" t="n">
        <x:v>0</x:v>
      </x:c>
      <x:c r="AA177" s="22" t="n">
        <x:v>0</x:v>
      </x:c>
      <x:c r="AB177" s="22" t="str">
        <x:v>知识点理解与概念探究；正向评价（不计能力分）</x:v>
      </x:c>
      <x:c r="AC177" s="22" t="str">
        <x:v>NA</x:v>
      </x:c>
      <x:c r="AD177" s="22" t="str">
        <x:v>NA</x:v>
      </x:c>
      <x:c r="AE177" s="22" t="str">
        <x:v>["S1244"]</x:v>
      </x:c>
      <x:c r="AF177" s="22" t="str">
        <x:v>["2026春:问答记录导出0919_已更新.xlsx:问答记录:1871"]</x:v>
      </x:c>
      <x:c r="AG177" s="22" t="str">
        <x:v>evidence/student_evidence.jsonl；student_key=2026春:268520</x:v>
      </x:c>
      <x:c r="AH177" s="27" t="str">
        <x:v>同一锚点起止1条：未形成独立重复测量。</x:v>
      </x:c>
    </x:row>
    <x:row r="178" ht="23" customHeight="1">
      <x:c r="A178" s="21" t="str">
        <x:v>2026春:268525</x:v>
      </x:c>
      <x:c r="B178" s="22" t="str">
        <x:v>s3</x:v>
      </x:c>
      <x:c r="C178" s="24" t="n">
        <x:v>1</x:v>
      </x:c>
      <x:c r="D178" s="24" t="n">
        <x:v>1</x:v>
      </x:c>
      <x:c r="E178" s="22" t="n">
        <x:v>0.4736293681526947</x:v>
      </x:c>
      <x:c r="F178" s="22" t="n">
        <x:v>0.4736293681526947</x:v>
      </x:c>
      <x:c r="G178" s="22" t="n">
        <x:v>0.4736293681526947</x:v>
      </x:c>
      <x:c r="H178" s="24" t="n">
        <x:v>1</x:v>
      </x:c>
      <x:c r="I178" s="24" t="n">
        <x:v>2</x:v>
      </x:c>
      <x:c r="J178" s="23" t="n">
        <x:f>IF(I178&gt;0,H178/I178,"NA")</x:f>
        <x:v>0.5</x:v>
      </x:c>
      <x:c r="K178" s="23" t="n">
        <x:f>MAX(0,MIN(1,(E178-'总览与权重'!$B$18)/('总览与权重'!$C$18-'总览与权重'!$B$18)))</x:f>
        <x:v>0.03946911401272456</x:v>
      </x:c>
      <x:c r="L178" s="23" t="n">
        <x:f>MAX(0,MIN(1,(F178-'总览与权重'!$B$19)/('总览与权重'!$C$19-'总览与权重'!$B$19)))</x:f>
        <x:v>0.4736293681526947</x:v>
      </x:c>
      <x:c r="M178" s="23" t="n">
        <x:f>MAX(0,MIN(1,(G178-'总览与权重'!$B$20)/('总览与权重'!$C$20-'总览与权重'!$B$20)))</x:f>
        <x:v>0.4736293681526947</x:v>
      </x:c>
      <x:c r="N178" s="23" t="n">
        <x:f>J178</x:f>
        <x:v>0.5</x:v>
      </x:c>
      <x:c r="O178" s="22" t="str">
        <x:v>是</x:v>
      </x:c>
      <x:c r="P178" s="22" t="n">
        <x:v>0.30283499234500927</x:v>
      </x:c>
      <x:c r="Q178" s="22" t="n">
        <x:v>0.37854374043126154</x:v>
      </x:c>
      <x:c r="R178" s="22" t="n">
        <x:v>0.37854374043126154</x:v>
      </x:c>
      <x:c r="S178" s="23" t="n">
        <x:f>IF(O178="是",MAX(0,MIN(1,(P178-'总览与权重'!$B$21)/('总览与权重'!$C$21-'总览与权重'!$B$21))),"NA")</x:f>
        <x:v>0.5126181246810421</x:v>
      </x:c>
      <x:c r="T178" s="23" t="n">
        <x:f>IF(O178="是",MAX(0,MIN(1,(Q178-'总览与权重'!$B$22)/('总览与权重'!$C$22-'总览与权重'!$B$22))),"NA")</x:f>
        <x:v>0.6892718702156307</x:v>
      </x:c>
      <x:c r="U178" s="23" t="n">
        <x:f>IF(O178="是",MAX(0,MIN(1,(R178-'总览与权重'!$B$23)/('总览与权重'!$C$23-'总览与权重'!$B$23))),"NA")</x:f>
        <x:v>0.6892718702156307</x:v>
      </x:c>
      <x:c r="V178" s="23" t="n">
        <x:f>IF(O178="是",J178,"NA")</x:f>
        <x:v>0.5</x:v>
      </x:c>
      <x:c r="W178" s="22" t="str">
        <x:v>完整</x:v>
      </x:c>
      <x:c r="X178" s="22" t="str">
        <x:v>NA</x:v>
      </x:c>
      <x:c r="Y178" s="22" t="str">
        <x:v>NA</x:v>
      </x:c>
      <x:c r="Z178" s="22" t="n">
        <x:v>0.05</x:v>
      </x:c>
      <x:c r="AA178" s="22" t="n">
        <x:v>0.547619047619</x:v>
      </x:c>
      <x:c r="AB178" s="22" t="str">
        <x:v>知识点理解与概念探究；正向评价（不计能力分）</x:v>
      </x:c>
      <x:c r="AC178" s="22" t="str">
        <x:v>NA</x:v>
      </x:c>
      <x:c r="AD178" s="22" t="str">
        <x:v>NA</x:v>
      </x:c>
      <x:c r="AE178" s="22" t="str">
        <x:v>["S1247"]</x:v>
      </x:c>
      <x:c r="AF178" s="22" t="str">
        <x:v>["2026春:问答记录导出0919_已更新.xlsx:问答记录:1874"]</x:v>
      </x:c>
      <x:c r="AG178" s="22" t="str">
        <x:v>evidence/student_evidence.jsonl；student_key=2026春:268525</x:v>
      </x:c>
      <x:c r="AH178" s="27" t="str"/>
    </x:row>
    <x:row r="179" ht="23" customHeight="1">
      <x:c r="A179" s="21" t="str">
        <x:v>2026春:268538</x:v>
      </x:c>
      <x:c r="B179" s="22" t="str">
        <x:v>s3</x:v>
      </x:c>
      <x:c r="C179" s="24" t="n">
        <x:v>1</x:v>
      </x:c>
      <x:c r="D179" s="24" t="n">
        <x:v>1</x:v>
      </x:c>
      <x:c r="E179" s="22" t="n">
        <x:v>0</x:v>
      </x:c>
      <x:c r="F179" s="22" t="n">
        <x:v>0</x:v>
      </x:c>
      <x:c r="G179" s="22" t="n">
        <x:v>0</x:v>
      </x:c>
      <x:c r="H179" s="24" t="n">
        <x:v>1</x:v>
      </x:c>
      <x:c r="I179" s="24" t="n">
        <x:v>2</x:v>
      </x:c>
      <x:c r="J179" s="23" t="n">
        <x:f>IF(I179&gt;0,H179/I179,"NA")</x:f>
        <x:v>0.5</x:v>
      </x:c>
      <x:c r="K179" s="23" t="n">
        <x:f>MAX(0,MIN(1,(E179-'总览与权重'!$B$18)/('总览与权重'!$C$18-'总览与权重'!$B$18)))</x:f>
        <x:v>0</x:v>
      </x:c>
      <x:c r="L179" s="23" t="n">
        <x:f>MAX(0,MIN(1,(F179-'总览与权重'!$B$19)/('总览与权重'!$C$19-'总览与权重'!$B$19)))</x:f>
        <x:v>0</x:v>
      </x:c>
      <x:c r="M179" s="23" t="n">
        <x:f>MAX(0,MIN(1,(G179-'总览与权重'!$B$20)/('总览与权重'!$C$20-'总览与权重'!$B$20)))</x:f>
        <x:v>0</x:v>
      </x:c>
      <x:c r="N179" s="23" t="n">
        <x:f>J179</x:f>
        <x:v>0.5</x:v>
      </x:c>
      <x:c r="O179" s="22" t="str">
        <x:v>是</x:v>
      </x:c>
      <x:c r="P179" s="22" t="n">
        <x:v>-0.13683228565235026</x:v>
      </x:c>
      <x:c r="Q179" s="22" t="n">
        <x:v>-0.13683228565235026</x:v>
      </x:c>
      <x:c r="R179" s="22" t="n">
        <x:v>-0.13683228565235026</x:v>
      </x:c>
      <x:c r="S179" s="23" t="n">
        <x:f>IF(O179="是",MAX(0,MIN(1,(P179-'总览与权重'!$B$21)/('总览与权重'!$C$21-'总览与权重'!$B$21))),"NA")</x:f>
        <x:v>0.4942986547644854</x:v>
      </x:c>
      <x:c r="T179" s="23" t="n">
        <x:f>IF(O179="是",MAX(0,MIN(1,(Q179-'总览与权重'!$B$22)/('总览与权重'!$C$22-'总览与权重'!$B$22))),"NA")</x:f>
        <x:v>0.43158385717382486</x:v>
      </x:c>
      <x:c r="U179" s="23" t="n">
        <x:f>IF(O179="是",MAX(0,MIN(1,(R179-'总览与权重'!$B$23)/('总览与权重'!$C$23-'总览与权重'!$B$23))),"NA")</x:f>
        <x:v>0.43158385717382486</x:v>
      </x:c>
      <x:c r="V179" s="23" t="n">
        <x:f>IF(O179="是",J179,"NA")</x:f>
        <x:v>0.5</x:v>
      </x:c>
      <x:c r="W179" s="22" t="str">
        <x:v>完整</x:v>
      </x:c>
      <x:c r="X179" s="22" t="str">
        <x:v>NA</x:v>
      </x:c>
      <x:c r="Y179" s="22" t="str">
        <x:v>NA</x:v>
      </x:c>
      <x:c r="Z179" s="22" t="n">
        <x:v>0</x:v>
      </x:c>
      <x:c r="AA179" s="22" t="n">
        <x:v>0</x:v>
      </x:c>
      <x:c r="AB179" s="22" t="str">
        <x:v>知识点理解与概念探究；正向评价（不计能力分）</x:v>
      </x:c>
      <x:c r="AC179" s="22" t="str">
        <x:v>NA</x:v>
      </x:c>
      <x:c r="AD179" s="22" t="str">
        <x:v>NA</x:v>
      </x:c>
      <x:c r="AE179" s="22" t="str">
        <x:v>["S1276"]</x:v>
      </x:c>
      <x:c r="AF179" s="22" t="str">
        <x:v>["2026春:问答记录导出0919_已更新.xlsx:问答记录:1903"]</x:v>
      </x:c>
      <x:c r="AG179" s="22" t="str">
        <x:v>evidence/student_evidence.jsonl；student_key=2026春:268538</x:v>
      </x:c>
      <x:c r="AH179" s="27" t="str"/>
    </x:row>
  </x:sheetData>
  <x:pageMargins left="0.7" right="0.7" top="0.75" bottom="0.75" header="0.3" footer="0.3"/>
  <x:tableParts count="1">
    <x:tablePart xmlns:r="http://schemas.openxmlformats.org/officeDocument/2006/relationships" r:id="R916cf8c009504d61"/>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8" hidden="0" customWidth="1"/>
    <x:col min="3" max="3" width="28" hidden="0" customWidth="1"/>
    <x:col min="4" max="4" width="24" hidden="0" customWidth="1"/>
    <x:col min="5" max="5" width="12" hidden="0" customWidth="1"/>
    <x:col min="6" max="6" width="16" hidden="0" customWidth="1"/>
    <x:col min="7" max="7" width="16" hidden="0" customWidth="1"/>
    <x:col min="8" max="8" width="17" hidden="0" customWidth="1"/>
    <x:col min="9" max="9" width="18" hidden="0" customWidth="1"/>
    <x:col min="10" max="10" width="17" hidden="0" customWidth="1"/>
    <x:col min="11" max="11" width="18" hidden="0" customWidth="1"/>
    <x:col min="12" max="12" width="15" hidden="0" customWidth="1"/>
    <x:col min="13" max="13" width="80" hidden="0" customWidth="1"/>
  </x:cols>
  <x:sheetData>
    <x:row r="1">
      <x:c r="A1" s="1"/>
      <x:c r="B1" s="1"/>
      <x:c r="C1" s="1"/>
      <x:c r="D1" s="1"/>
      <x:c r="E1" s="1"/>
      <x:c r="F1" s="1"/>
      <x:c r="G1" s="1"/>
      <x:c r="H1" s="1"/>
      <x:c r="I1" s="1"/>
      <x:c r="J1" s="1"/>
      <x:c r="K1" s="1"/>
      <x:c r="L1" s="1"/>
    </x:row>
    <x:row r="2">
      <x:c r="A2" s="2" t="str">
        <x:v>稳健性结果</x:v>
      </x:c>
      <x:c r="B2" s="1"/>
      <x:c r="C2" s="1"/>
      <x:c r="D2" s="1"/>
      <x:c r="E2" s="1"/>
      <x:c r="F2" s="1"/>
      <x:c r="G2" s="1"/>
      <x:c r="H2" s="1"/>
      <x:c r="I2" s="1"/>
      <x:c r="J2" s="1"/>
      <x:c r="K2" s="1"/>
      <x:c r="L2" s="1"/>
    </x:row>
    <x:row r="3">
      <x:c r="A3" s="3" t="str">
        <x:v>当前权重与固定样本快照；改权重需重新计算。指标相关性、删减与凹变换均在共同样本比较。</x:v>
      </x:c>
      <x:c r="B3" s="1"/>
      <x:c r="C3" s="1"/>
      <x:c r="D3" s="1"/>
      <x:c r="E3" s="1"/>
      <x:c r="F3" s="1"/>
      <x:c r="G3" s="1"/>
      <x:c r="H3" s="1"/>
      <x:c r="I3" s="1"/>
      <x:c r="J3" s="1"/>
      <x:c r="K3" s="1"/>
      <x:c r="L3" s="1"/>
    </x:row>
    <x:row r="5" ht="42" customHeight="1">
      <x:c r="A5" s="9" t="str">
        <x:v>范围</x:v>
      </x:c>
      <x:c r="B5" s="9" t="str">
        <x:v>检验</x:v>
      </x:c>
      <x:c r="C5" s="9" t="str">
        <x:v>方案/因素</x:v>
      </x:c>
      <x:c r="D5" s="9" t="str">
        <x:v>对照/扰动</x:v>
      </x:c>
      <x:c r="E5" s="9" t="str">
        <x:v>共同N</x:v>
      </x:c>
      <x:c r="F5" s="9" t="str">
        <x:v>Spearman</x:v>
      </x:c>
      <x:c r="G5" s="9" t="str">
        <x:v>Kendall τ-b</x:v>
      </x:c>
      <x:c r="H5" s="9" t="str">
        <x:v>前20严格J</x:v>
      </x:c>
      <x:c r="I5" s="9" t="str">
        <x:v>前20含边界J</x:v>
      </x:c>
      <x:c r="J5" s="9" t="str">
        <x:v>后20严格J</x:v>
      </x:c>
      <x:c r="K5" s="9" t="str">
        <x:v>后20含边界J</x:v>
      </x:c>
      <x:c r="L5" s="9" t="str">
        <x:v>Pearson</x:v>
      </x:c>
      <x:c r="M5" s="9" t="str">
        <x:v>解释</x:v>
      </x:c>
    </x:row>
    <x:row r="6" ht="23" customHeight="1">
      <x:c r="A6" s="21" t="str">
        <x:v>全量观察(探索)</x:v>
      </x:c>
      <x:c r="B6" s="22" t="str">
        <x:v>方案对比</x:v>
      </x:c>
      <x:c r="C6" s="22" t="str">
        <x:v>均衡型</x:v>
      </x:c>
      <x:c r="D6" s="22" t="str">
        <x:v>突破优先型</x:v>
      </x:c>
      <x:c r="E6" s="24" t="n">
        <x:v>174</x:v>
      </x:c>
      <x:c r="F6" s="22" t="n">
        <x:v>0.9190034460234553</x:v>
      </x:c>
      <x:c r="G6" s="22" t="n">
        <x:v>0.8176775936855577</x:v>
      </x:c>
      <x:c r="H6" s="22" t="n">
        <x:v>0.7837837837837838</x:v>
      </x:c>
      <x:c r="I6" s="22" t="n">
        <x:v>0.8461538461538461</x:v>
      </x:c>
      <x:c r="J6" s="22" t="n">
        <x:v>0.9428571428571428</x:v>
      </x:c>
      <x:c r="K6" s="22" t="n">
        <x:v>0.9444444444444444</x:v>
      </x:c>
      <x:c r="L6" s="22" t="str">
        <x:v>NA</x:v>
      </x:c>
      <x:c r="M6" s="22" t="str"/>
    </x:row>
    <x:row r="7" ht="23" customHeight="1">
      <x:c r="A7" s="21" t="str">
        <x:v>全量观察(探索)</x:v>
      </x:c>
      <x:c r="B7" s="22" t="str">
        <x:v>方案对比</x:v>
      </x:c>
      <x:c r="C7" s="22" t="str">
        <x:v>均衡型</x:v>
      </x:c>
      <x:c r="D7" s="22" t="str">
        <x:v>质量导向型（教学诊断对照）</x:v>
      </x:c>
      <x:c r="E7" s="24" t="n">
        <x:v>174</x:v>
      </x:c>
      <x:c r="F7" s="22" t="n">
        <x:v>0.987120689297016</x:v>
      </x:c>
      <x:c r="G7" s="22" t="n">
        <x:v>0.9563393301571499</x:v>
      </x:c>
      <x:c r="H7" s="22" t="n">
        <x:v>1</x:v>
      </x:c>
      <x:c r="I7" s="22" t="n">
        <x:v>1</x:v>
      </x:c>
      <x:c r="J7" s="22" t="n">
        <x:v>1</x:v>
      </x:c>
      <x:c r="K7" s="22" t="n">
        <x:v>0.9444444444444444</x:v>
      </x:c>
      <x:c r="L7" s="22" t="str">
        <x:v>NA</x:v>
      </x:c>
      <x:c r="M7" s="22" t="str"/>
    </x:row>
    <x:row r="8" ht="23" customHeight="1">
      <x:c r="A8" s="21" t="str">
        <x:v>全量观察(探索)</x:v>
      </x:c>
      <x:c r="B8" s="22" t="str">
        <x:v>方案对比</x:v>
      </x:c>
      <x:c r="C8" s="22" t="str">
        <x:v>均衡型</x:v>
      </x:c>
      <x:c r="D8" s="22" t="str">
        <x:v>分组熵权型</x:v>
      </x:c>
      <x:c r="E8" s="24" t="n">
        <x:v>174</x:v>
      </x:c>
      <x:c r="F8" s="22" t="n">
        <x:v>0.991665377966223</x:v>
      </x:c>
      <x:c r="G8" s="22" t="n">
        <x:v>0.9685700063997724</x:v>
      </x:c>
      <x:c r="H8" s="22" t="n">
        <x:v>1</x:v>
      </x:c>
      <x:c r="I8" s="22" t="n">
        <x:v>1</x:v>
      </x:c>
      <x:c r="J8" s="22" t="n">
        <x:v>0.9428571428571428</x:v>
      </x:c>
      <x:c r="K8" s="22" t="n">
        <x:v>0.9444444444444444</x:v>
      </x:c>
      <x:c r="L8" s="22" t="str">
        <x:v>NA</x:v>
      </x:c>
      <x:c r="M8" s="22" t="str"/>
    </x:row>
    <x:row r="9" ht="23" customHeight="1">
      <x:c r="A9" s="21" t="str">
        <x:v>全量观察(探索)</x:v>
      </x:c>
      <x:c r="B9" s="22" t="str">
        <x:v>方案对比</x:v>
      </x:c>
      <x:c r="C9" s="22" t="str">
        <x:v>突破优先型</x:v>
      </x:c>
      <x:c r="D9" s="22" t="str">
        <x:v>质量导向型（教学诊断对照）</x:v>
      </x:c>
      <x:c r="E9" s="24" t="n">
        <x:v>174</x:v>
      </x:c>
      <x:c r="F9" s="22" t="n">
        <x:v>0.8843193238131071</x:v>
      </x:c>
      <x:c r="G9" s="22" t="n">
        <x:v>0.7740169238427077</x:v>
      </x:c>
      <x:c r="H9" s="22" t="n">
        <x:v>0.7837837837837838</x:v>
      </x:c>
      <x:c r="I9" s="22" t="n">
        <x:v>0.8461538461538461</x:v>
      </x:c>
      <x:c r="J9" s="22" t="n">
        <x:v>0.9428571428571428</x:v>
      </x:c>
      <x:c r="K9" s="22" t="n">
        <x:v>0.8918918918918919</x:v>
      </x:c>
      <x:c r="L9" s="22" t="str">
        <x:v>NA</x:v>
      </x:c>
      <x:c r="M9" s="22" t="str"/>
    </x:row>
    <x:row r="10" ht="23" customHeight="1">
      <x:c r="A10" s="21" t="str">
        <x:v>全量观察(探索)</x:v>
      </x:c>
      <x:c r="B10" s="22" t="str">
        <x:v>方案对比</x:v>
      </x:c>
      <x:c r="C10" s="22" t="str">
        <x:v>突破优先型</x:v>
      </x:c>
      <x:c r="D10" s="22" t="str">
        <x:v>分组熵权型</x:v>
      </x:c>
      <x:c r="E10" s="24" t="n">
        <x:v>174</x:v>
      </x:c>
      <x:c r="F10" s="22" t="n">
        <x:v>0.9407967169298308</x:v>
      </x:c>
      <x:c r="G10" s="22" t="n">
        <x:v>0.8491075872857853</x:v>
      </x:c>
      <x:c r="H10" s="22" t="n">
        <x:v>0.7837837837837838</x:v>
      </x:c>
      <x:c r="I10" s="22" t="n">
        <x:v>0.8461538461538461</x:v>
      </x:c>
      <x:c r="J10" s="22" t="n">
        <x:v>1</x:v>
      </x:c>
      <x:c r="K10" s="22" t="n">
        <x:v>1</x:v>
      </x:c>
      <x:c r="L10" s="22" t="str">
        <x:v>NA</x:v>
      </x:c>
      <x:c r="M10" s="22" t="str"/>
    </x:row>
    <x:row r="11" ht="23" customHeight="1">
      <x:c r="A11" s="21" t="str">
        <x:v>全量观察(探索)</x:v>
      </x:c>
      <x:c r="B11" s="22" t="str">
        <x:v>方案对比</x:v>
      </x:c>
      <x:c r="C11" s="22" t="str">
        <x:v>质量导向型（教学诊断对照）</x:v>
      </x:c>
      <x:c r="D11" s="22" t="str">
        <x:v>分组熵权型</x:v>
      </x:c>
      <x:c r="E11" s="24" t="n">
        <x:v>174</x:v>
      </x:c>
      <x:c r="F11" s="22" t="n">
        <x:v>0.9759493875403056</x:v>
      </x:c>
      <x:c r="G11" s="22" t="n">
        <x:v>0.9249093365569223</x:v>
      </x:c>
      <x:c r="H11" s="22" t="n">
        <x:v>1</x:v>
      </x:c>
      <x:c r="I11" s="22" t="n">
        <x:v>1</x:v>
      </x:c>
      <x:c r="J11" s="22" t="n">
        <x:v>0.9428571428571428</x:v>
      </x:c>
      <x:c r="K11" s="22" t="n">
        <x:v>0.8918918918918919</x:v>
      </x:c>
      <x:c r="L11" s="22" t="str">
        <x:v>NA</x:v>
      </x:c>
      <x:c r="M11" s="22" t="str"/>
    </x:row>
    <x:row r="12" ht="23" customHeight="1">
      <x:c r="A12" s="21" t="str">
        <x:v>全量观察(探索)</x:v>
      </x:c>
      <x:c r="B12" s="22" t="str">
        <x:v>权重±10%</x:v>
      </x:c>
      <x:c r="C12" s="22" t="str">
        <x:v>均衡型</x:v>
      </x:c>
      <x:c r="D12" s="22" t="str">
        <x:v>CTQ合计 ×0.9</x:v>
      </x:c>
      <x:c r="E12" s="24" t="n">
        <x:v>174</x:v>
      </x:c>
      <x:c r="F12" s="22" t="n">
        <x:v>0.9999976918798025</x:v>
      </x:c>
      <x:c r="G12" s="22" t="n">
        <x:v>0.9998577828343881</x:v>
      </x:c>
      <x:c r="H12" s="22" t="n">
        <x:v>1</x:v>
      </x:c>
      <x:c r="I12" s="22" t="n">
        <x:v>1</x:v>
      </x:c>
      <x:c r="J12" s="22" t="n">
        <x:v>1</x:v>
      </x:c>
      <x:c r="K12" s="22" t="n">
        <x:v>1</x:v>
      </x:c>
      <x:c r="L12" s="22" t="str">
        <x:v>NA</x:v>
      </x:c>
      <x:c r="M12" s="22" t="str">
        <x:v>扰动后重新归一化</x:v>
      </x:c>
    </x:row>
    <x:row r="13" ht="23" customHeight="1">
      <x:c r="A13" s="21" t="str">
        <x:v>全量观察(探索)</x:v>
      </x:c>
      <x:c r="B13" s="22" t="str">
        <x:v>权重±10%</x:v>
      </x:c>
      <x:c r="C13" s="22" t="str">
        <x:v>均衡型</x:v>
      </x:c>
      <x:c r="D13" s="22" t="str">
        <x:v>CTQ合计 ×1.1</x:v>
      </x:c>
      <x:c r="E13" s="24" t="n">
        <x:v>174</x:v>
      </x:c>
      <x:c r="F13" s="22" t="n">
        <x:v>0.9999930756394071</x:v>
      </x:c>
      <x:c r="G13" s="22" t="n">
        <x:v>0.9995733485031643</x:v>
      </x:c>
      <x:c r="H13" s="22" t="n">
        <x:v>1</x:v>
      </x:c>
      <x:c r="I13" s="22" t="n">
        <x:v>1</x:v>
      </x:c>
      <x:c r="J13" s="22" t="n">
        <x:v>1</x:v>
      </x:c>
      <x:c r="K13" s="22" t="n">
        <x:v>1</x:v>
      </x:c>
      <x:c r="L13" s="22" t="str">
        <x:v>NA</x:v>
      </x:c>
      <x:c r="M13" s="22" t="str">
        <x:v>扰动后重新归一化</x:v>
      </x:c>
    </x:row>
    <x:row r="14" ht="23" customHeight="1">
      <x:c r="A14" s="21" t="str">
        <x:v>全量观察(探索)</x:v>
      </x:c>
      <x:c r="B14" s="22" t="str">
        <x:v>权重±10%</x:v>
      </x:c>
      <x:c r="C14" s="22" t="str">
        <x:v>均衡型</x:v>
      </x:c>
      <x:c r="D14" s="22" t="str">
        <x:v>CTQ均值 ×0.9</x:v>
      </x:c>
      <x:c r="E14" s="24" t="n">
        <x:v>174</x:v>
      </x:c>
      <x:c r="F14" s="22" t="n">
        <x:v>0.9980380978319828</x:v>
      </x:c>
      <x:c r="G14" s="22" t="n">
        <x:v>0.9901870155727795</x:v>
      </x:c>
      <x:c r="H14" s="22" t="n">
        <x:v>1</x:v>
      </x:c>
      <x:c r="I14" s="22" t="n">
        <x:v>1</x:v>
      </x:c>
      <x:c r="J14" s="22" t="n">
        <x:v>1</x:v>
      </x:c>
      <x:c r="K14" s="22" t="n">
        <x:v>1</x:v>
      </x:c>
      <x:c r="L14" s="22" t="str">
        <x:v>NA</x:v>
      </x:c>
      <x:c r="M14" s="22" t="str">
        <x:v>扰动后重新归一化</x:v>
      </x:c>
    </x:row>
    <x:row r="15" ht="23" customHeight="1">
      <x:c r="A15" s="21" t="str">
        <x:v>全量观察(探索)</x:v>
      </x:c>
      <x:c r="B15" s="22" t="str">
        <x:v>权重±10%</x:v>
      </x:c>
      <x:c r="C15" s="22" t="str">
        <x:v>均衡型</x:v>
      </x:c>
      <x:c r="D15" s="22" t="str">
        <x:v>CTQ均值 ×1.1</x:v>
      </x:c>
      <x:c r="E15" s="24" t="n">
        <x:v>174</x:v>
      </x:c>
      <x:c r="F15" s="22" t="n">
        <x:v>0.9942204670250409</x:v>
      </x:c>
      <x:c r="G15" s="22" t="n">
        <x:v>0.9803740311455592</x:v>
      </x:c>
      <x:c r="H15" s="22" t="n">
        <x:v>1</x:v>
      </x:c>
      <x:c r="I15" s="22" t="n">
        <x:v>1</x:v>
      </x:c>
      <x:c r="J15" s="22" t="n">
        <x:v>1</x:v>
      </x:c>
      <x:c r="K15" s="22" t="n">
        <x:v>1</x:v>
      </x:c>
      <x:c r="L15" s="22" t="str">
        <x:v>NA</x:v>
      </x:c>
      <x:c r="M15" s="22" t="str">
        <x:v>扰动后重新归一化</x:v>
      </x:c>
    </x:row>
    <x:row r="16" ht="23" customHeight="1">
      <x:c r="A16" s="21" t="str">
        <x:v>全量观察(探索)</x:v>
      </x:c>
      <x:c r="B16" s="22" t="str">
        <x:v>权重±10%</x:v>
      </x:c>
      <x:c r="C16" s="22" t="str">
        <x:v>均衡型</x:v>
      </x:c>
      <x:c r="D16" s="22" t="str">
        <x:v>CTQ最高 ×0.9</x:v>
      </x:c>
      <x:c r="E16" s="24" t="n">
        <x:v>174</x:v>
      </x:c>
      <x:c r="F16" s="22" t="n">
        <x:v>0.9981258063994942</x:v>
      </x:c>
      <x:c r="G16" s="22" t="n">
        <x:v>0.9918936215601222</x:v>
      </x:c>
      <x:c r="H16" s="22" t="n">
        <x:v>1</x:v>
      </x:c>
      <x:c r="I16" s="22" t="n">
        <x:v>1</x:v>
      </x:c>
      <x:c r="J16" s="22" t="n">
        <x:v>1</x:v>
      </x:c>
      <x:c r="K16" s="22" t="n">
        <x:v>1</x:v>
      </x:c>
      <x:c r="L16" s="22" t="str">
        <x:v>NA</x:v>
      </x:c>
      <x:c r="M16" s="22" t="str">
        <x:v>扰动后重新归一化</x:v>
      </x:c>
    </x:row>
    <x:row r="17" ht="23" customHeight="1">
      <x:c r="A17" s="21" t="str">
        <x:v>全量观察(探索)</x:v>
      </x:c>
      <x:c r="B17" s="22" t="str">
        <x:v>权重±10%</x:v>
      </x:c>
      <x:c r="C17" s="22" t="str">
        <x:v>均衡型</x:v>
      </x:c>
      <x:c r="D17" s="22" t="str">
        <x:v>CTQ最高 ×1.1</x:v>
      </x:c>
      <x:c r="E17" s="24" t="n">
        <x:v>174</x:v>
      </x:c>
      <x:c r="F17" s="22" t="n">
        <x:v>0.994268937549192</x:v>
      </x:c>
      <x:c r="G17" s="22" t="n">
        <x:v>0.9812273341392305</x:v>
      </x:c>
      <x:c r="H17" s="22" t="n">
        <x:v>1</x:v>
      </x:c>
      <x:c r="I17" s="22" t="n">
        <x:v>1</x:v>
      </x:c>
      <x:c r="J17" s="22" t="n">
        <x:v>1</x:v>
      </x:c>
      <x:c r="K17" s="22" t="n">
        <x:v>1</x:v>
      </x:c>
      <x:c r="L17" s="22" t="str">
        <x:v>NA</x:v>
      </x:c>
      <x:c r="M17" s="22" t="str">
        <x:v>扰动后重新归一化</x:v>
      </x:c>
    </x:row>
    <x:row r="18" ht="23" customHeight="1">
      <x:c r="A18" s="21" t="str">
        <x:v>全量观察(探索)</x:v>
      </x:c>
      <x:c r="B18" s="22" t="str">
        <x:v>权重±10%</x:v>
      </x:c>
      <x:c r="C18" s="22" t="str">
        <x:v>均衡型</x:v>
      </x:c>
      <x:c r="D18" s="22" t="str">
        <x:v>QAPro质量比例 ×0.9</x:v>
      </x:c>
      <x:c r="E18" s="24" t="n">
        <x:v>174</x:v>
      </x:c>
      <x:c r="F18" s="22" t="n">
        <x:v>0.9940681310919949</x:v>
      </x:c>
      <x:c r="G18" s="22" t="n">
        <x:v>0.9775296878333214</x:v>
      </x:c>
      <x:c r="H18" s="22" t="n">
        <x:v>1</x:v>
      </x:c>
      <x:c r="I18" s="22" t="n">
        <x:v>1</x:v>
      </x:c>
      <x:c r="J18" s="22" t="n">
        <x:v>0.9428571428571428</x:v>
      </x:c>
      <x:c r="K18" s="22" t="n">
        <x:v>0.9444444444444444</x:v>
      </x:c>
      <x:c r="L18" s="22" t="str">
        <x:v>NA</x:v>
      </x:c>
      <x:c r="M18" s="22" t="str">
        <x:v>扰动后重新归一化</x:v>
      </x:c>
    </x:row>
    <x:row r="19" ht="23" customHeight="1">
      <x:c r="A19" s="21" t="str">
        <x:v>全量观察(探索)</x:v>
      </x:c>
      <x:c r="B19" s="22" t="str">
        <x:v>权重±10%</x:v>
      </x:c>
      <x:c r="C19" s="22" t="str">
        <x:v>均衡型</x:v>
      </x:c>
      <x:c r="D19" s="22" t="str">
        <x:v>QAPro质量比例 ×1.1</x:v>
      </x:c>
      <x:c r="E19" s="24" t="n">
        <x:v>174</x:v>
      </x:c>
      <x:c r="F19" s="22" t="n">
        <x:v>0.9919192711879665</x:v>
      </x:c>
      <x:c r="G19" s="22" t="n">
        <x:v>0.9708454810495626</x:v>
      </x:c>
      <x:c r="H19" s="22" t="n">
        <x:v>1</x:v>
      </x:c>
      <x:c r="I19" s="22" t="n">
        <x:v>1</x:v>
      </x:c>
      <x:c r="J19" s="22" t="n">
        <x:v>1</x:v>
      </x:c>
      <x:c r="K19" s="22" t="n">
        <x:v>1</x:v>
      </x:c>
      <x:c r="L19" s="22" t="str">
        <x:v>NA</x:v>
      </x:c>
      <x:c r="M19" s="22" t="str">
        <x:v>扰动后重新归一化</x:v>
      </x:c>
    </x:row>
    <x:row r="20" ht="23" customHeight="1">
      <x:c r="A20" s="21" t="str">
        <x:v>全量观察(探索)</x:v>
      </x:c>
      <x:c r="B20" s="22" t="str">
        <x:v>权重±10%</x:v>
      </x:c>
      <x:c r="C20" s="22" t="str">
        <x:v>突破优先型</x:v>
      </x:c>
      <x:c r="D20" s="22" t="str">
        <x:v>CTQ合计 ×0.9</x:v>
      </x:c>
      <x:c r="E20" s="24" t="n">
        <x:v>174</x:v>
      </x:c>
      <x:c r="F20" s="22" t="n">
        <x:v>0.9999815350384188</x:v>
      </x:c>
      <x:c r="G20" s="22" t="n">
        <x:v>0.9992889141719405</x:v>
      </x:c>
      <x:c r="H20" s="22" t="n">
        <x:v>1</x:v>
      </x:c>
      <x:c r="I20" s="22" t="n">
        <x:v>1</x:v>
      </x:c>
      <x:c r="J20" s="22" t="n">
        <x:v>1</x:v>
      </x:c>
      <x:c r="K20" s="22" t="n">
        <x:v>1</x:v>
      </x:c>
      <x:c r="L20" s="22" t="str">
        <x:v>NA</x:v>
      </x:c>
      <x:c r="M20" s="22" t="str">
        <x:v>扰动后重新归一化</x:v>
      </x:c>
    </x:row>
    <x:row r="21" ht="23" customHeight="1">
      <x:c r="A21" s="21" t="str">
        <x:v>全量观察(探索)</x:v>
      </x:c>
      <x:c r="B21" s="22" t="str">
        <x:v>权重±10%</x:v>
      </x:c>
      <x:c r="C21" s="22" t="str">
        <x:v>突破优先型</x:v>
      </x:c>
      <x:c r="D21" s="22" t="str">
        <x:v>CTQ合计 ×1.1</x:v>
      </x:c>
      <x:c r="E21" s="24" t="n">
        <x:v>174</x:v>
      </x:c>
      <x:c r="F21" s="22" t="n">
        <x:v>1</x:v>
      </x:c>
      <x:c r="G21" s="22" t="n">
        <x:v>0.9999999999999999</x:v>
      </x:c>
      <x:c r="H21" s="22" t="n">
        <x:v>1</x:v>
      </x:c>
      <x:c r="I21" s="22" t="n">
        <x:v>1</x:v>
      </x:c>
      <x:c r="J21" s="22" t="n">
        <x:v>1</x:v>
      </x:c>
      <x:c r="K21" s="22" t="n">
        <x:v>1</x:v>
      </x:c>
      <x:c r="L21" s="22" t="str">
        <x:v>NA</x:v>
      </x:c>
      <x:c r="M21" s="22" t="str">
        <x:v>扰动后重新归一化</x:v>
      </x:c>
    </x:row>
    <x:row r="22" ht="23" customHeight="1">
      <x:c r="A22" s="21" t="str">
        <x:v>全量观察(探索)</x:v>
      </x:c>
      <x:c r="B22" s="22" t="str">
        <x:v>权重±10%</x:v>
      </x:c>
      <x:c r="C22" s="22" t="str">
        <x:v>突破优先型</x:v>
      </x:c>
      <x:c r="D22" s="22" t="str">
        <x:v>CTQ均值 ×0.9</x:v>
      </x:c>
      <x:c r="E22" s="24" t="n">
        <x:v>174</x:v>
      </x:c>
      <x:c r="F22" s="22" t="n">
        <x:v>0.9998984427113028</x:v>
      </x:c>
      <x:c r="G22" s="22" t="n">
        <x:v>0.9967290051909266</x:v>
      </x:c>
      <x:c r="H22" s="22" t="n">
        <x:v>1</x:v>
      </x:c>
      <x:c r="I22" s="22" t="n">
        <x:v>1</x:v>
      </x:c>
      <x:c r="J22" s="22" t="n">
        <x:v>1</x:v>
      </x:c>
      <x:c r="K22" s="22" t="n">
        <x:v>1</x:v>
      </x:c>
      <x:c r="L22" s="22" t="str">
        <x:v>NA</x:v>
      </x:c>
      <x:c r="M22" s="22" t="str">
        <x:v>扰动后重新归一化</x:v>
      </x:c>
    </x:row>
    <x:row r="23" ht="23" customHeight="1">
      <x:c r="A23" s="21" t="str">
        <x:v>全量观察(探索)</x:v>
      </x:c>
      <x:c r="B23" s="22" t="str">
        <x:v>权重±10%</x:v>
      </x:c>
      <x:c r="C23" s="22" t="str">
        <x:v>突破优先型</x:v>
      </x:c>
      <x:c r="D23" s="22" t="str">
        <x:v>CTQ均值 ×1.1</x:v>
      </x:c>
      <x:c r="E23" s="24" t="n">
        <x:v>174</x:v>
      </x:c>
      <x:c r="F23" s="22" t="n">
        <x:v>0.9998869021103144</x:v>
      </x:c>
      <x:c r="G23" s="22" t="n">
        <x:v>0.9970134395221503</x:v>
      </x:c>
      <x:c r="H23" s="22" t="n">
        <x:v>0.9696969696969697</x:v>
      </x:c>
      <x:c r="I23" s="22" t="n">
        <x:v>0.972972972972973</x:v>
      </x:c>
      <x:c r="J23" s="22" t="n">
        <x:v>1</x:v>
      </x:c>
      <x:c r="K23" s="22" t="n">
        <x:v>1</x:v>
      </x:c>
      <x:c r="L23" s="22" t="str">
        <x:v>NA</x:v>
      </x:c>
      <x:c r="M23" s="22" t="str">
        <x:v>扰动后重新归一化</x:v>
      </x:c>
    </x:row>
    <x:row r="24" ht="23" customHeight="1">
      <x:c r="A24" s="21" t="str">
        <x:v>全量观察(探索)</x:v>
      </x:c>
      <x:c r="B24" s="22" t="str">
        <x:v>权重±10%</x:v>
      </x:c>
      <x:c r="C24" s="22" t="str">
        <x:v>突破优先型</x:v>
      </x:c>
      <x:c r="D24" s="22" t="str">
        <x:v>CTQ最高 ×0.9</x:v>
      </x:c>
      <x:c r="E24" s="24" t="n">
        <x:v>174</x:v>
      </x:c>
      <x:c r="F24" s="22" t="n">
        <x:v>0.997834983254588</x:v>
      </x:c>
      <x:c r="G24" s="22" t="n">
        <x:v>0.987058237929318</x:v>
      </x:c>
      <x:c r="H24" s="22" t="n">
        <x:v>0.9696969696969697</x:v>
      </x:c>
      <x:c r="I24" s="22" t="n">
        <x:v>0.972972972972973</x:v>
      </x:c>
      <x:c r="J24" s="22" t="n">
        <x:v>1</x:v>
      </x:c>
      <x:c r="K24" s="22" t="n">
        <x:v>1</x:v>
      </x:c>
      <x:c r="L24" s="22" t="str">
        <x:v>NA</x:v>
      </x:c>
      <x:c r="M24" s="22" t="str">
        <x:v>扰动后重新归一化</x:v>
      </x:c>
    </x:row>
    <x:row r="25" ht="23" customHeight="1">
      <x:c r="A25" s="21" t="str">
        <x:v>全量观察(探索)</x:v>
      </x:c>
      <x:c r="B25" s="22" t="str">
        <x:v>权重±10%</x:v>
      </x:c>
      <x:c r="C25" s="22" t="str">
        <x:v>突破优先型</x:v>
      </x:c>
      <x:c r="D25" s="22" t="str">
        <x:v>CTQ最高 ×1.1</x:v>
      </x:c>
      <x:c r="E25" s="24" t="n">
        <x:v>174</x:v>
      </x:c>
      <x:c r="F25" s="22" t="n">
        <x:v>0.9960854281447562</x:v>
      </x:c>
      <x:c r="G25" s="22" t="n">
        <x:v>0.9835028087890207</x:v>
      </x:c>
      <x:c r="H25" s="22" t="n">
        <x:v>0.9705882352941176</x:v>
      </x:c>
      <x:c r="I25" s="22" t="n">
        <x:v>0.9736842105263158</x:v>
      </x:c>
      <x:c r="J25" s="22" t="n">
        <x:v>1</x:v>
      </x:c>
      <x:c r="K25" s="22" t="n">
        <x:v>0.4594594594594595</x:v>
      </x:c>
      <x:c r="L25" s="22" t="str">
        <x:v>NA</x:v>
      </x:c>
      <x:c r="M25" s="22" t="str">
        <x:v>扰动后重新归一化</x:v>
      </x:c>
    </x:row>
    <x:row r="26" ht="23" customHeight="1">
      <x:c r="A26" s="21" t="str">
        <x:v>全量观察(探索)</x:v>
      </x:c>
      <x:c r="B26" s="22" t="str">
        <x:v>权重±10%</x:v>
      </x:c>
      <x:c r="C26" s="22" t="str">
        <x:v>突破优先型</x:v>
      </x:c>
      <x:c r="D26" s="22" t="str">
        <x:v>QAPro质量比例 ×0.9</x:v>
      </x:c>
      <x:c r="E26" s="24" t="n">
        <x:v>174</x:v>
      </x:c>
      <x:c r="F26" s="22" t="n">
        <x:v>0.9957438263555014</x:v>
      </x:c>
      <x:c r="G26" s="22" t="n">
        <x:v>0.9795207281518878</x:v>
      </x:c>
      <x:c r="H26" s="22" t="n">
        <x:v>0.9705882352941176</x:v>
      </x:c>
      <x:c r="I26" s="22" t="n">
        <x:v>0.9736842105263158</x:v>
      </x:c>
      <x:c r="J26" s="22" t="n">
        <x:v>1</x:v>
      </x:c>
      <x:c r="K26" s="22" t="n">
        <x:v>0.4594594594594595</x:v>
      </x:c>
      <x:c r="L26" s="22" t="str">
        <x:v>NA</x:v>
      </x:c>
      <x:c r="M26" s="22" t="str">
        <x:v>扰动后重新归一化</x:v>
      </x:c>
    </x:row>
    <x:row r="27" ht="23" customHeight="1">
      <x:c r="A27" s="21" t="str">
        <x:v>全量观察(探索)</x:v>
      </x:c>
      <x:c r="B27" s="22" t="str">
        <x:v>权重±10%</x:v>
      </x:c>
      <x:c r="C27" s="22" t="str">
        <x:v>突破优先型</x:v>
      </x:c>
      <x:c r="D27" s="22" t="str">
        <x:v>QAPro质量比例 ×1.1</x:v>
      </x:c>
      <x:c r="E27" s="24" t="n">
        <x:v>174</x:v>
      </x:c>
      <x:c r="F27" s="22" t="n">
        <x:v>0.9976711067205536</x:v>
      </x:c>
      <x:c r="G27" s="22" t="n">
        <x:v>0.9854938491075872</x:v>
      </x:c>
      <x:c r="H27" s="22" t="n">
        <x:v>1</x:v>
      </x:c>
      <x:c r="I27" s="22" t="n">
        <x:v>1</x:v>
      </x:c>
      <x:c r="J27" s="22" t="n">
        <x:v>1</x:v>
      </x:c>
      <x:c r="K27" s="22" t="n">
        <x:v>1</x:v>
      </x:c>
      <x:c r="L27" s="22" t="str">
        <x:v>NA</x:v>
      </x:c>
      <x:c r="M27" s="22" t="str">
        <x:v>扰动后重新归一化</x:v>
      </x:c>
    </x:row>
    <x:row r="28" ht="23" customHeight="1">
      <x:c r="A28" s="21" t="str">
        <x:v>全量观察(探索)</x:v>
      </x:c>
      <x:c r="B28" s="22" t="str">
        <x:v>权重±10%</x:v>
      </x:c>
      <x:c r="C28" s="22" t="str">
        <x:v>质量导向型（教学诊断对照）</x:v>
      </x:c>
      <x:c r="D28" s="22" t="str">
        <x:v>CTQ合计 ×0.9</x:v>
      </x:c>
      <x:c r="E28" s="24" t="n">
        <x:v>174</x:v>
      </x:c>
      <x:c r="F28" s="22" t="n">
        <x:v>1</x:v>
      </x:c>
      <x:c r="G28" s="22" t="n">
        <x:v>0.9999999999999999</x:v>
      </x:c>
      <x:c r="H28" s="22" t="n">
        <x:v>1</x:v>
      </x:c>
      <x:c r="I28" s="22" t="n">
        <x:v>1</x:v>
      </x:c>
      <x:c r="J28" s="22" t="n">
        <x:v>1</x:v>
      </x:c>
      <x:c r="K28" s="22" t="n">
        <x:v>1</x:v>
      </x:c>
      <x:c r="L28" s="22" t="str">
        <x:v>NA</x:v>
      </x:c>
      <x:c r="M28" s="22" t="str">
        <x:v>扰动后重新归一化</x:v>
      </x:c>
    </x:row>
    <x:row r="29" ht="23" customHeight="1">
      <x:c r="A29" s="21" t="str">
        <x:v>全量观察(探索)</x:v>
      </x:c>
      <x:c r="B29" s="22" t="str">
        <x:v>权重±10%</x:v>
      </x:c>
      <x:c r="C29" s="22" t="str">
        <x:v>质量导向型（教学诊断对照）</x:v>
      </x:c>
      <x:c r="D29" s="22" t="str">
        <x:v>CTQ合计 ×1.1</x:v>
      </x:c>
      <x:c r="E29" s="24" t="n">
        <x:v>174</x:v>
      </x:c>
      <x:c r="F29" s="22" t="n">
        <x:v>1</x:v>
      </x:c>
      <x:c r="G29" s="22" t="n">
        <x:v>0.9999999999999999</x:v>
      </x:c>
      <x:c r="H29" s="22" t="n">
        <x:v>1</x:v>
      </x:c>
      <x:c r="I29" s="22" t="n">
        <x:v>1</x:v>
      </x:c>
      <x:c r="J29" s="22" t="n">
        <x:v>1</x:v>
      </x:c>
      <x:c r="K29" s="22" t="n">
        <x:v>1</x:v>
      </x:c>
      <x:c r="L29" s="22" t="str">
        <x:v>NA</x:v>
      </x:c>
      <x:c r="M29" s="22" t="str">
        <x:v>扰动后重新归一化</x:v>
      </x:c>
    </x:row>
    <x:row r="30" ht="23" customHeight="1">
      <x:c r="A30" s="21" t="str">
        <x:v>全量观察(探索)</x:v>
      </x:c>
      <x:c r="B30" s="22" t="str">
        <x:v>权重±10%</x:v>
      </x:c>
      <x:c r="C30" s="22" t="str">
        <x:v>质量导向型（教学诊断对照）</x:v>
      </x:c>
      <x:c r="D30" s="22" t="str">
        <x:v>CTQ均值 ×0.9</x:v>
      </x:c>
      <x:c r="E30" s="24" t="n">
        <x:v>174</x:v>
      </x:c>
      <x:c r="F30" s="22" t="n">
        <x:v>0.9971102335125205</x:v>
      </x:c>
      <x:c r="G30" s="22" t="n">
        <x:v>0.9847827632795277</x:v>
      </x:c>
      <x:c r="H30" s="22" t="n">
        <x:v>0.9142857142857143</x:v>
      </x:c>
      <x:c r="I30" s="22" t="n">
        <x:v>1</x:v>
      </x:c>
      <x:c r="J30" s="22" t="n">
        <x:v>0.8857142857142857</x:v>
      </x:c>
      <x:c r="K30" s="22" t="n">
        <x:v>1</x:v>
      </x:c>
      <x:c r="L30" s="22" t="str">
        <x:v>NA</x:v>
      </x:c>
      <x:c r="M30" s="22" t="str">
        <x:v>扰动后重新归一化</x:v>
      </x:c>
    </x:row>
    <x:row r="31" ht="23" customHeight="1">
      <x:c r="A31" s="21" t="str">
        <x:v>全量观察(探索)</x:v>
      </x:c>
      <x:c r="B31" s="22" t="str">
        <x:v>权重±10%</x:v>
      </x:c>
      <x:c r="C31" s="22" t="str">
        <x:v>质量导向型（教学诊断对照）</x:v>
      </x:c>
      <x:c r="D31" s="22" t="str">
        <x:v>CTQ均值 ×1.1</x:v>
      </x:c>
      <x:c r="E31" s="24" t="n">
        <x:v>174</x:v>
      </x:c>
      <x:c r="F31" s="22" t="n">
        <x:v>0.9961038931063376</x:v>
      </x:c>
      <x:c r="G31" s="22" t="n">
        <x:v>0.984498328948304</x:v>
      </x:c>
      <x:c r="H31" s="22" t="n">
        <x:v>1</x:v>
      </x:c>
      <x:c r="I31" s="22" t="n">
        <x:v>1</x:v>
      </x:c>
      <x:c r="J31" s="22" t="n">
        <x:v>1</x:v>
      </x:c>
      <x:c r="K31" s="22" t="n">
        <x:v>0.9444444444444444</x:v>
      </x:c>
      <x:c r="L31" s="22" t="str">
        <x:v>NA</x:v>
      </x:c>
      <x:c r="M31" s="22" t="str">
        <x:v>扰动后重新归一化</x:v>
      </x:c>
    </x:row>
    <x:row r="32" ht="23" customHeight="1">
      <x:c r="A32" s="21" t="str">
        <x:v>全量观察(探索)</x:v>
      </x:c>
      <x:c r="B32" s="22" t="str">
        <x:v>权重±10%</x:v>
      </x:c>
      <x:c r="C32" s="22" t="str">
        <x:v>质量导向型（教学诊断对照）</x:v>
      </x:c>
      <x:c r="D32" s="22" t="str">
        <x:v>CTQ最高 ×0.9</x:v>
      </x:c>
      <x:c r="E32" s="24" t="n">
        <x:v>174</x:v>
      </x:c>
      <x:c r="F32" s="22" t="n">
        <x:v>0.9998915183507097</x:v>
      </x:c>
      <x:c r="G32" s="22" t="n">
        <x:v>0.9978667425158216</x:v>
      </x:c>
      <x:c r="H32" s="22" t="n">
        <x:v>1</x:v>
      </x:c>
      <x:c r="I32" s="22" t="n">
        <x:v>1</x:v>
      </x:c>
      <x:c r="J32" s="22" t="n">
        <x:v>1</x:v>
      </x:c>
      <x:c r="K32" s="22" t="n">
        <x:v>1</x:v>
      </x:c>
      <x:c r="L32" s="22" t="str">
        <x:v>NA</x:v>
      </x:c>
      <x:c r="M32" s="22" t="str">
        <x:v>扰动后重新归一化</x:v>
      </x:c>
    </x:row>
    <x:row r="33" ht="23" customHeight="1">
      <x:c r="A33" s="21" t="str">
        <x:v>全量观察(探索)</x:v>
      </x:c>
      <x:c r="B33" s="22" t="str">
        <x:v>权重±10%</x:v>
      </x:c>
      <x:c r="C33" s="22" t="str">
        <x:v>质量导向型（教学诊断对照）</x:v>
      </x:c>
      <x:c r="D33" s="22" t="str">
        <x:v>CTQ最高 ×1.1</x:v>
      </x:c>
      <x:c r="E33" s="24" t="n">
        <x:v>174</x:v>
      </x:c>
      <x:c r="F33" s="22" t="n">
        <x:v>0.9981904337650289</x:v>
      </x:c>
      <x:c r="G33" s="22" t="n">
        <x:v>0.9940268790443005</x:v>
      </x:c>
      <x:c r="H33" s="22" t="n">
        <x:v>1</x:v>
      </x:c>
      <x:c r="I33" s="22" t="n">
        <x:v>1</x:v>
      </x:c>
      <x:c r="J33" s="22" t="n">
        <x:v>1</x:v>
      </x:c>
      <x:c r="K33" s="22" t="n">
        <x:v>1</x:v>
      </x:c>
      <x:c r="L33" s="22" t="str">
        <x:v>NA</x:v>
      </x:c>
      <x:c r="M33" s="22" t="str">
        <x:v>扰动后重新归一化</x:v>
      </x:c>
    </x:row>
    <x:row r="34" ht="23" customHeight="1">
      <x:c r="A34" s="21" t="str">
        <x:v>全量观察(探索)</x:v>
      </x:c>
      <x:c r="B34" s="22" t="str">
        <x:v>权重±10%</x:v>
      </x:c>
      <x:c r="C34" s="22" t="str">
        <x:v>质量导向型（教学诊断对照）</x:v>
      </x:c>
      <x:c r="D34" s="22" t="str">
        <x:v>QAPro质量比例 ×0.9</x:v>
      </x:c>
      <x:c r="E34" s="24" t="n">
        <x:v>174</x:v>
      </x:c>
      <x:c r="F34" s="22" t="n">
        <x:v>0.9897311732405777</x:v>
      </x:c>
      <x:c r="G34" s="22" t="n">
        <x:v>0.9652990115906989</x:v>
      </x:c>
      <x:c r="H34" s="22" t="n">
        <x:v>1</x:v>
      </x:c>
      <x:c r="I34" s="22" t="n">
        <x:v>1</x:v>
      </x:c>
      <x:c r="J34" s="22" t="n">
        <x:v>1</x:v>
      </x:c>
      <x:c r="K34" s="22" t="n">
        <x:v>0.9444444444444444</x:v>
      </x:c>
      <x:c r="L34" s="22" t="str">
        <x:v>NA</x:v>
      </x:c>
      <x:c r="M34" s="22" t="str">
        <x:v>扰动后重新归一化</x:v>
      </x:c>
    </x:row>
    <x:row r="35" ht="23" customHeight="1">
      <x:c r="A35" s="21" t="str">
        <x:v>全量观察(探索)</x:v>
      </x:c>
      <x:c r="B35" s="22" t="str">
        <x:v>权重±10%</x:v>
      </x:c>
      <x:c r="C35" s="22" t="str">
        <x:v>质量导向型（教学诊断对照）</x:v>
      </x:c>
      <x:c r="D35" s="22" t="str">
        <x:v>QAPro质量比例 ×1.1</x:v>
      </x:c>
      <x:c r="E35" s="24" t="n">
        <x:v>174</x:v>
      </x:c>
      <x:c r="F35" s="22" t="n">
        <x:v>0.9949382924065154</x:v>
      </x:c>
      <x:c r="G35" s="22" t="n">
        <x:v>0.9773874706677095</x:v>
      </x:c>
      <x:c r="H35" s="22" t="n">
        <x:v>0.9142857142857143</x:v>
      </x:c>
      <x:c r="I35" s="22" t="n">
        <x:v>0.8947368421052632</x:v>
      </x:c>
      <x:c r="J35" s="22" t="n">
        <x:v>0.8611111111111112</x:v>
      </x:c>
      <x:c r="K35" s="22" t="n">
        <x:v>0.9722222222222222</x:v>
      </x:c>
      <x:c r="L35" s="22" t="str">
        <x:v>NA</x:v>
      </x:c>
      <x:c r="M35" s="22" t="str">
        <x:v>扰动后重新归一化</x:v>
      </x:c>
    </x:row>
    <x:row r="36" ht="23" customHeight="1">
      <x:c r="A36" s="21" t="str">
        <x:v>全量观察(探索)</x:v>
      </x:c>
      <x:c r="B36" s="22" t="str">
        <x:v>权重±10%</x:v>
      </x:c>
      <x:c r="C36" s="22" t="str">
        <x:v>分组熵权型</x:v>
      </x:c>
      <x:c r="D36" s="22" t="str">
        <x:v>CTQ合计 ×0.9</x:v>
      </x:c>
      <x:c r="E36" s="24" t="n">
        <x:v>174</x:v>
      </x:c>
      <x:c r="F36" s="22" t="n">
        <x:v>0.9999976918798025</x:v>
      </x:c>
      <x:c r="G36" s="22" t="n">
        <x:v>0.9998577828343881</x:v>
      </x:c>
      <x:c r="H36" s="22" t="n">
        <x:v>1</x:v>
      </x:c>
      <x:c r="I36" s="22" t="n">
        <x:v>1</x:v>
      </x:c>
      <x:c r="J36" s="22" t="n">
        <x:v>1</x:v>
      </x:c>
      <x:c r="K36" s="22" t="n">
        <x:v>1</x:v>
      </x:c>
      <x:c r="L36" s="22" t="str">
        <x:v>NA</x:v>
      </x:c>
      <x:c r="M36" s="22" t="str">
        <x:v>扰动后重新归一化</x:v>
      </x:c>
    </x:row>
    <x:row r="37" ht="23" customHeight="1">
      <x:c r="A37" s="21" t="str">
        <x:v>全量观察(探索)</x:v>
      </x:c>
      <x:c r="B37" s="22" t="str">
        <x:v>权重±10%</x:v>
      </x:c>
      <x:c r="C37" s="22" t="str">
        <x:v>分组熵权型</x:v>
      </x:c>
      <x:c r="D37" s="22" t="str">
        <x:v>CTQ合计 ×1.1</x:v>
      </x:c>
      <x:c r="E37" s="24" t="n">
        <x:v>174</x:v>
      </x:c>
      <x:c r="F37" s="22" t="n">
        <x:v>1</x:v>
      </x:c>
      <x:c r="G37" s="22" t="n">
        <x:v>0.9999999999999999</x:v>
      </x:c>
      <x:c r="H37" s="22" t="n">
        <x:v>1</x:v>
      </x:c>
      <x:c r="I37" s="22" t="n">
        <x:v>1</x:v>
      </x:c>
      <x:c r="J37" s="22" t="n">
        <x:v>1</x:v>
      </x:c>
      <x:c r="K37" s="22" t="n">
        <x:v>1</x:v>
      </x:c>
      <x:c r="L37" s="22" t="str">
        <x:v>NA</x:v>
      </x:c>
      <x:c r="M37" s="22" t="str">
        <x:v>扰动后重新归一化</x:v>
      </x:c>
    </x:row>
    <x:row r="38" ht="23" customHeight="1">
      <x:c r="A38" s="21" t="str">
        <x:v>全量观察(探索)</x:v>
      </x:c>
      <x:c r="B38" s="22" t="str">
        <x:v>权重±10%</x:v>
      </x:c>
      <x:c r="C38" s="22" t="str">
        <x:v>分组熵权型</x:v>
      </x:c>
      <x:c r="D38" s="22" t="str">
        <x:v>CTQ均值 ×0.9</x:v>
      </x:c>
      <x:c r="E38" s="24" t="n">
        <x:v>174</x:v>
      </x:c>
      <x:c r="F38" s="22" t="n">
        <x:v>0.9980819521157386</x:v>
      </x:c>
      <x:c r="G38" s="22" t="n">
        <x:v>0.9906136670696153</x:v>
      </x:c>
      <x:c r="H38" s="22" t="n">
        <x:v>1</x:v>
      </x:c>
      <x:c r="I38" s="22" t="n">
        <x:v>1</x:v>
      </x:c>
      <x:c r="J38" s="22" t="n">
        <x:v>0.9428571428571428</x:v>
      </x:c>
      <x:c r="K38" s="22" t="n">
        <x:v>0.9444444444444444</x:v>
      </x:c>
      <x:c r="L38" s="22" t="str">
        <x:v>NA</x:v>
      </x:c>
      <x:c r="M38" s="22" t="str">
        <x:v>扰动后重新归一化</x:v>
      </x:c>
    </x:row>
    <x:row r="39" ht="23" customHeight="1">
      <x:c r="A39" s="21" t="str">
        <x:v>全量观察(探索)</x:v>
      </x:c>
      <x:c r="B39" s="22" t="str">
        <x:v>权重±10%</x:v>
      </x:c>
      <x:c r="C39" s="22" t="str">
        <x:v>分组熵权型</x:v>
      </x:c>
      <x:c r="D39" s="22" t="str">
        <x:v>CTQ均值 ×1.1</x:v>
      </x:c>
      <x:c r="E39" s="24" t="n">
        <x:v>174</x:v>
      </x:c>
      <x:c r="F39" s="22" t="n">
        <x:v>0.9980773358753431</x:v>
      </x:c>
      <x:c r="G39" s="22" t="n">
        <x:v>0.9913247528976746</x:v>
      </x:c>
      <x:c r="H39" s="22" t="n">
        <x:v>0.9705882352941176</x:v>
      </x:c>
      <x:c r="I39" s="22" t="n">
        <x:v>0.9722222222222222</x:v>
      </x:c>
      <x:c r="J39" s="22" t="n">
        <x:v>1</x:v>
      </x:c>
      <x:c r="K39" s="22" t="n">
        <x:v>1</x:v>
      </x:c>
      <x:c r="L39" s="22" t="str">
        <x:v>NA</x:v>
      </x:c>
      <x:c r="M39" s="22" t="str">
        <x:v>扰动后重新归一化</x:v>
      </x:c>
    </x:row>
    <x:row r="40" ht="23" customHeight="1">
      <x:c r="A40" s="21" t="str">
        <x:v>全量观察(探索)</x:v>
      </x:c>
      <x:c r="B40" s="22" t="str">
        <x:v>权重±10%</x:v>
      </x:c>
      <x:c r="C40" s="22" t="str">
        <x:v>分组熵权型</x:v>
      </x:c>
      <x:c r="D40" s="22" t="str">
        <x:v>CTQ最高 ×0.9</x:v>
      </x:c>
      <x:c r="E40" s="24" t="n">
        <x:v>174</x:v>
      </x:c>
      <x:c r="F40" s="22" t="n">
        <x:v>0.9980496384329711</x:v>
      </x:c>
      <x:c r="G40" s="22" t="n">
        <x:v>0.9903292327383915</x:v>
      </x:c>
      <x:c r="H40" s="22" t="n">
        <x:v>1</x:v>
      </x:c>
      <x:c r="I40" s="22" t="n">
        <x:v>1</x:v>
      </x:c>
      <x:c r="J40" s="22" t="n">
        <x:v>0.9428571428571428</x:v>
      </x:c>
      <x:c r="K40" s="22" t="n">
        <x:v>0.9444444444444444</x:v>
      </x:c>
      <x:c r="L40" s="22" t="str">
        <x:v>NA</x:v>
      </x:c>
      <x:c r="M40" s="22" t="str">
        <x:v>扰动后重新归一化</x:v>
      </x:c>
    </x:row>
    <x:row r="41" ht="23" customHeight="1">
      <x:c r="A41" s="21" t="str">
        <x:v>全量观察(探索)</x:v>
      </x:c>
      <x:c r="B41" s="22" t="str">
        <x:v>权重±10%</x:v>
      </x:c>
      <x:c r="C41" s="22" t="str">
        <x:v>分组熵权型</x:v>
      </x:c>
      <x:c r="D41" s="22" t="str">
        <x:v>CTQ最高 ×1.1</x:v>
      </x:c>
      <x:c r="E41" s="24" t="n">
        <x:v>174</x:v>
      </x:c>
      <x:c r="F41" s="22" t="n">
        <x:v>0.9980750277551454</x:v>
      </x:c>
      <x:c r="G41" s="22" t="n">
        <x:v>0.9911825357320628</x:v>
      </x:c>
      <x:c r="H41" s="22" t="n">
        <x:v>0.9705882352941176</x:v>
      </x:c>
      <x:c r="I41" s="22" t="n">
        <x:v>0.9722222222222222</x:v>
      </x:c>
      <x:c r="J41" s="22" t="n">
        <x:v>1</x:v>
      </x:c>
      <x:c r="K41" s="22" t="n">
        <x:v>1</x:v>
      </x:c>
      <x:c r="L41" s="22" t="str">
        <x:v>NA</x:v>
      </x:c>
      <x:c r="M41" s="22" t="str">
        <x:v>扰动后重新归一化</x:v>
      </x:c>
    </x:row>
    <x:row r="42" ht="23" customHeight="1">
      <x:c r="A42" s="21" t="str">
        <x:v>全量观察(探索)</x:v>
      </x:c>
      <x:c r="B42" s="22" t="str">
        <x:v>权重±10%</x:v>
      </x:c>
      <x:c r="C42" s="22" t="str">
        <x:v>分组熵权型</x:v>
      </x:c>
      <x:c r="D42" s="22" t="str">
        <x:v>QAPro质量比例 ×0.9</x:v>
      </x:c>
      <x:c r="E42" s="24" t="n">
        <x:v>174</x:v>
      </x:c>
      <x:c r="F42" s="22" t="n">
        <x:v>0.9918154057790715</x:v>
      </x:c>
      <x:c r="G42" s="22" t="n">
        <x:v>0.9709876982151744</x:v>
      </x:c>
      <x:c r="H42" s="22" t="n">
        <x:v>0.9705882352941176</x:v>
      </x:c>
      <x:c r="I42" s="22" t="n">
        <x:v>0.9722222222222222</x:v>
      </x:c>
      <x:c r="J42" s="22" t="n">
        <x:v>1</x:v>
      </x:c>
      <x:c r="K42" s="22" t="n">
        <x:v>1</x:v>
      </x:c>
      <x:c r="L42" s="22" t="str">
        <x:v>NA</x:v>
      </x:c>
      <x:c r="M42" s="22" t="str">
        <x:v>扰动后重新归一化</x:v>
      </x:c>
    </x:row>
    <x:row r="43" ht="23" customHeight="1">
      <x:c r="A43" s="21" t="str">
        <x:v>全量观察(探索)</x:v>
      </x:c>
      <x:c r="B43" s="22" t="str">
        <x:v>权重±10%</x:v>
      </x:c>
      <x:c r="C43" s="22" t="str">
        <x:v>分组熵权型</x:v>
      </x:c>
      <x:c r="D43" s="22" t="str">
        <x:v>QAPro质量比例 ×1.1</x:v>
      </x:c>
      <x:c r="E43" s="24" t="n">
        <x:v>174</x:v>
      </x:c>
      <x:c r="F43" s="22" t="n">
        <x:v>0.9979296161826924</x:v>
      </x:c>
      <x:c r="G43" s="22" t="n">
        <x:v>0.9881959752542131</x:v>
      </x:c>
      <x:c r="H43" s="22" t="n">
        <x:v>1</x:v>
      </x:c>
      <x:c r="I43" s="22" t="n">
        <x:v>1</x:v>
      </x:c>
      <x:c r="J43" s="22" t="n">
        <x:v>0.9428571428571428</x:v>
      </x:c>
      <x:c r="K43" s="22" t="n">
        <x:v>0.9444444444444444</x:v>
      </x:c>
      <x:c r="L43" s="22" t="str">
        <x:v>NA</x:v>
      </x:c>
      <x:c r="M43" s="22" t="str">
        <x:v>扰动后重新归一化</x:v>
      </x:c>
    </x:row>
    <x:row r="44" ht="23" customHeight="1">
      <x:c r="A44" s="21" t="str">
        <x:v>全量观察(探索)</x:v>
      </x:c>
      <x:c r="B44" s="22" t="str">
        <x:v>删除指标</x:v>
      </x:c>
      <x:c r="C44" s="22" t="str">
        <x:v>均衡型</x:v>
      </x:c>
      <x:c r="D44" s="22" t="str">
        <x:v>CTQ合计</x:v>
      </x:c>
      <x:c r="E44" s="24" t="n">
        <x:v>174</x:v>
      </x:c>
      <x:c r="F44" s="22" t="n">
        <x:v>0.9980588709137619</x:v>
      </x:c>
      <x:c r="G44" s="22" t="n">
        <x:v>0.9910403185664508</x:v>
      </x:c>
      <x:c r="H44" s="22" t="n">
        <x:v>1</x:v>
      </x:c>
      <x:c r="I44" s="22" t="n">
        <x:v>1</x:v>
      </x:c>
      <x:c r="J44" s="22" t="n">
        <x:v>1</x:v>
      </x:c>
      <x:c r="K44" s="22" t="n">
        <x:v>1</x:v>
      </x:c>
      <x:c r="L44" s="22" t="str">
        <x:v>NA</x:v>
      </x:c>
      <x:c r="M44" s="22" t="str">
        <x:v>删除后共同样本重算</x:v>
      </x:c>
    </x:row>
    <x:row r="45" ht="23" customHeight="1">
      <x:c r="A45" s="21" t="str">
        <x:v>全量观察(探索)</x:v>
      </x:c>
      <x:c r="B45" s="22" t="str">
        <x:v>删除指标</x:v>
      </x:c>
      <x:c r="C45" s="22" t="str">
        <x:v>均衡型</x:v>
      </x:c>
      <x:c r="D45" s="22" t="str">
        <x:v>CTQ均值</x:v>
      </x:c>
      <x:c r="E45" s="24" t="n">
        <x:v>174</x:v>
      </x:c>
      <x:c r="F45" s="22" t="n">
        <x:v>0.9248035785202775</x:v>
      </x:c>
      <x:c r="G45" s="22" t="n">
        <x:v>0.830067920663525</x:v>
      </x:c>
      <x:c r="H45" s="22" t="n">
        <x:v>0.8611111111111112</x:v>
      </x:c>
      <x:c r="I45" s="22" t="n">
        <x:v>0.8461538461538461</x:v>
      </x:c>
      <x:c r="J45" s="22" t="n">
        <x:v>0.7</x:v>
      </x:c>
      <x:c r="K45" s="22" t="n">
        <x:v>0.6666666666666666</x:v>
      </x:c>
      <x:c r="L45" s="22" t="str">
        <x:v>NA</x:v>
      </x:c>
      <x:c r="M45" s="22" t="str">
        <x:v>删除后共同样本重算</x:v>
      </x:c>
    </x:row>
    <x:row r="46" ht="23" customHeight="1">
      <x:c r="A46" s="21" t="str">
        <x:v>全量观察(探索)</x:v>
      </x:c>
      <x:c r="B46" s="22" t="str">
        <x:v>删除指标</x:v>
      </x:c>
      <x:c r="C46" s="22" t="str">
        <x:v>均衡型</x:v>
      </x:c>
      <x:c r="D46" s="22" t="str">
        <x:v>CTQ最高</x:v>
      </x:c>
      <x:c r="E46" s="24" t="n">
        <x:v>174</x:v>
      </x:c>
      <x:c r="F46" s="22" t="n">
        <x:v>0.9653805051551866</x:v>
      </x:c>
      <x:c r="G46" s="22" t="n">
        <x:v>0.8993102467467823</x:v>
      </x:c>
      <x:c r="H46" s="22" t="n">
        <x:v>0.9142857142857143</x:v>
      </x:c>
      <x:c r="I46" s="22" t="n">
        <x:v>0.8947368421052632</x:v>
      </x:c>
      <x:c r="J46" s="22" t="n">
        <x:v>0.8378378378378378</x:v>
      </x:c>
      <x:c r="K46" s="22" t="n">
        <x:v>0.8421052631578947</x:v>
      </x:c>
      <x:c r="L46" s="22" t="str">
        <x:v>NA</x:v>
      </x:c>
      <x:c r="M46" s="22" t="str">
        <x:v>删除后共同样本重算</x:v>
      </x:c>
    </x:row>
    <x:row r="47" ht="23" customHeight="1">
      <x:c r="A47" s="21" t="str">
        <x:v>全量观察(探索)</x:v>
      </x:c>
      <x:c r="B47" s="22" t="str">
        <x:v>删除指标</x:v>
      </x:c>
      <x:c r="C47" s="22" t="str">
        <x:v>均衡型</x:v>
      </x:c>
      <x:c r="D47" s="22" t="str">
        <x:v>QAPro质量比例</x:v>
      </x:c>
      <x:c r="E47" s="24" t="n">
        <x:v>174</x:v>
      </x:c>
      <x:c r="F47" s="22" t="n">
        <x:v>0.7014798947858019</x:v>
      </x:c>
      <x:c r="G47" s="22" t="n">
        <x:v>0.582578713193156</x:v>
      </x:c>
      <x:c r="H47" s="22" t="n">
        <x:v>0.4222222222222222</x:v>
      </x:c>
      <x:c r="I47" s="22" t="n">
        <x:v>0.46938775510204084</x:v>
      </x:c>
      <x:c r="J47" s="22" t="n">
        <x:v>0</x:v>
      </x:c>
      <x:c r="K47" s="22" t="n">
        <x:v>0.3466666666666667</x:v>
      </x:c>
      <x:c r="L47" s="22" t="str">
        <x:v>NA</x:v>
      </x:c>
      <x:c r="M47" s="22" t="str">
        <x:v>删除后共同样本重算</x:v>
      </x:c>
    </x:row>
    <x:row r="48" ht="23" customHeight="1">
      <x:c r="A48" s="21" t="str">
        <x:v>全量观察(探索)</x:v>
      </x:c>
      <x:c r="B48" s="22" t="str">
        <x:v>删除指标</x:v>
      </x:c>
      <x:c r="C48" s="22" t="str">
        <x:v>突破优先型</x:v>
      </x:c>
      <x:c r="D48" s="22" t="str">
        <x:v>CTQ合计</x:v>
      </x:c>
      <x:c r="E48" s="24" t="n">
        <x:v>174</x:v>
      </x:c>
      <x:c r="F48" s="22" t="n">
        <x:v>0.99993075639407</x:v>
      </x:c>
      <x:c r="G48" s="22" t="n">
        <x:v>0.9974400910189859</x:v>
      </x:c>
      <x:c r="H48" s="22" t="n">
        <x:v>1</x:v>
      </x:c>
      <x:c r="I48" s="22" t="n">
        <x:v>1</x:v>
      </x:c>
      <x:c r="J48" s="22" t="n">
        <x:v>1</x:v>
      </x:c>
      <x:c r="K48" s="22" t="n">
        <x:v>1</x:v>
      </x:c>
      <x:c r="L48" s="22" t="str">
        <x:v>NA</x:v>
      </x:c>
      <x:c r="M48" s="22" t="str">
        <x:v>删除后共同样本重算</x:v>
      </x:c>
    </x:row>
    <x:row r="49" ht="23" customHeight="1">
      <x:c r="A49" s="21" t="str">
        <x:v>全量观察(探索)</x:v>
      </x:c>
      <x:c r="B49" s="22" t="str">
        <x:v>删除指标</x:v>
      </x:c>
      <x:c r="C49" s="22" t="str">
        <x:v>突破优先型</x:v>
      </x:c>
      <x:c r="D49" s="22" t="str">
        <x:v>CTQ均值</x:v>
      </x:c>
      <x:c r="E49" s="24" t="n">
        <x:v>174</x:v>
      </x:c>
      <x:c r="F49" s="22" t="n">
        <x:v>0.983912365092684</x:v>
      </x:c>
      <x:c r="G49" s="22" t="n">
        <x:v>0.9309106478311807</x:v>
      </x:c>
      <x:c r="H49" s="22" t="n">
        <x:v>0.9393939393939394</x:v>
      </x:c>
      <x:c r="I49" s="22" t="n">
        <x:v>0.9459459459459459</x:v>
      </x:c>
      <x:c r="J49" s="22" t="n">
        <x:v>1</x:v>
      </x:c>
      <x:c r="K49" s="22" t="n">
        <x:v>1</x:v>
      </x:c>
      <x:c r="L49" s="22" t="str">
        <x:v>NA</x:v>
      </x:c>
      <x:c r="M49" s="22" t="str">
        <x:v>删除后共同样本重算</x:v>
      </x:c>
    </x:row>
    <x:row r="50" ht="23" customHeight="1">
      <x:c r="A50" s="21" t="str">
        <x:v>全量观察(探索)</x:v>
      </x:c>
      <x:c r="B50" s="22" t="str">
        <x:v>删除指标</x:v>
      </x:c>
      <x:c r="C50" s="22" t="str">
        <x:v>突破优先型</x:v>
      </x:c>
      <x:c r="D50" s="22" t="str">
        <x:v>CTQ最高</x:v>
      </x:c>
      <x:c r="E50" s="24" t="n">
        <x:v>174</x:v>
      </x:c>
      <x:c r="F50" s="22" t="n">
        <x:v>0.8689172377340723</x:v>
      </x:c>
      <x:c r="G50" s="22" t="n">
        <x:v>0.7511199601791936</x:v>
      </x:c>
      <x:c r="H50" s="22" t="n">
        <x:v>0.717948717948718</x:v>
      </x:c>
      <x:c r="I50" s="22" t="n">
        <x:v>0.7619047619047619</x:v>
      </x:c>
      <x:c r="J50" s="22" t="n">
        <x:v>0.8108108108108109</x:v>
      </x:c>
      <x:c r="K50" s="22" t="n">
        <x:v>0.868421052631579</x:v>
      </x:c>
      <x:c r="L50" s="22" t="str">
        <x:v>NA</x:v>
      </x:c>
      <x:c r="M50" s="22" t="str">
        <x:v>删除后共同样本重算</x:v>
      </x:c>
    </x:row>
    <x:row r="51" ht="23" customHeight="1">
      <x:c r="A51" s="21" t="str">
        <x:v>全量观察(探索)</x:v>
      </x:c>
      <x:c r="B51" s="22" t="str">
        <x:v>删除指标</x:v>
      </x:c>
      <x:c r="C51" s="22" t="str">
        <x:v>突破优先型</x:v>
      </x:c>
      <x:c r="D51" s="22" t="str">
        <x:v>QAPro质量比例</x:v>
      </x:c>
      <x:c r="E51" s="24" t="n">
        <x:v>174</x:v>
      </x:c>
      <x:c r="F51" s="22" t="n">
        <x:v>0.8958994912798051</x:v>
      </x:c>
      <x:c r="G51" s="22" t="n">
        <x:v>0.7675077790769536</x:v>
      </x:c>
      <x:c r="H51" s="22" t="n">
        <x:v>0.5116279069767442</x:v>
      </x:c>
      <x:c r="I51" s="22" t="n">
        <x:v>0.5306122448979592</x:v>
      </x:c>
      <x:c r="J51" s="22" t="n">
        <x:v>0</x:v>
      </x:c>
      <x:c r="K51" s="22" t="n">
        <x:v>0.36486486486486486</x:v>
      </x:c>
      <x:c r="L51" s="22" t="str">
        <x:v>NA</x:v>
      </x:c>
      <x:c r="M51" s="22" t="str">
        <x:v>删除后共同样本重算</x:v>
      </x:c>
    </x:row>
    <x:row r="52" ht="23" customHeight="1">
      <x:c r="A52" s="21" t="str">
        <x:v>全量观察(探索)</x:v>
      </x:c>
      <x:c r="B52" s="22" t="str">
        <x:v>删除指标</x:v>
      </x:c>
      <x:c r="C52" s="22" t="str">
        <x:v>质量导向型（教学诊断对照）</x:v>
      </x:c>
      <x:c r="D52" s="22" t="str">
        <x:v>CTQ合计</x:v>
      </x:c>
      <x:c r="E52" s="24" t="n">
        <x:v>174</x:v>
      </x:c>
      <x:c r="F52" s="22" t="n">
        <x:v>0.9961085093467329</x:v>
      </x:c>
      <x:c r="G52" s="22" t="n">
        <x:v>0.9852094147763634</x:v>
      </x:c>
      <x:c r="H52" s="22" t="n">
        <x:v>1</x:v>
      </x:c>
      <x:c r="I52" s="22" t="n">
        <x:v>1</x:v>
      </x:c>
      <x:c r="J52" s="22" t="n">
        <x:v>0.8857142857142857</x:v>
      </x:c>
      <x:c r="K52" s="22" t="n">
        <x:v>1</x:v>
      </x:c>
      <x:c r="L52" s="22" t="str">
        <x:v>NA</x:v>
      </x:c>
      <x:c r="M52" s="22" t="str">
        <x:v>删除后共同样本重算</x:v>
      </x:c>
    </x:row>
    <x:row r="53" ht="23" customHeight="1">
      <x:c r="A53" s="21" t="str">
        <x:v>全量观察(探索)</x:v>
      </x:c>
      <x:c r="B53" s="22" t="str">
        <x:v>删除指标</x:v>
      </x:c>
      <x:c r="C53" s="22" t="str">
        <x:v>质量导向型（教学诊断对照）</x:v>
      </x:c>
      <x:c r="D53" s="22" t="str">
        <x:v>CTQ均值</x:v>
      </x:c>
      <x:c r="E53" s="24" t="n">
        <x:v>174</x:v>
      </x:c>
      <x:c r="F53" s="22" t="n">
        <x:v>0.9179311347692782</x:v>
      </x:c>
      <x:c r="G53" s="22" t="n">
        <x:v>0.8222451421103217</x:v>
      </x:c>
      <x:c r="H53" s="22" t="n">
        <x:v>0.8611111111111112</x:v>
      </x:c>
      <x:c r="I53" s="22" t="n">
        <x:v>0.8461538461538461</x:v>
      </x:c>
      <x:c r="J53" s="22" t="n">
        <x:v>0.16279069767441862</x:v>
      </x:c>
      <x:c r="K53" s="22" t="n">
        <x:v>0.6744186046511628</x:v>
      </x:c>
      <x:c r="L53" s="22" t="str">
        <x:v>NA</x:v>
      </x:c>
      <x:c r="M53" s="22" t="str">
        <x:v>删除后共同样本重算</x:v>
      </x:c>
    </x:row>
    <x:row r="54" ht="23" customHeight="1">
      <x:c r="A54" s="21" t="str">
        <x:v>全量观察(探索)</x:v>
      </x:c>
      <x:c r="B54" s="22" t="str">
        <x:v>删除指标</x:v>
      </x:c>
      <x:c r="C54" s="22" t="str">
        <x:v>质量导向型（教学诊断对照）</x:v>
      </x:c>
      <x:c r="D54" s="22" t="str">
        <x:v>CTQ最高</x:v>
      </x:c>
      <x:c r="E54" s="24" t="n">
        <x:v>174</x:v>
      </x:c>
      <x:c r="F54" s="22" t="n">
        <x:v>0.9847202442914417</x:v>
      </x:c>
      <x:c r="G54" s="22" t="n">
        <x:v>0.9432553509208561</x:v>
      </x:c>
      <x:c r="H54" s="22" t="n">
        <x:v>0.9142857142857143</x:v>
      </x:c>
      <x:c r="I54" s="22" t="n">
        <x:v>0.8947368421052632</x:v>
      </x:c>
      <x:c r="J54" s="22" t="n">
        <x:v>0.8378378378378378</x:v>
      </x:c>
      <x:c r="K54" s="22" t="n">
        <x:v>0.8421052631578947</x:v>
      </x:c>
      <x:c r="L54" s="22" t="str">
        <x:v>NA</x:v>
      </x:c>
      <x:c r="M54" s="22" t="str">
        <x:v>删除后共同样本重算</x:v>
      </x:c>
    </x:row>
    <x:row r="55" ht="23" customHeight="1">
      <x:c r="A55" s="21" t="str">
        <x:v>全量观察(探索)</x:v>
      </x:c>
      <x:c r="B55" s="22" t="str">
        <x:v>删除指标</x:v>
      </x:c>
      <x:c r="C55" s="22" t="str">
        <x:v>质量导向型（教学诊断对照）</x:v>
      </x:c>
      <x:c r="D55" s="22" t="str">
        <x:v>QAPro质量比例</x:v>
      </x:c>
      <x:c r="E55" s="24" t="n">
        <x:v>174</x:v>
      </x:c>
      <x:c r="F55" s="22" t="n">
        <x:v>0.6363038639328897</x:v>
      </x:c>
      <x:c r="G55" s="22" t="n">
        <x:v>0.537426813948361</x:v>
      </x:c>
      <x:c r="H55" s="22" t="n">
        <x:v>0.4222222222222222</x:v>
      </x:c>
      <x:c r="I55" s="22" t="n">
        <x:v>0.46938775510204084</x:v>
      </x:c>
      <x:c r="J55" s="22" t="n">
        <x:v>0</x:v>
      </x:c>
      <x:c r="K55" s="22" t="n">
        <x:v>0.3466666666666667</x:v>
      </x:c>
      <x:c r="L55" s="22" t="str">
        <x:v>NA</x:v>
      </x:c>
      <x:c r="M55" s="22" t="str">
        <x:v>删除后共同样本重算</x:v>
      </x:c>
    </x:row>
    <x:row r="56" ht="23" customHeight="1">
      <x:c r="A56" s="21" t="str">
        <x:v>全量观察(探索)</x:v>
      </x:c>
      <x:c r="B56" s="22" t="str">
        <x:v>删除指标</x:v>
      </x:c>
      <x:c r="C56" s="22" t="str">
        <x:v>分组熵权型</x:v>
      </x:c>
      <x:c r="D56" s="22" t="str">
        <x:v>CTQ合计</x:v>
      </x:c>
      <x:c r="E56" s="24" t="n">
        <x:v>174</x:v>
      </x:c>
      <x:c r="F56" s="22" t="n">
        <x:v>0.9980196328704015</x:v>
      </x:c>
      <x:c r="G56" s="22" t="n">
        <x:v>0.9901870155727795</x:v>
      </x:c>
      <x:c r="H56" s="22" t="n">
        <x:v>1</x:v>
      </x:c>
      <x:c r="I56" s="22" t="n">
        <x:v>1</x:v>
      </x:c>
      <x:c r="J56" s="22" t="n">
        <x:v>0.9428571428571428</x:v>
      </x:c>
      <x:c r="K56" s="22" t="n">
        <x:v>0.9444444444444444</x:v>
      </x:c>
      <x:c r="L56" s="22" t="str">
        <x:v>NA</x:v>
      </x:c>
      <x:c r="M56" s="22" t="str">
        <x:v>删除后共同样本重算</x:v>
      </x:c>
    </x:row>
    <x:row r="57" ht="23" customHeight="1">
      <x:c r="A57" s="21" t="str">
        <x:v>全量观察(探索)</x:v>
      </x:c>
      <x:c r="B57" s="22" t="str">
        <x:v>删除指标</x:v>
      </x:c>
      <x:c r="C57" s="22" t="str">
        <x:v>分组熵权型</x:v>
      </x:c>
      <x:c r="D57" s="22" t="str">
        <x:v>CTQ均值</x:v>
      </x:c>
      <x:c r="E57" s="24" t="n">
        <x:v>174</x:v>
      </x:c>
      <x:c r="F57" s="22" t="n">
        <x:v>0.944712315237068</x:v>
      </x:c>
      <x:c r="G57" s="22" t="n">
        <x:v>0.8565231354070848</x:v>
      </x:c>
      <x:c r="H57" s="22" t="n">
        <x:v>0.9411764705882353</x:v>
      </x:c>
      <x:c r="I57" s="22" t="n">
        <x:v>0.9444444444444444</x:v>
      </x:c>
      <x:c r="J57" s="22" t="n">
        <x:v>0.7894736842105263</x:v>
      </x:c>
      <x:c r="K57" s="22" t="n">
        <x:v>0.75</x:v>
      </x:c>
      <x:c r="L57" s="22" t="str">
        <x:v>NA</x:v>
      </x:c>
      <x:c r="M57" s="22" t="str">
        <x:v>删除后共同样本重算</x:v>
      </x:c>
    </x:row>
    <x:row r="58" ht="23" customHeight="1">
      <x:c r="A58" s="21" t="str">
        <x:v>全量观察(探索)</x:v>
      </x:c>
      <x:c r="B58" s="22" t="str">
        <x:v>删除指标</x:v>
      </x:c>
      <x:c r="C58" s="22" t="str">
        <x:v>分组熵权型</x:v>
      </x:c>
      <x:c r="D58" s="22" t="str">
        <x:v>CTQ最高</x:v>
      </x:c>
      <x:c r="E58" s="24" t="n">
        <x:v>174</x:v>
      </x:c>
      <x:c r="F58" s="22" t="n">
        <x:v>0.9427447703766623</x:v>
      </x:c>
      <x:c r="G58" s="22" t="n">
        <x:v>0.8574984000568868</x:v>
      </x:c>
      <x:c r="H58" s="22" t="n">
        <x:v>0.9142857142857143</x:v>
      </x:c>
      <x:c r="I58" s="22" t="n">
        <x:v>0.8947368421052632</x:v>
      </x:c>
      <x:c r="J58" s="22" t="n">
        <x:v>0.7894736842105263</x:v>
      </x:c>
      <x:c r="K58" s="22" t="n">
        <x:v>0.75</x:v>
      </x:c>
      <x:c r="L58" s="22" t="str">
        <x:v>NA</x:v>
      </x:c>
      <x:c r="M58" s="22" t="str">
        <x:v>删除后共同样本重算</x:v>
      </x:c>
    </x:row>
    <x:row r="59" ht="23" customHeight="1">
      <x:c r="A59" s="21" t="str">
        <x:v>全量观察(探索)</x:v>
      </x:c>
      <x:c r="B59" s="22" t="str">
        <x:v>删除指标</x:v>
      </x:c>
      <x:c r="C59" s="22" t="str">
        <x:v>分组熵权型</x:v>
      </x:c>
      <x:c r="D59" s="22" t="str">
        <x:v>QAPro质量比例</x:v>
      </x:c>
      <x:c r="E59" s="24" t="n">
        <x:v>174</x:v>
      </x:c>
      <x:c r="F59" s="22" t="n">
        <x:v>0.7368350229951265</x:v>
      </x:c>
      <x:c r="G59" s="22" t="n">
        <x:v>0.6122329308489785</x:v>
      </x:c>
      <x:c r="H59" s="22" t="n">
        <x:v>0.4222222222222222</x:v>
      </x:c>
      <x:c r="I59" s="22" t="n">
        <x:v>0.46938775510204084</x:v>
      </x:c>
      <x:c r="J59" s="22" t="n">
        <x:v>0</x:v>
      </x:c>
      <x:c r="K59" s="22" t="n">
        <x:v>0.36486486486486486</x:v>
      </x:c>
      <x:c r="L59" s="22" t="str">
        <x:v>NA</x:v>
      </x:c>
      <x:c r="M59" s="22" t="str">
        <x:v>删除后共同样本重算</x:v>
      </x:c>
    </x:row>
    <x:row r="60" ht="23" customHeight="1">
      <x:c r="A60" s="21" t="str">
        <x:v>全量观察(探索)</x:v>
      </x:c>
      <x:c r="B60" s="22" t="str">
        <x:v>边际递减</x:v>
      </x:c>
      <x:c r="C60" s="22" t="str">
        <x:v>均衡型</x:v>
      </x:c>
      <x:c r="D60" s="22" t="str">
        <x:v>固定凹函数</x:v>
      </x:c>
      <x:c r="E60" s="24" t="n">
        <x:v>174</x:v>
      </x:c>
      <x:c r="F60" s="22" t="n">
        <x:v>0.895846076080258</x:v>
      </x:c>
      <x:c r="G60" s="22" t="n">
        <x:v>0.7871009030790016</x:v>
      </x:c>
      <x:c r="H60" s="22" t="n">
        <x:v>0.8055555555555556</x:v>
      </x:c>
      <x:c r="I60" s="22" t="n">
        <x:v>0.868421052631579</x:v>
      </x:c>
      <x:c r="J60" s="22" t="n">
        <x:v>0.8285714285714286</x:v>
      </x:c>
      <x:c r="K60" s="22" t="n">
        <x:v>0.38666666666666666</x:v>
      </x:c>
      <x:c r="L60" s="22" t="str">
        <x:v>NA</x:v>
      </x:c>
      <x:c r="M60" s="22" t="str">
        <x:v>f(z)=(1-exp(-2z))/(1-exp(-2))</x:v>
      </x:c>
    </x:row>
    <x:row r="61" ht="23" customHeight="1">
      <x:c r="A61" s="21" t="str">
        <x:v>全量观察(探索)</x:v>
      </x:c>
      <x:c r="B61" s="22" t="str">
        <x:v>边际递减</x:v>
      </x:c>
      <x:c r="C61" s="22" t="str">
        <x:v>突破优先型</x:v>
      </x:c>
      <x:c r="D61" s="22" t="str">
        <x:v>固定凹函数</x:v>
      </x:c>
      <x:c r="E61" s="24" t="n">
        <x:v>174</x:v>
      </x:c>
      <x:c r="F61" s="22" t="n">
        <x:v>0.9726533918980365</x:v>
      </x:c>
      <x:c r="G61" s="22" t="n">
        <x:v>0.90741662518666</x:v>
      </x:c>
      <x:c r="H61" s="22" t="n">
        <x:v>0.7837837837837838</x:v>
      </x:c>
      <x:c r="I61" s="22" t="n">
        <x:v>0.7804878048780488</x:v>
      </x:c>
      <x:c r="J61" s="22" t="n">
        <x:v>0.7941176470588235</x:v>
      </x:c>
      <x:c r="K61" s="22" t="n">
        <x:v>0.36486486486486486</x:v>
      </x:c>
      <x:c r="L61" s="22" t="str">
        <x:v>NA</x:v>
      </x:c>
      <x:c r="M61" s="22" t="str">
        <x:v>f(z)=(1-exp(-2z))/(1-exp(-2))</x:v>
      </x:c>
    </x:row>
    <x:row r="62" ht="23" customHeight="1">
      <x:c r="A62" s="21" t="str">
        <x:v>全量观察(探索)</x:v>
      </x:c>
      <x:c r="B62" s="22" t="str">
        <x:v>边际递减</x:v>
      </x:c>
      <x:c r="C62" s="22" t="str">
        <x:v>质量导向型（教学诊断对照）</x:v>
      </x:c>
      <x:c r="D62" s="22" t="str">
        <x:v>固定凹函数</x:v>
      </x:c>
      <x:c r="E62" s="24" t="n">
        <x:v>174</x:v>
      </x:c>
      <x:c r="F62" s="22" t="n">
        <x:v>0.8726771655360726</x:v>
      </x:c>
      <x:c r="G62" s="22" t="n">
        <x:v>0.7622128990969209</x:v>
      </x:c>
      <x:c r="H62" s="22" t="n">
        <x:v>0.8055555555555556</x:v>
      </x:c>
      <x:c r="I62" s="22" t="n">
        <x:v>0.868421052631579</x:v>
      </x:c>
      <x:c r="J62" s="22" t="n">
        <x:v>0.8571428571428571</x:v>
      </x:c>
      <x:c r="K62" s="22" t="n">
        <x:v>0.4</x:v>
      </x:c>
      <x:c r="L62" s="22" t="str">
        <x:v>NA</x:v>
      </x:c>
      <x:c r="M62" s="22" t="str">
        <x:v>f(z)=(1-exp(-2z))/(1-exp(-2))</x:v>
      </x:c>
    </x:row>
    <x:row r="63" ht="23" customHeight="1">
      <x:c r="A63" s="21" t="str">
        <x:v>全量观察(探索)</x:v>
      </x:c>
      <x:c r="B63" s="22" t="str">
        <x:v>边际递减</x:v>
      </x:c>
      <x:c r="C63" s="22" t="str">
        <x:v>分组熵权型</x:v>
      </x:c>
      <x:c r="D63" s="22" t="str">
        <x:v>固定凹函数</x:v>
      </x:c>
      <x:c r="E63" s="24" t="n">
        <x:v>174</x:v>
      </x:c>
      <x:c r="F63" s="22" t="n">
        <x:v>0.9098817550022736</x:v>
      </x:c>
      <x:c r="G63" s="22" t="n">
        <x:v>0.803455877124369</x:v>
      </x:c>
      <x:c r="H63" s="22" t="n">
        <x:v>0.7837837837837838</x:v>
      </x:c>
      <x:c r="I63" s="22" t="n">
        <x:v>0.8461538461538461</x:v>
      </x:c>
      <x:c r="J63" s="22" t="n">
        <x:v>0.8529411764705882</x:v>
      </x:c>
      <x:c r="K63" s="22" t="n">
        <x:v>0.3918918918918919</x:v>
      </x:c>
      <x:c r="L63" s="22" t="str">
        <x:v>NA</x:v>
      </x:c>
      <x:c r="M63" s="22" t="str">
        <x:v>f(z)=(1-exp(-2z))/(1-exp(-2))</x:v>
      </x:c>
    </x:row>
    <x:row r="64" ht="23" customHeight="1">
      <x:c r="A64" s="21" t="str">
        <x:v>全量观察(探索)</x:v>
      </x:c>
      <x:c r="B64" s="22" t="str">
        <x:v>指标相关</x:v>
      </x:c>
      <x:c r="C64" s="22" t="str">
        <x:v>CTQ合计</x:v>
      </x:c>
      <x:c r="D64" s="22" t="str">
        <x:v>CTQ均值</x:v>
      </x:c>
      <x:c r="E64" s="24" t="n">
        <x:v>174</x:v>
      </x:c>
      <x:c r="F64" s="22" t="n">
        <x:v>0.9831511277354263</x:v>
      </x:c>
      <x:c r="G64" s="22" t="str">
        <x:v>NA</x:v>
      </x:c>
      <x:c r="H64" s="22" t="str">
        <x:v>NA</x:v>
      </x:c>
      <x:c r="I64" s="22" t="str">
        <x:v>NA</x:v>
      </x:c>
      <x:c r="J64" s="22" t="str">
        <x:v>NA</x:v>
      </x:c>
      <x:c r="K64" s="22" t="str">
        <x:v>NA</x:v>
      </x:c>
      <x:c r="L64" s="22" t="n">
        <x:v>0.9640770368272181</x:v>
      </x:c>
      <x:c r="M64" s="22" t="str">
        <x:v>相关性不能单独证明重复计权</x:v>
      </x:c>
    </x:row>
    <x:row r="65" ht="23" customHeight="1">
      <x:c r="A65" s="21" t="str">
        <x:v>全量观察(探索)</x:v>
      </x:c>
      <x:c r="B65" s="22" t="str">
        <x:v>指标相关</x:v>
      </x:c>
      <x:c r="C65" s="22" t="str">
        <x:v>CTQ合计</x:v>
      </x:c>
      <x:c r="D65" s="22" t="str">
        <x:v>CTQ最高</x:v>
      </x:c>
      <x:c r="E65" s="24" t="n">
        <x:v>174</x:v>
      </x:c>
      <x:c r="F65" s="22" t="n">
        <x:v>0.9986919677436641</x:v>
      </x:c>
      <x:c r="G65" s="22" t="str">
        <x:v>NA</x:v>
      </x:c>
      <x:c r="H65" s="22" t="str">
        <x:v>NA</x:v>
      </x:c>
      <x:c r="I65" s="22" t="str">
        <x:v>NA</x:v>
      </x:c>
      <x:c r="J65" s="22" t="str">
        <x:v>NA</x:v>
      </x:c>
      <x:c r="K65" s="22" t="str">
        <x:v>NA</x:v>
      </x:c>
      <x:c r="L65" s="22" t="n">
        <x:v>0.9834165790346459</x:v>
      </x:c>
      <x:c r="M65" s="22" t="str">
        <x:v>相关性不能单独证明重复计权</x:v>
      </x:c>
    </x:row>
    <x:row r="66" ht="23" customHeight="1">
      <x:c r="A66" s="21" t="str">
        <x:v>全量观察(探索)</x:v>
      </x:c>
      <x:c r="B66" s="22" t="str">
        <x:v>指标相关</x:v>
      </x:c>
      <x:c r="C66" s="22" t="str">
        <x:v>CTQ合计</x:v>
      </x:c>
      <x:c r="D66" s="22" t="str">
        <x:v>QAPro质量比例</x:v>
      </x:c>
      <x:c r="E66" s="24" t="n">
        <x:v>174</x:v>
      </x:c>
      <x:c r="F66" s="22" t="n">
        <x:v>-0.026013150142340798</x:v>
      </x:c>
      <x:c r="G66" s="22" t="str">
        <x:v>NA</x:v>
      </x:c>
      <x:c r="H66" s="22" t="str">
        <x:v>NA</x:v>
      </x:c>
      <x:c r="I66" s="22" t="str">
        <x:v>NA</x:v>
      </x:c>
      <x:c r="J66" s="22" t="str">
        <x:v>NA</x:v>
      </x:c>
      <x:c r="K66" s="22" t="str">
        <x:v>NA</x:v>
      </x:c>
      <x:c r="L66" s="22" t="n">
        <x:v>-0.027081460980796425</x:v>
      </x:c>
      <x:c r="M66" s="22" t="str">
        <x:v>相关性不能单独证明重复计权</x:v>
      </x:c>
    </x:row>
    <x:row r="67" ht="23" customHeight="1">
      <x:c r="A67" s="21" t="str">
        <x:v>全量观察(探索)</x:v>
      </x:c>
      <x:c r="B67" s="22" t="str">
        <x:v>指标相关</x:v>
      </x:c>
      <x:c r="C67" s="22" t="str">
        <x:v>CTQ均值</x:v>
      </x:c>
      <x:c r="D67" s="22" t="str">
        <x:v>CTQ最高</x:v>
      </x:c>
      <x:c r="E67" s="24" t="n">
        <x:v>174</x:v>
      </x:c>
      <x:c r="F67" s="22" t="n">
        <x:v>0.9867112677253739</x:v>
      </x:c>
      <x:c r="G67" s="22" t="str">
        <x:v>NA</x:v>
      </x:c>
      <x:c r="H67" s="22" t="str">
        <x:v>NA</x:v>
      </x:c>
      <x:c r="I67" s="22" t="str">
        <x:v>NA</x:v>
      </x:c>
      <x:c r="J67" s="22" t="str">
        <x:v>NA</x:v>
      </x:c>
      <x:c r="K67" s="22" t="str">
        <x:v>NA</x:v>
      </x:c>
      <x:c r="L67" s="22" t="n">
        <x:v>0.9872778151131338</x:v>
      </x:c>
      <x:c r="M67" s="22" t="str">
        <x:v>相关性不能单独证明重复计权</x:v>
      </x:c>
    </x:row>
    <x:row r="68" ht="23" customHeight="1">
      <x:c r="A68" s="21" t="str">
        <x:v>全量观察(探索)</x:v>
      </x:c>
      <x:c r="B68" s="22" t="str">
        <x:v>指标相关</x:v>
      </x:c>
      <x:c r="C68" s="22" t="str">
        <x:v>CTQ均值</x:v>
      </x:c>
      <x:c r="D68" s="22" t="str">
        <x:v>QAPro质量比例</x:v>
      </x:c>
      <x:c r="E68" s="24" t="n">
        <x:v>174</x:v>
      </x:c>
      <x:c r="F68" s="22" t="n">
        <x:v>-0.02206352943118225</x:v>
      </x:c>
      <x:c r="G68" s="22" t="str">
        <x:v>NA</x:v>
      </x:c>
      <x:c r="H68" s="22" t="str">
        <x:v>NA</x:v>
      </x:c>
      <x:c r="I68" s="22" t="str">
        <x:v>NA</x:v>
      </x:c>
      <x:c r="J68" s="22" t="str">
        <x:v>NA</x:v>
      </x:c>
      <x:c r="K68" s="22" t="str">
        <x:v>NA</x:v>
      </x:c>
      <x:c r="L68" s="22" t="n">
        <x:v>-0.026307390173285882</x:v>
      </x:c>
      <x:c r="M68" s="22" t="str">
        <x:v>相关性不能单独证明重复计权</x:v>
      </x:c>
    </x:row>
    <x:row r="69" ht="23" customHeight="1">
      <x:c r="A69" s="21" t="str">
        <x:v>全量观察(探索)</x:v>
      </x:c>
      <x:c r="B69" s="22" t="str">
        <x:v>指标相关</x:v>
      </x:c>
      <x:c r="C69" s="22" t="str">
        <x:v>CTQ最高</x:v>
      </x:c>
      <x:c r="D69" s="22" t="str">
        <x:v>QAPro质量比例</x:v>
      </x:c>
      <x:c r="E69" s="24" t="n">
        <x:v>174</x:v>
      </x:c>
      <x:c r="F69" s="22" t="n">
        <x:v>-0.026161582530229356</x:v>
      </x:c>
      <x:c r="G69" s="22" t="str">
        <x:v>NA</x:v>
      </x:c>
      <x:c r="H69" s="22" t="str">
        <x:v>NA</x:v>
      </x:c>
      <x:c r="I69" s="22" t="str">
        <x:v>NA</x:v>
      </x:c>
      <x:c r="J69" s="22" t="str">
        <x:v>NA</x:v>
      </x:c>
      <x:c r="K69" s="22" t="str">
        <x:v>NA</x:v>
      </x:c>
      <x:c r="L69" s="22" t="n">
        <x:v>-0.030454561348334498</x:v>
      </x:c>
      <x:c r="M69" s="22" t="str">
        <x:v>相关性不能单独证明重复计权</x:v>
      </x:c>
    </x:row>
    <x:row r="70" ht="23" customHeight="1">
      <x:c r="A70" s="21" t="str">
        <x:v>全量观察(探索)</x:v>
      </x:c>
      <x:c r="B70" s="22" t="str">
        <x:v>前后20%边界</x:v>
      </x:c>
      <x:c r="C70" s="22" t="str">
        <x:v>均衡型</x:v>
      </x:c>
      <x:c r="D70" s="22" t="str">
        <x:v>人数</x:v>
      </x:c>
      <x:c r="E70" s="24" t="n">
        <x:v>174</x:v>
      </x:c>
      <x:c r="F70" s="22" t="str">
        <x:v>NA</x:v>
      </x:c>
      <x:c r="G70" s="22" t="str">
        <x:v>NA</x:v>
      </x:c>
      <x:c r="H70" s="22" t="str">
        <x:v>NA</x:v>
      </x:c>
      <x:c r="I70" s="22" t="str">
        <x:v>NA</x:v>
      </x:c>
      <x:c r="J70" s="22" t="str">
        <x:v>NA</x:v>
      </x:c>
      <x:c r="K70" s="22" t="str">
        <x:v>NA</x:v>
      </x:c>
      <x:c r="L70" s="22" t="str">
        <x:v>NA</x:v>
      </x:c>
      <x:c r="M70" s="22" t="str">
        <x:v>目标35；前严格/边界/含边界=33/2/35；后=34/1/35</x:v>
      </x:c>
    </x:row>
    <x:row r="71" ht="23" customHeight="1">
      <x:c r="A71" s="21" t="str">
        <x:v>全量观察(探索)</x:v>
      </x:c>
      <x:c r="B71" s="22" t="str">
        <x:v>前后20%边界</x:v>
      </x:c>
      <x:c r="C71" s="22" t="str">
        <x:v>突破优先型</x:v>
      </x:c>
      <x:c r="D71" s="22" t="str">
        <x:v>人数</x:v>
      </x:c>
      <x:c r="E71" s="24" t="n">
        <x:v>174</x:v>
      </x:c>
      <x:c r="F71" s="22" t="str">
        <x:v>NA</x:v>
      </x:c>
      <x:c r="G71" s="22" t="str">
        <x:v>NA</x:v>
      </x:c>
      <x:c r="H71" s="22" t="str">
        <x:v>NA</x:v>
      </x:c>
      <x:c r="I71" s="22" t="str">
        <x:v>NA</x:v>
      </x:c>
      <x:c r="J71" s="22" t="str">
        <x:v>NA</x:v>
      </x:c>
      <x:c r="K71" s="22" t="str">
        <x:v>NA</x:v>
      </x:c>
      <x:c r="L71" s="22" t="str">
        <x:v>NA</x:v>
      </x:c>
      <x:c r="M71" s="22" t="str">
        <x:v>目标35；前严格/边界/含边界=33/4/37；后=34/1/35</x:v>
      </x:c>
    </x:row>
    <x:row r="72" ht="23" customHeight="1">
      <x:c r="A72" s="21" t="str">
        <x:v>全量观察(探索)</x:v>
      </x:c>
      <x:c r="B72" s="22" t="str">
        <x:v>前后20%边界</x:v>
      </x:c>
      <x:c r="C72" s="22" t="str">
        <x:v>质量导向型（教学诊断对照）</x:v>
      </x:c>
      <x:c r="D72" s="22" t="str">
        <x:v>人数</x:v>
      </x:c>
      <x:c r="E72" s="24" t="n">
        <x:v>174</x:v>
      </x:c>
      <x:c r="F72" s="22" t="str">
        <x:v>NA</x:v>
      </x:c>
      <x:c r="G72" s="22" t="str">
        <x:v>NA</x:v>
      </x:c>
      <x:c r="H72" s="22" t="str">
        <x:v>NA</x:v>
      </x:c>
      <x:c r="I72" s="22" t="str">
        <x:v>NA</x:v>
      </x:c>
      <x:c r="J72" s="22" t="str">
        <x:v>NA</x:v>
      </x:c>
      <x:c r="K72" s="22" t="str">
        <x:v>NA</x:v>
      </x:c>
      <x:c r="L72" s="22" t="str">
        <x:v>NA</x:v>
      </x:c>
      <x:c r="M72" s="22" t="str">
        <x:v>目标35；前严格/边界/含边界=33/2/35；后=34/1/35</x:v>
      </x:c>
    </x:row>
    <x:row r="73" ht="23" customHeight="1">
      <x:c r="A73" s="21" t="str">
        <x:v>全量观察(探索)</x:v>
      </x:c>
      <x:c r="B73" s="22" t="str">
        <x:v>前后20%边界</x:v>
      </x:c>
      <x:c r="C73" s="22" t="str">
        <x:v>分组熵权型</x:v>
      </x:c>
      <x:c r="D73" s="22" t="str">
        <x:v>人数</x:v>
      </x:c>
      <x:c r="E73" s="24" t="n">
        <x:v>174</x:v>
      </x:c>
      <x:c r="F73" s="22" t="str">
        <x:v>NA</x:v>
      </x:c>
      <x:c r="G73" s="22" t="str">
        <x:v>NA</x:v>
      </x:c>
      <x:c r="H73" s="22" t="str">
        <x:v>NA</x:v>
      </x:c>
      <x:c r="I73" s="22" t="str">
        <x:v>NA</x:v>
      </x:c>
      <x:c r="J73" s="22" t="str">
        <x:v>NA</x:v>
      </x:c>
      <x:c r="K73" s="22" t="str">
        <x:v>NA</x:v>
      </x:c>
      <x:c r="L73" s="22" t="str">
        <x:v>NA</x:v>
      </x:c>
      <x:c r="M73" s="22" t="str">
        <x:v>目标35；前严格/边界/含边界=33/2/35；后=34/1/35</x:v>
      </x:c>
    </x:row>
    <x:row r="74" ht="23" customHeight="1">
      <x:c r="A74" s="21" t="str">
        <x:v>全量观察(探索)</x:v>
      </x:c>
      <x:c r="B74" s="22" t="str">
        <x:v>前后20%边界</x:v>
      </x:c>
      <x:c r="C74" s="22" t="str">
        <x:v>四项原始熵权对照</x:v>
      </x:c>
      <x:c r="D74" s="22" t="str">
        <x:v>人数</x:v>
      </x:c>
      <x:c r="E74" s="24" t="n">
        <x:v>174</x:v>
      </x:c>
      <x:c r="F74" s="22" t="str">
        <x:v>NA</x:v>
      </x:c>
      <x:c r="G74" s="22" t="str">
        <x:v>NA</x:v>
      </x:c>
      <x:c r="H74" s="22" t="str">
        <x:v>NA</x:v>
      </x:c>
      <x:c r="I74" s="22" t="str">
        <x:v>NA</x:v>
      </x:c>
      <x:c r="J74" s="22" t="str">
        <x:v>NA</x:v>
      </x:c>
      <x:c r="K74" s="22" t="str">
        <x:v>NA</x:v>
      </x:c>
      <x:c r="L74" s="22" t="str">
        <x:v>NA</x:v>
      </x:c>
      <x:c r="M74" s="22" t="str">
        <x:v>目标35；前严格/边界/含边界=33/2/35；后=27/39/66</x:v>
      </x:c>
    </x:row>
    <x:row r="75" ht="23" customHeight="1">
      <x:c r="A75" s="21" t="str">
        <x:v>观察s3分层</x:v>
      </x:c>
      <x:c r="B75" s="22" t="str">
        <x:v>方案对比</x:v>
      </x:c>
      <x:c r="C75" s="22" t="str">
        <x:v>均衡型</x:v>
      </x:c>
      <x:c r="D75" s="22" t="str">
        <x:v>突破优先型</x:v>
      </x:c>
      <x:c r="E75" s="24" t="n">
        <x:v>164</x:v>
      </x:c>
      <x:c r="F75" s="22" t="n">
        <x:v>0.916126494759286</x:v>
      </x:c>
      <x:c r="G75" s="22" t="n">
        <x:v>0.8171731789676796</x:v>
      </x:c>
      <x:c r="H75" s="22" t="n">
        <x:v>0.7222222222222222</x:v>
      </x:c>
      <x:c r="I75" s="22" t="n">
        <x:v>0.7692307692307693</x:v>
      </x:c>
      <x:c r="J75" s="22" t="n">
        <x:v>0.9393939393939394</x:v>
      </x:c>
      <x:c r="K75" s="22" t="n">
        <x:v>0.9411764705882353</x:v>
      </x:c>
      <x:c r="L75" s="22" t="str">
        <x:v>NA</x:v>
      </x:c>
      <x:c r="M75" s="22" t="str"/>
    </x:row>
    <x:row r="76" ht="23" customHeight="1">
      <x:c r="A76" s="21" t="str">
        <x:v>观察s3分层</x:v>
      </x:c>
      <x:c r="B76" s="22" t="str">
        <x:v>方案对比</x:v>
      </x:c>
      <x:c r="C76" s="22" t="str">
        <x:v>均衡型</x:v>
      </x:c>
      <x:c r="D76" s="22" t="str">
        <x:v>质量导向型（教学诊断对照）</x:v>
      </x:c>
      <x:c r="E76" s="24" t="n">
        <x:v>164</x:v>
      </x:c>
      <x:c r="F76" s="22" t="n">
        <x:v>0.987952222904577</x:v>
      </x:c>
      <x:c r="G76" s="22" t="n">
        <x:v>0.9598006110307122</x:v>
      </x:c>
      <x:c r="H76" s="22" t="n">
        <x:v>1</x:v>
      </x:c>
      <x:c r="I76" s="22" t="n">
        <x:v>1</x:v>
      </x:c>
      <x:c r="J76" s="22" t="n">
        <x:v>1</x:v>
      </x:c>
      <x:c r="K76" s="22" t="n">
        <x:v>0.9411764705882353</x:v>
      </x:c>
      <x:c r="L76" s="22" t="str">
        <x:v>NA</x:v>
      </x:c>
      <x:c r="M76" s="22" t="str"/>
    </x:row>
    <x:row r="77" ht="23" customHeight="1">
      <x:c r="A77" s="21" t="str">
        <x:v>观察s3分层</x:v>
      </x:c>
      <x:c r="B77" s="22" t="str">
        <x:v>方案对比</x:v>
      </x:c>
      <x:c r="C77" s="22" t="str">
        <x:v>均衡型</x:v>
      </x:c>
      <x:c r="D77" s="22" t="str">
        <x:v>分组熵权型</x:v>
      </x:c>
      <x:c r="E77" s="24" t="n">
        <x:v>164</x:v>
      </x:c>
      <x:c r="F77" s="22" t="n">
        <x:v>0.990554984371011</x:v>
      </x:c>
      <x:c r="G77" s="22" t="n">
        <x:v>0.9667149059334298</x:v>
      </x:c>
      <x:c r="H77" s="22" t="n">
        <x:v>1</x:v>
      </x:c>
      <x:c r="I77" s="22" t="n">
        <x:v>1</x:v>
      </x:c>
      <x:c r="J77" s="22" t="n">
        <x:v>0.9393939393939394</x:v>
      </x:c>
      <x:c r="K77" s="22" t="n">
        <x:v>0.9411764705882353</x:v>
      </x:c>
      <x:c r="L77" s="22" t="str">
        <x:v>NA</x:v>
      </x:c>
      <x:c r="M77" s="22" t="str"/>
    </x:row>
    <x:row r="78" ht="23" customHeight="1">
      <x:c r="A78" s="21" t="str">
        <x:v>观察s3分层</x:v>
      </x:c>
      <x:c r="B78" s="22" t="str">
        <x:v>方案对比</x:v>
      </x:c>
      <x:c r="C78" s="22" t="str">
        <x:v>突破优先型</x:v>
      </x:c>
      <x:c r="D78" s="22" t="str">
        <x:v>质量导向型（教学诊断对照）</x:v>
      </x:c>
      <x:c r="E78" s="24" t="n">
        <x:v>164</x:v>
      </x:c>
      <x:c r="F78" s="22" t="n">
        <x:v>0.884261297378608</x:v>
      </x:c>
      <x:c r="G78" s="22" t="n">
        <x:v>0.776973789998392</x:v>
      </x:c>
      <x:c r="H78" s="22" t="n">
        <x:v>0.7222222222222222</x:v>
      </x:c>
      <x:c r="I78" s="22" t="n">
        <x:v>0.7692307692307693</x:v>
      </x:c>
      <x:c r="J78" s="22" t="n">
        <x:v>0.9393939393939394</x:v>
      </x:c>
      <x:c r="K78" s="22" t="n">
        <x:v>0.8857142857142857</x:v>
      </x:c>
      <x:c r="L78" s="22" t="str">
        <x:v>NA</x:v>
      </x:c>
      <x:c r="M78" s="22" t="str"/>
    </x:row>
    <x:row r="79" ht="23" customHeight="1">
      <x:c r="A79" s="21" t="str">
        <x:v>观察s3分层</x:v>
      </x:c>
      <x:c r="B79" s="22" t="str">
        <x:v>方案对比</x:v>
      </x:c>
      <x:c r="C79" s="22" t="str">
        <x:v>突破优先型</x:v>
      </x:c>
      <x:c r="D79" s="22" t="str">
        <x:v>分组熵权型</x:v>
      </x:c>
      <x:c r="E79" s="24" t="n">
        <x:v>164</x:v>
      </x:c>
      <x:c r="F79" s="22" t="n">
        <x:v>0.9398383969418241</x:v>
      </x:c>
      <x:c r="G79" s="22" t="n">
        <x:v>0.8504582730342498</x:v>
      </x:c>
      <x:c r="H79" s="22" t="n">
        <x:v>0.7222222222222222</x:v>
      </x:c>
      <x:c r="I79" s="22" t="n">
        <x:v>0.7692307692307693</x:v>
      </x:c>
      <x:c r="J79" s="22" t="n">
        <x:v>1</x:v>
      </x:c>
      <x:c r="K79" s="22" t="n">
        <x:v>1</x:v>
      </x:c>
      <x:c r="L79" s="22" t="str">
        <x:v>NA</x:v>
      </x:c>
      <x:c r="M79" s="22" t="str"/>
    </x:row>
    <x:row r="80" ht="23" customHeight="1">
      <x:c r="A80" s="21" t="str">
        <x:v>观察s3分层</x:v>
      </x:c>
      <x:c r="B80" s="22" t="str">
        <x:v>方案对比</x:v>
      </x:c>
      <x:c r="C80" s="22" t="str">
        <x:v>质量导向型（教学诊断对照）</x:v>
      </x:c>
      <x:c r="D80" s="22" t="str">
        <x:v>分组熵权型</x:v>
      </x:c>
      <x:c r="E80" s="24" t="n">
        <x:v>164</x:v>
      </x:c>
      <x:c r="F80" s="22" t="n">
        <x:v>0.9758437239085583</x:v>
      </x:c>
      <x:c r="G80" s="22" t="n">
        <x:v>0.926515516964142</x:v>
      </x:c>
      <x:c r="H80" s="22" t="n">
        <x:v>1</x:v>
      </x:c>
      <x:c r="I80" s="22" t="n">
        <x:v>1</x:v>
      </x:c>
      <x:c r="J80" s="22" t="n">
        <x:v>0.9393939393939394</x:v>
      </x:c>
      <x:c r="K80" s="22" t="n">
        <x:v>0.8857142857142857</x:v>
      </x:c>
      <x:c r="L80" s="22" t="str">
        <x:v>NA</x:v>
      </x:c>
      <x:c r="M80" s="22" t="str"/>
    </x:row>
    <x:row r="81" ht="23" customHeight="1">
      <x:c r="A81" s="21" t="str">
        <x:v>观察s3分层</x:v>
      </x:c>
      <x:c r="B81" s="22" t="str">
        <x:v>权重±10%</x:v>
      </x:c>
      <x:c r="C81" s="22" t="str">
        <x:v>均衡型</x:v>
      </x:c>
      <x:c r="D81" s="22" t="str">
        <x:v>CTQ合计 ×0.9</x:v>
      </x:c>
      <x:c r="E81" s="24" t="n">
        <x:v>164</x:v>
      </x:c>
      <x:c r="F81" s="22" t="n">
        <x:v>0.9999972399136092</x:v>
      </x:c>
      <x:c r="G81" s="22" t="n">
        <x:v>0.9998392024441227</x:v>
      </x:c>
      <x:c r="H81" s="22" t="n">
        <x:v>1</x:v>
      </x:c>
      <x:c r="I81" s="22" t="n">
        <x:v>1</x:v>
      </x:c>
      <x:c r="J81" s="22" t="n">
        <x:v>1</x:v>
      </x:c>
      <x:c r="K81" s="22" t="n">
        <x:v>1</x:v>
      </x:c>
      <x:c r="L81" s="22" t="str">
        <x:v>NA</x:v>
      </x:c>
      <x:c r="M81" s="22" t="str">
        <x:v>扰动后重新归一化</x:v>
      </x:c>
    </x:row>
    <x:row r="82" ht="23" customHeight="1">
      <x:c r="A82" s="21" t="str">
        <x:v>观察s3分层</x:v>
      </x:c>
      <x:c r="B82" s="22" t="str">
        <x:v>权重±10%</x:v>
      </x:c>
      <x:c r="C82" s="22" t="str">
        <x:v>均衡型</x:v>
      </x:c>
      <x:c r="D82" s="22" t="str">
        <x:v>CTQ合计 ×1.1</x:v>
      </x:c>
      <x:c r="E82" s="24" t="n">
        <x:v>164</x:v>
      </x:c>
      <x:c r="F82" s="22" t="n">
        <x:v>0.9999917197408278</x:v>
      </x:c>
      <x:c r="G82" s="22" t="n">
        <x:v>0.9995176073323685</x:v>
      </x:c>
      <x:c r="H82" s="22" t="n">
        <x:v>1</x:v>
      </x:c>
      <x:c r="I82" s="22" t="n">
        <x:v>1</x:v>
      </x:c>
      <x:c r="J82" s="22" t="n">
        <x:v>1</x:v>
      </x:c>
      <x:c r="K82" s="22" t="n">
        <x:v>1</x:v>
      </x:c>
      <x:c r="L82" s="22" t="str">
        <x:v>NA</x:v>
      </x:c>
      <x:c r="M82" s="22" t="str">
        <x:v>扰动后重新归一化</x:v>
      </x:c>
    </x:row>
    <x:row r="83" ht="23" customHeight="1">
      <x:c r="A83" s="21" t="str">
        <x:v>观察s3分层</x:v>
      </x:c>
      <x:c r="B83" s="22" t="str">
        <x:v>权重±10%</x:v>
      </x:c>
      <x:c r="C83" s="22" t="str">
        <x:v>均衡型</x:v>
      </x:c>
      <x:c r="D83" s="22" t="str">
        <x:v>CTQ均值 ×0.9</x:v>
      </x:c>
      <x:c r="E83" s="24" t="n">
        <x:v>164</x:v>
      </x:c>
      <x:c r="F83" s="22" t="n">
        <x:v>0.9977753703690926</x:v>
      </x:c>
      <x:c r="G83" s="22" t="n">
        <x:v>0.9897089564238623</x:v>
      </x:c>
      <x:c r="H83" s="22" t="n">
        <x:v>1</x:v>
      </x:c>
      <x:c r="I83" s="22" t="n">
        <x:v>1</x:v>
      </x:c>
      <x:c r="J83" s="22" t="n">
        <x:v>1</x:v>
      </x:c>
      <x:c r="K83" s="22" t="n">
        <x:v>1</x:v>
      </x:c>
      <x:c r="L83" s="22" t="str">
        <x:v>NA</x:v>
      </x:c>
      <x:c r="M83" s="22" t="str">
        <x:v>扰动后重新归一化</x:v>
      </x:c>
    </x:row>
    <x:row r="84" ht="23" customHeight="1">
      <x:c r="A84" s="21" t="str">
        <x:v>观察s3分层</x:v>
      </x:c>
      <x:c r="B84" s="22" t="str">
        <x:v>权重±10%</x:v>
      </x:c>
      <x:c r="C84" s="22" t="str">
        <x:v>均衡型</x:v>
      </x:c>
      <x:c r="D84" s="22" t="str">
        <x:v>CTQ均值 ×1.1</x:v>
      </x:c>
      <x:c r="E84" s="24" t="n">
        <x:v>164</x:v>
      </x:c>
      <x:c r="F84" s="22" t="n">
        <x:v>0.9934227141309522</x:v>
      </x:c>
      <x:c r="G84" s="22" t="n">
        <x:v>0.9784531275124617</x:v>
      </x:c>
      <x:c r="H84" s="22" t="n">
        <x:v>1</x:v>
      </x:c>
      <x:c r="I84" s="22" t="n">
        <x:v>1</x:v>
      </x:c>
      <x:c r="J84" s="22" t="n">
        <x:v>1</x:v>
      </x:c>
      <x:c r="K84" s="22" t="n">
        <x:v>1</x:v>
      </x:c>
      <x:c r="L84" s="22" t="str">
        <x:v>NA</x:v>
      </x:c>
      <x:c r="M84" s="22" t="str">
        <x:v>扰动后重新归一化</x:v>
      </x:c>
    </x:row>
    <x:row r="85" ht="23" customHeight="1">
      <x:c r="A85" s="21" t="str">
        <x:v>观察s3分层</x:v>
      </x:c>
      <x:c r="B85" s="22" t="str">
        <x:v>权重±10%</x:v>
      </x:c>
      <x:c r="C85" s="22" t="str">
        <x:v>均衡型</x:v>
      </x:c>
      <x:c r="D85" s="22" t="str">
        <x:v>CTQ最高 ×0.9</x:v>
      </x:c>
      <x:c r="E85" s="24" t="n">
        <x:v>164</x:v>
      </x:c>
      <x:c r="F85" s="22" t="n">
        <x:v>0.997871973392767</x:v>
      </x:c>
      <x:c r="G85" s="22" t="n">
        <x:v>0.9913169319826338</x:v>
      </x:c>
      <x:c r="H85" s="22" t="n">
        <x:v>1</x:v>
      </x:c>
      <x:c r="I85" s="22" t="n">
        <x:v>1</x:v>
      </x:c>
      <x:c r="J85" s="22" t="n">
        <x:v>1</x:v>
      </x:c>
      <x:c r="K85" s="22" t="n">
        <x:v>1</x:v>
      </x:c>
      <x:c r="L85" s="22" t="str">
        <x:v>NA</x:v>
      </x:c>
      <x:c r="M85" s="22" t="str">
        <x:v>扰动后重新归一化</x:v>
      </x:c>
    </x:row>
    <x:row r="86" ht="23" customHeight="1">
      <x:c r="A86" s="21" t="str">
        <x:v>观察s3分层</x:v>
      </x:c>
      <x:c r="B86" s="22" t="str">
        <x:v>权重±10%</x:v>
      </x:c>
      <x:c r="C86" s="22" t="str">
        <x:v>均衡型</x:v>
      </x:c>
      <x:c r="D86" s="22" t="str">
        <x:v>CTQ最高 ×1.1</x:v>
      </x:c>
      <x:c r="E86" s="24" t="n">
        <x:v>164</x:v>
      </x:c>
      <x:c r="F86" s="22" t="n">
        <x:v>0.9934806759451571</x:v>
      </x:c>
      <x:c r="G86" s="22" t="n">
        <x:v>0.9794179128477246</x:v>
      </x:c>
      <x:c r="H86" s="22" t="n">
        <x:v>1</x:v>
      </x:c>
      <x:c r="I86" s="22" t="n">
        <x:v>1</x:v>
      </x:c>
      <x:c r="J86" s="22" t="n">
        <x:v>1</x:v>
      </x:c>
      <x:c r="K86" s="22" t="n">
        <x:v>1</x:v>
      </x:c>
      <x:c r="L86" s="22" t="str">
        <x:v>NA</x:v>
      </x:c>
      <x:c r="M86" s="22" t="str">
        <x:v>扰动后重新归一化</x:v>
      </x:c>
    </x:row>
    <x:row r="87" ht="23" customHeight="1">
      <x:c r="A87" s="21" t="str">
        <x:v>观察s3分层</x:v>
      </x:c>
      <x:c r="B87" s="22" t="str">
        <x:v>权重±10%</x:v>
      </x:c>
      <x:c r="C87" s="22" t="str">
        <x:v>均衡型</x:v>
      </x:c>
      <x:c r="D87" s="22" t="str">
        <x:v>QAPro质量比例 ×0.9</x:v>
      </x:c>
      <x:c r="E87" s="24" t="n">
        <x:v>164</x:v>
      </x:c>
      <x:c r="F87" s="22" t="n">
        <x:v>0.9932543488611194</x:v>
      </x:c>
      <x:c r="G87" s="22" t="n">
        <x:v>0.9757195690625502</x:v>
      </x:c>
      <x:c r="H87" s="22" t="n">
        <x:v>1</x:v>
      </x:c>
      <x:c r="I87" s="22" t="n">
        <x:v>1</x:v>
      </x:c>
      <x:c r="J87" s="22" t="n">
        <x:v>0.9393939393939394</x:v>
      </x:c>
      <x:c r="K87" s="22" t="n">
        <x:v>0.9411764705882353</x:v>
      </x:c>
      <x:c r="L87" s="22" t="str">
        <x:v>NA</x:v>
      </x:c>
      <x:c r="M87" s="22" t="str">
        <x:v>扰动后重新归一化</x:v>
      </x:c>
    </x:row>
    <x:row r="88" ht="23" customHeight="1">
      <x:c r="A88" s="21" t="str">
        <x:v>观察s3分层</x:v>
      </x:c>
      <x:c r="B88" s="22" t="str">
        <x:v>权重±10%</x:v>
      </x:c>
      <x:c r="C88" s="22" t="str">
        <x:v>均衡型</x:v>
      </x:c>
      <x:c r="D88" s="22" t="str">
        <x:v>QAPro质量比例 ×1.1</x:v>
      </x:c>
      <x:c r="E88" s="24" t="n">
        <x:v>164</x:v>
      </x:c>
      <x:c r="F88" s="22" t="n">
        <x:v>0.9908420333556439</x:v>
      </x:c>
      <x:c r="G88" s="22" t="n">
        <x:v>0.9691268692715871</x:v>
      </x:c>
      <x:c r="H88" s="22" t="n">
        <x:v>1</x:v>
      </x:c>
      <x:c r="I88" s="22" t="n">
        <x:v>1</x:v>
      </x:c>
      <x:c r="J88" s="22" t="n">
        <x:v>1</x:v>
      </x:c>
      <x:c r="K88" s="22" t="n">
        <x:v>1</x:v>
      </x:c>
      <x:c r="L88" s="22" t="str">
        <x:v>NA</x:v>
      </x:c>
      <x:c r="M88" s="22" t="str">
        <x:v>扰动后重新归一化</x:v>
      </x:c>
    </x:row>
    <x:row r="89" ht="23" customHeight="1">
      <x:c r="A89" s="21" t="str">
        <x:v>观察s3分层</x:v>
      </x:c>
      <x:c r="B89" s="22" t="str">
        <x:v>权重±10%</x:v>
      </x:c>
      <x:c r="C89" s="22" t="str">
        <x:v>突破优先型</x:v>
      </x:c>
      <x:c r="D89" s="22" t="str">
        <x:v>CTQ合计 ×0.9</x:v>
      </x:c>
      <x:c r="E89" s="24" t="n">
        <x:v>164</x:v>
      </x:c>
      <x:c r="F89" s="22" t="n">
        <x:v>0.9999779193088745</x:v>
      </x:c>
      <x:c r="G89" s="22" t="n">
        <x:v>0.9991960122206142</x:v>
      </x:c>
      <x:c r="H89" s="22" t="n">
        <x:v>1</x:v>
      </x:c>
      <x:c r="I89" s="22" t="n">
        <x:v>1</x:v>
      </x:c>
      <x:c r="J89" s="22" t="n">
        <x:v>1</x:v>
      </x:c>
      <x:c r="K89" s="22" t="n">
        <x:v>1</x:v>
      </x:c>
      <x:c r="L89" s="22" t="str">
        <x:v>NA</x:v>
      </x:c>
      <x:c r="M89" s="22" t="str">
        <x:v>扰动后重新归一化</x:v>
      </x:c>
    </x:row>
    <x:row r="90" ht="23" customHeight="1">
      <x:c r="A90" s="21" t="str">
        <x:v>观察s3分层</x:v>
      </x:c>
      <x:c r="B90" s="22" t="str">
        <x:v>权重±10%</x:v>
      </x:c>
      <x:c r="C90" s="22" t="str">
        <x:v>突破优先型</x:v>
      </x:c>
      <x:c r="D90" s="22" t="str">
        <x:v>CTQ合计 ×1.1</x:v>
      </x:c>
      <x:c r="E90" s="24" t="n">
        <x:v>164</x:v>
      </x:c>
      <x:c r="F90" s="22" t="n">
        <x:v>1</x:v>
      </x:c>
      <x:c r="G90" s="22" t="n">
        <x:v>0.9999999999999999</x:v>
      </x:c>
      <x:c r="H90" s="22" t="n">
        <x:v>1</x:v>
      </x:c>
      <x:c r="I90" s="22" t="n">
        <x:v>1</x:v>
      </x:c>
      <x:c r="J90" s="22" t="n">
        <x:v>1</x:v>
      </x:c>
      <x:c r="K90" s="22" t="n">
        <x:v>1</x:v>
      </x:c>
      <x:c r="L90" s="22" t="str">
        <x:v>NA</x:v>
      </x:c>
      <x:c r="M90" s="22" t="str">
        <x:v>扰动后重新归一化</x:v>
      </x:c>
    </x:row>
    <x:row r="91" ht="23" customHeight="1">
      <x:c r="A91" s="21" t="str">
        <x:v>观察s3分层</x:v>
      </x:c>
      <x:c r="B91" s="22" t="str">
        <x:v>权重±10%</x:v>
      </x:c>
      <x:c r="C91" s="22" t="str">
        <x:v>突破优先型</x:v>
      </x:c>
      <x:c r="D91" s="22" t="str">
        <x:v>CTQ均值 ×0.9</x:v>
      </x:c>
      <x:c r="E91" s="24" t="n">
        <x:v>164</x:v>
      </x:c>
      <x:c r="F91" s="22" t="n">
        <x:v>0.999878556198809</x:v>
      </x:c>
      <x:c r="G91" s="22" t="n">
        <x:v>0.9963016562148255</x:v>
      </x:c>
      <x:c r="H91" s="22" t="n">
        <x:v>1</x:v>
      </x:c>
      <x:c r="I91" s="22" t="n">
        <x:v>1</x:v>
      </x:c>
      <x:c r="J91" s="22" t="n">
        <x:v>1</x:v>
      </x:c>
      <x:c r="K91" s="22" t="n">
        <x:v>1</x:v>
      </x:c>
      <x:c r="L91" s="22" t="str">
        <x:v>NA</x:v>
      </x:c>
      <x:c r="M91" s="22" t="str">
        <x:v>扰动后重新归一化</x:v>
      </x:c>
    </x:row>
    <x:row r="92" ht="23" customHeight="1">
      <x:c r="A92" s="21" t="str">
        <x:v>观察s3分层</x:v>
      </x:c>
      <x:c r="B92" s="22" t="str">
        <x:v>权重±10%</x:v>
      </x:c>
      <x:c r="C92" s="22" t="str">
        <x:v>突破优先型</x:v>
      </x:c>
      <x:c r="D92" s="22" t="str">
        <x:v>CTQ均值 ×1.1</x:v>
      </x:c>
      <x:c r="E92" s="24" t="n">
        <x:v>164</x:v>
      </x:c>
      <x:c r="F92" s="22" t="n">
        <x:v>0.9998675158532462</x:v>
      </x:c>
      <x:c r="G92" s="22" t="n">
        <x:v>0.9967840488824569</x:v>
      </x:c>
      <x:c r="H92" s="22" t="n">
        <x:v>0.9666666666666667</x:v>
      </x:c>
      <x:c r="I92" s="22" t="n">
        <x:v>0.9705882352941176</x:v>
      </x:c>
      <x:c r="J92" s="22" t="n">
        <x:v>1</x:v>
      </x:c>
      <x:c r="K92" s="22" t="n">
        <x:v>1</x:v>
      </x:c>
      <x:c r="L92" s="22" t="str">
        <x:v>NA</x:v>
      </x:c>
      <x:c r="M92" s="22" t="str">
        <x:v>扰动后重新归一化</x:v>
      </x:c>
    </x:row>
    <x:row r="93" ht="23" customHeight="1">
      <x:c r="A93" s="21" t="str">
        <x:v>观察s3分层</x:v>
      </x:c>
      <x:c r="B93" s="22" t="str">
        <x:v>权重±10%</x:v>
      </x:c>
      <x:c r="C93" s="22" t="str">
        <x:v>突破优先型</x:v>
      </x:c>
      <x:c r="D93" s="22" t="str">
        <x:v>CTQ最高 ×0.9</x:v>
      </x:c>
      <x:c r="E93" s="24" t="n">
        <x:v>164</x:v>
      </x:c>
      <x:c r="F93" s="22" t="n">
        <x:v>0.997518682334757</x:v>
      </x:c>
      <x:c r="G93" s="22" t="n">
        <x:v>0.9855282199710563</x:v>
      </x:c>
      <x:c r="H93" s="22" t="n">
        <x:v>0.9666666666666667</x:v>
      </x:c>
      <x:c r="I93" s="22" t="n">
        <x:v>0.9705882352941176</x:v>
      </x:c>
      <x:c r="J93" s="22" t="n">
        <x:v>1</x:v>
      </x:c>
      <x:c r="K93" s="22" t="n">
        <x:v>1</x:v>
      </x:c>
      <x:c r="L93" s="22" t="str">
        <x:v>NA</x:v>
      </x:c>
      <x:c r="M93" s="22" t="str">
        <x:v>扰动后重新归一化</x:v>
      </x:c>
    </x:row>
    <x:row r="94" ht="23" customHeight="1">
      <x:c r="A94" s="21" t="str">
        <x:v>观察s3分层</x:v>
      </x:c>
      <x:c r="B94" s="22" t="str">
        <x:v>权重±10%</x:v>
      </x:c>
      <x:c r="C94" s="22" t="str">
        <x:v>突破优先型</x:v>
      </x:c>
      <x:c r="D94" s="22" t="str">
        <x:v>CTQ最高 ×1.1</x:v>
      </x:c>
      <x:c r="E94" s="24" t="n">
        <x:v>164</x:v>
      </x:c>
      <x:c r="F94" s="22" t="n">
        <x:v>0.9955479806517943</x:v>
      </x:c>
      <x:c r="G94" s="22" t="n">
        <x:v>0.981990673741759</x:v>
      </x:c>
      <x:c r="H94" s="22" t="n">
        <x:v>0.967741935483871</x:v>
      </x:c>
      <x:c r="I94" s="22" t="n">
        <x:v>0.9714285714285714</x:v>
      </x:c>
      <x:c r="J94" s="22" t="n">
        <x:v>1</x:v>
      </x:c>
      <x:c r="K94" s="22" t="n">
        <x:v>0.4507042253521127</x:v>
      </x:c>
      <x:c r="L94" s="22" t="str">
        <x:v>NA</x:v>
      </x:c>
      <x:c r="M94" s="22" t="str">
        <x:v>扰动后重新归一化</x:v>
      </x:c>
    </x:row>
    <x:row r="95" ht="23" customHeight="1">
      <x:c r="A95" s="21" t="str">
        <x:v>观察s3分层</x:v>
      </x:c>
      <x:c r="B95" s="22" t="str">
        <x:v>权重±10%</x:v>
      </x:c>
      <x:c r="C95" s="22" t="str">
        <x:v>突破优先型</x:v>
      </x:c>
      <x:c r="D95" s="22" t="str">
        <x:v>QAPro质量比例 ×0.9</x:v>
      </x:c>
      <x:c r="E95" s="24" t="n">
        <x:v>164</x:v>
      </x:c>
      <x:c r="F95" s="22" t="n">
        <x:v>0.9951698488162679</x:v>
      </x:c>
      <x:c r="G95" s="22" t="n">
        <x:v>0.9779707348448303</x:v>
      </x:c>
      <x:c r="H95" s="22" t="n">
        <x:v>0.967741935483871</x:v>
      </x:c>
      <x:c r="I95" s="22" t="n">
        <x:v>0.9714285714285714</x:v>
      </x:c>
      <x:c r="J95" s="22" t="n">
        <x:v>1</x:v>
      </x:c>
      <x:c r="K95" s="22" t="n">
        <x:v>0.4507042253521127</x:v>
      </x:c>
      <x:c r="L95" s="22" t="str">
        <x:v>NA</x:v>
      </x:c>
      <x:c r="M95" s="22" t="str">
        <x:v>扰动后重新归一化</x:v>
      </x:c>
    </x:row>
    <x:row r="96" ht="23" customHeight="1">
      <x:c r="A96" s="21" t="str">
        <x:v>观察s3分层</x:v>
      </x:c>
      <x:c r="B96" s="22" t="str">
        <x:v>权重±10%</x:v>
      </x:c>
      <x:c r="C96" s="22" t="str">
        <x:v>突破优先型</x:v>
      </x:c>
      <x:c r="D96" s="22" t="str">
        <x:v>QAPro质量比例 ×1.1</x:v>
      </x:c>
      <x:c r="E96" s="24" t="n">
        <x:v>164</x:v>
      </x:c>
      <x:c r="F96" s="22" t="n">
        <x:v>0.997322716201017</x:v>
      </x:c>
      <x:c r="G96" s="22" t="n">
        <x:v>0.9837594468564077</x:v>
      </x:c>
      <x:c r="H96" s="22" t="n">
        <x:v>1</x:v>
      </x:c>
      <x:c r="I96" s="22" t="n">
        <x:v>1</x:v>
      </x:c>
      <x:c r="J96" s="22" t="n">
        <x:v>1</x:v>
      </x:c>
      <x:c r="K96" s="22" t="n">
        <x:v>1</x:v>
      </x:c>
      <x:c r="L96" s="22" t="str">
        <x:v>NA</x:v>
      </x:c>
      <x:c r="M96" s="22" t="str">
        <x:v>扰动后重新归一化</x:v>
      </x:c>
    </x:row>
    <x:row r="97" ht="23" customHeight="1">
      <x:c r="A97" s="21" t="str">
        <x:v>观察s3分层</x:v>
      </x:c>
      <x:c r="B97" s="22" t="str">
        <x:v>权重±10%</x:v>
      </x:c>
      <x:c r="C97" s="22" t="str">
        <x:v>质量导向型（教学诊断对照）</x:v>
      </x:c>
      <x:c r="D97" s="22" t="str">
        <x:v>CTQ合计 ×0.9</x:v>
      </x:c>
      <x:c r="E97" s="24" t="n">
        <x:v>164</x:v>
      </x:c>
      <x:c r="F97" s="22" t="n">
        <x:v>1</x:v>
      </x:c>
      <x:c r="G97" s="22" t="n">
        <x:v>0.9999999999999999</x:v>
      </x:c>
      <x:c r="H97" s="22" t="n">
        <x:v>1</x:v>
      </x:c>
      <x:c r="I97" s="22" t="n">
        <x:v>1</x:v>
      </x:c>
      <x:c r="J97" s="22" t="n">
        <x:v>1</x:v>
      </x:c>
      <x:c r="K97" s="22" t="n">
        <x:v>1</x:v>
      </x:c>
      <x:c r="L97" s="22" t="str">
        <x:v>NA</x:v>
      </x:c>
      <x:c r="M97" s="22" t="str">
        <x:v>扰动后重新归一化</x:v>
      </x:c>
    </x:row>
    <x:row r="98" ht="23" customHeight="1">
      <x:c r="A98" s="21" t="str">
        <x:v>观察s3分层</x:v>
      </x:c>
      <x:c r="B98" s="22" t="str">
        <x:v>权重±10%</x:v>
      </x:c>
      <x:c r="C98" s="22" t="str">
        <x:v>质量导向型（教学诊断对照）</x:v>
      </x:c>
      <x:c r="D98" s="22" t="str">
        <x:v>CTQ合计 ×1.1</x:v>
      </x:c>
      <x:c r="E98" s="24" t="n">
        <x:v>164</x:v>
      </x:c>
      <x:c r="F98" s="22" t="n">
        <x:v>1</x:v>
      </x:c>
      <x:c r="G98" s="22" t="n">
        <x:v>0.9999999999999999</x:v>
      </x:c>
      <x:c r="H98" s="22" t="n">
        <x:v>1</x:v>
      </x:c>
      <x:c r="I98" s="22" t="n">
        <x:v>1</x:v>
      </x:c>
      <x:c r="J98" s="22" t="n">
        <x:v>1</x:v>
      </x:c>
      <x:c r="K98" s="22" t="n">
        <x:v>1</x:v>
      </x:c>
      <x:c r="L98" s="22" t="str">
        <x:v>NA</x:v>
      </x:c>
      <x:c r="M98" s="22" t="str">
        <x:v>扰动后重新归一化</x:v>
      </x:c>
    </x:row>
    <x:row r="99" ht="23" customHeight="1">
      <x:c r="A99" s="21" t="str">
        <x:v>观察s3分层</x:v>
      </x:c>
      <x:c r="B99" s="22" t="str">
        <x:v>权重±10%</x:v>
      </x:c>
      <x:c r="C99" s="22" t="str">
        <x:v>质量导向型（教学诊断对照）</x:v>
      </x:c>
      <x:c r="D99" s="22" t="str">
        <x:v>CTQ均值 ×0.9</x:v>
      </x:c>
      <x:c r="E99" s="24" t="n">
        <x:v>164</x:v>
      </x:c>
      <x:c r="F99" s="22" t="n">
        <x:v>0.9972757947323753</x:v>
      </x:c>
      <x:c r="G99" s="22" t="n">
        <x:v>0.9871361955298278</x:v>
      </x:c>
      <x:c r="H99" s="22" t="n">
        <x:v>1</x:v>
      </x:c>
      <x:c r="I99" s="22" t="n">
        <x:v>1</x:v>
      </x:c>
      <x:c r="J99" s="22" t="n">
        <x:v>0.9090909090909091</x:v>
      </x:c>
      <x:c r="K99" s="22" t="n">
        <x:v>1</x:v>
      </x:c>
      <x:c r="L99" s="22" t="str">
        <x:v>NA</x:v>
      </x:c>
      <x:c r="M99" s="22" t="str">
        <x:v>扰动后重新归一化</x:v>
      </x:c>
    </x:row>
    <x:row r="100" ht="23" customHeight="1">
      <x:c r="A100" s="21" t="str">
        <x:v>观察s3分层</x:v>
      </x:c>
      <x:c r="B100" s="22" t="str">
        <x:v>权重±10%</x:v>
      </x:c>
      <x:c r="C100" s="22" t="str">
        <x:v>质量导向型（教学诊断对照）</x:v>
      </x:c>
      <x:c r="D100" s="22" t="str">
        <x:v>CTQ均值 ×1.1</x:v>
      </x:c>
      <x:c r="E100" s="24" t="n">
        <x:v>164</x:v>
      </x:c>
      <x:c r="F100" s="22" t="n">
        <x:v>0.9977422493324041</x:v>
      </x:c>
      <x:c r="G100" s="22" t="n">
        <x:v>0.9898697539797393</x:v>
      </x:c>
      <x:c r="H100" s="22" t="n">
        <x:v>1</x:v>
      </x:c>
      <x:c r="I100" s="22" t="n">
        <x:v>1</x:v>
      </x:c>
      <x:c r="J100" s="22" t="n">
        <x:v>1</x:v>
      </x:c>
      <x:c r="K100" s="22" t="n">
        <x:v>0.9411764705882353</x:v>
      </x:c>
      <x:c r="L100" s="22" t="str">
        <x:v>NA</x:v>
      </x:c>
      <x:c r="M100" s="22" t="str">
        <x:v>扰动后重新归一化</x:v>
      </x:c>
    </x:row>
    <x:row r="101" ht="23" customHeight="1">
      <x:c r="A101" s="21" t="str">
        <x:v>观察s3分层</x:v>
      </x:c>
      <x:c r="B101" s="22" t="str">
        <x:v>权重±10%</x:v>
      </x:c>
      <x:c r="C101" s="22" t="str">
        <x:v>质量导向型（教学诊断对照）</x:v>
      </x:c>
      <x:c r="D101" s="22" t="str">
        <x:v>CTQ最高 ×0.9</x:v>
      </x:c>
      <x:c r="E101" s="24" t="n">
        <x:v>164</x:v>
      </x:c>
      <x:c r="F101" s="22" t="n">
        <x:v>0.9999806793952651</x:v>
      </x:c>
      <x:c r="G101" s="22" t="n">
        <x:v>0.9991960122206142</x:v>
      </x:c>
      <x:c r="H101" s="22" t="n">
        <x:v>1</x:v>
      </x:c>
      <x:c r="I101" s="22" t="n">
        <x:v>1</x:v>
      </x:c>
      <x:c r="J101" s="22" t="n">
        <x:v>1</x:v>
      </x:c>
      <x:c r="K101" s="22" t="n">
        <x:v>1</x:v>
      </x:c>
      <x:c r="L101" s="22" t="str">
        <x:v>NA</x:v>
      </x:c>
      <x:c r="M101" s="22" t="str">
        <x:v>扰动后重新归一化</x:v>
      </x:c>
    </x:row>
    <x:row r="102" ht="23" customHeight="1">
      <x:c r="A102" s="21" t="str">
        <x:v>观察s3分层</x:v>
      </x:c>
      <x:c r="B102" s="22" t="str">
        <x:v>权重±10%</x:v>
      </x:c>
      <x:c r="C102" s="22" t="str">
        <x:v>质量导向型（教学诊断对照）</x:v>
      </x:c>
      <x:c r="D102" s="22" t="str">
        <x:v>CTQ最高 ×1.1</x:v>
      </x:c>
      <x:c r="E102" s="24" t="n">
        <x:v>164</x:v>
      </x:c>
      <x:c r="F102" s="22" t="n">
        <x:v>0.9979437356389254</x:v>
      </x:c>
      <x:c r="G102" s="22" t="n">
        <x:v>0.9934073002090368</x:v>
      </x:c>
      <x:c r="H102" s="22" t="n">
        <x:v>1</x:v>
      </x:c>
      <x:c r="I102" s="22" t="n">
        <x:v>1</x:v>
      </x:c>
      <x:c r="J102" s="22" t="n">
        <x:v>1</x:v>
      </x:c>
      <x:c r="K102" s="22" t="n">
        <x:v>1</x:v>
      </x:c>
      <x:c r="L102" s="22" t="str">
        <x:v>NA</x:v>
      </x:c>
      <x:c r="M102" s="22" t="str">
        <x:v>扰动后重新归一化</x:v>
      </x:c>
    </x:row>
    <x:row r="103" ht="23" customHeight="1">
      <x:c r="A103" s="21" t="str">
        <x:v>观察s3分层</x:v>
      </x:c>
      <x:c r="B103" s="22" t="str">
        <x:v>权重±10%</x:v>
      </x:c>
      <x:c r="C103" s="22" t="str">
        <x:v>质量导向型（教学诊断对照）</x:v>
      </x:c>
      <x:c r="D103" s="22" t="str">
        <x:v>QAPro质量比例 ×0.9</x:v>
      </x:c>
      <x:c r="E103" s="24" t="n">
        <x:v>164</x:v>
      </x:c>
      <x:c r="F103" s="22" t="n">
        <x:v>0.9908309930100813</x:v>
      </x:c>
      <x:c r="G103" s="22" t="n">
        <x:v>0.9694484643833413</x:v>
      </x:c>
      <x:c r="H103" s="22" t="n">
        <x:v>1</x:v>
      </x:c>
      <x:c r="I103" s="22" t="n">
        <x:v>1</x:v>
      </x:c>
      <x:c r="J103" s="22" t="n">
        <x:v>1</x:v>
      </x:c>
      <x:c r="K103" s="22" t="n">
        <x:v>0.9411764705882353</x:v>
      </x:c>
      <x:c r="L103" s="22" t="str">
        <x:v>NA</x:v>
      </x:c>
      <x:c r="M103" s="22" t="str">
        <x:v>扰动后重新归一化</x:v>
      </x:c>
    </x:row>
    <x:row r="104" ht="23" customHeight="1">
      <x:c r="A104" s="21" t="str">
        <x:v>观察s3分层</x:v>
      </x:c>
      <x:c r="B104" s="22" t="str">
        <x:v>权重±10%</x:v>
      </x:c>
      <x:c r="C104" s="22" t="str">
        <x:v>质量导向型（教学诊断对照）</x:v>
      </x:c>
      <x:c r="D104" s="22" t="str">
        <x:v>QAPro质量比例 ×1.1</x:v>
      </x:c>
      <x:c r="E104" s="24" t="n">
        <x:v>164</x:v>
      </x:c>
      <x:c r="F104" s="22" t="n">
        <x:v>0.9950704857062025</x:v>
      </x:c>
      <x:c r="G104" s="22" t="n">
        <x:v>0.9802219006271105</x:v>
      </x:c>
      <x:c r="H104" s="22" t="n">
        <x:v>1</x:v>
      </x:c>
      <x:c r="I104" s="22" t="n">
        <x:v>1</x:v>
      </x:c>
      <x:c r="J104" s="22" t="n">
        <x:v>0.8823529411764706</x:v>
      </x:c>
      <x:c r="K104" s="22" t="n">
        <x:v>0.9705882352941176</x:v>
      </x:c>
      <x:c r="L104" s="22" t="str">
        <x:v>NA</x:v>
      </x:c>
      <x:c r="M104" s="22" t="str">
        <x:v>扰动后重新归一化</x:v>
      </x:c>
    </x:row>
    <x:row r="105" ht="23" customHeight="1">
      <x:c r="A105" s="21" t="str">
        <x:v>观察s3分层</x:v>
      </x:c>
      <x:c r="B105" s="22" t="str">
        <x:v>权重±10%</x:v>
      </x:c>
      <x:c r="C105" s="22" t="str">
        <x:v>分组熵权型</x:v>
      </x:c>
      <x:c r="D105" s="22" t="str">
        <x:v>CTQ合计 ×0.9</x:v>
      </x:c>
      <x:c r="E105" s="24" t="n">
        <x:v>164</x:v>
      </x:c>
      <x:c r="F105" s="22" t="n">
        <x:v>0.9999889596544371</x:v>
      </x:c>
      <x:c r="G105" s="22" t="n">
        <x:v>0.9993568097764913</x:v>
      </x:c>
      <x:c r="H105" s="22" t="n">
        <x:v>1</x:v>
      </x:c>
      <x:c r="I105" s="22" t="n">
        <x:v>1</x:v>
      </x:c>
      <x:c r="J105" s="22" t="n">
        <x:v>1</x:v>
      </x:c>
      <x:c r="K105" s="22" t="n">
        <x:v>1</x:v>
      </x:c>
      <x:c r="L105" s="22" t="str">
        <x:v>NA</x:v>
      </x:c>
      <x:c r="M105" s="22" t="str">
        <x:v>扰动后重新归一化</x:v>
      </x:c>
    </x:row>
    <x:row r="106" ht="23" customHeight="1">
      <x:c r="A106" s="21" t="str">
        <x:v>观察s3分层</x:v>
      </x:c>
      <x:c r="B106" s="22" t="str">
        <x:v>权重±10%</x:v>
      </x:c>
      <x:c r="C106" s="22" t="str">
        <x:v>分组熵权型</x:v>
      </x:c>
      <x:c r="D106" s="22" t="str">
        <x:v>CTQ合计 ×1.1</x:v>
      </x:c>
      <x:c r="E106" s="24" t="n">
        <x:v>164</x:v>
      </x:c>
      <x:c r="F106" s="22" t="n">
        <x:v>1</x:v>
      </x:c>
      <x:c r="G106" s="22" t="n">
        <x:v>0.9999999999999999</x:v>
      </x:c>
      <x:c r="H106" s="22" t="n">
        <x:v>1</x:v>
      </x:c>
      <x:c r="I106" s="22" t="n">
        <x:v>1</x:v>
      </x:c>
      <x:c r="J106" s="22" t="n">
        <x:v>1</x:v>
      </x:c>
      <x:c r="K106" s="22" t="n">
        <x:v>1</x:v>
      </x:c>
      <x:c r="L106" s="22" t="str">
        <x:v>NA</x:v>
      </x:c>
      <x:c r="M106" s="22" t="str">
        <x:v>扰动后重新归一化</x:v>
      </x:c>
    </x:row>
    <x:row r="107" ht="23" customHeight="1">
      <x:c r="A107" s="21" t="str">
        <x:v>观察s3分层</x:v>
      </x:c>
      <x:c r="B107" s="22" t="str">
        <x:v>权重±10%</x:v>
      </x:c>
      <x:c r="C107" s="22" t="str">
        <x:v>分组熵权型</x:v>
      </x:c>
      <x:c r="D107" s="22" t="str">
        <x:v>CTQ均值 ×0.9</x:v>
      </x:c>
      <x:c r="E107" s="24" t="n">
        <x:v>164</x:v>
      </x:c>
      <x:c r="F107" s="22" t="n">
        <x:v>0.9978774935655487</x:v>
      </x:c>
      <x:c r="G107" s="22" t="n">
        <x:v>0.9909953368708795</x:v>
      </x:c>
      <x:c r="H107" s="22" t="n">
        <x:v>1</x:v>
      </x:c>
      <x:c r="I107" s="22" t="n">
        <x:v>1</x:v>
      </x:c>
      <x:c r="J107" s="22" t="n">
        <x:v>0.9393939393939394</x:v>
      </x:c>
      <x:c r="K107" s="22" t="n">
        <x:v>0.9411764705882353</x:v>
      </x:c>
      <x:c r="L107" s="22" t="str">
        <x:v>NA</x:v>
      </x:c>
      <x:c r="M107" s="22" t="str">
        <x:v>扰动后重新归一化</x:v>
      </x:c>
    </x:row>
    <x:row r="108" ht="23" customHeight="1">
      <x:c r="A108" s="21" t="str">
        <x:v>观察s3分层</x:v>
      </x:c>
      <x:c r="B108" s="22" t="str">
        <x:v>权重±10%</x:v>
      </x:c>
      <x:c r="C108" s="22" t="str">
        <x:v>分组熵权型</x:v>
      </x:c>
      <x:c r="D108" s="22" t="str">
        <x:v>CTQ均值 ×1.1</x:v>
      </x:c>
      <x:c r="E108" s="24" t="n">
        <x:v>164</x:v>
      </x:c>
      <x:c r="F108" s="22" t="n">
        <x:v>0.9978692133063763</x:v>
      </x:c>
      <x:c r="G108" s="22" t="n">
        <x:v>0.9914777295385109</x:v>
      </x:c>
      <x:c r="H108" s="22" t="n">
        <x:v>0.9090909090909091</x:v>
      </x:c>
      <x:c r="I108" s="22" t="n">
        <x:v>0.8888888888888888</x:v>
      </x:c>
      <x:c r="J108" s="22" t="n">
        <x:v>1</x:v>
      </x:c>
      <x:c r="K108" s="22" t="n">
        <x:v>1</x:v>
      </x:c>
      <x:c r="L108" s="22" t="str">
        <x:v>NA</x:v>
      </x:c>
      <x:c r="M108" s="22" t="str">
        <x:v>扰动后重新归一化</x:v>
      </x:c>
    </x:row>
    <x:row r="109" ht="23" customHeight="1">
      <x:c r="A109" s="21" t="str">
        <x:v>观察s3分层</x:v>
      </x:c>
      <x:c r="B109" s="22" t="str">
        <x:v>权重±10%</x:v>
      </x:c>
      <x:c r="C109" s="22" t="str">
        <x:v>分组熵权型</x:v>
      </x:c>
      <x:c r="D109" s="22" t="str">
        <x:v>CTQ最高 ×0.9</x:v>
      </x:c>
      <x:c r="E109" s="24" t="n">
        <x:v>164</x:v>
      </x:c>
      <x:c r="F109" s="22" t="n">
        <x:v>0.9978388523560788</x:v>
      </x:c>
      <x:c r="G109" s="22" t="n">
        <x:v>0.9906737417591251</x:v>
      </x:c>
      <x:c r="H109" s="22" t="n">
        <x:v>1</x:v>
      </x:c>
      <x:c r="I109" s="22" t="n">
        <x:v>1</x:v>
      </x:c>
      <x:c r="J109" s="22" t="n">
        <x:v>0.9393939393939394</x:v>
      </x:c>
      <x:c r="K109" s="22" t="n">
        <x:v>0.9411764705882353</x:v>
      </x:c>
      <x:c r="L109" s="22" t="str">
        <x:v>NA</x:v>
      </x:c>
      <x:c r="M109" s="22" t="str">
        <x:v>扰动后重新归一化</x:v>
      </x:c>
    </x:row>
    <x:row r="110" ht="23" customHeight="1">
      <x:c r="A110" s="21" t="str">
        <x:v>观察s3分层</x:v>
      </x:c>
      <x:c r="B110" s="22" t="str">
        <x:v>权重±10%</x:v>
      </x:c>
      <x:c r="C110" s="22" t="str">
        <x:v>分组熵权型</x:v>
      </x:c>
      <x:c r="D110" s="22" t="str">
        <x:v>CTQ最高 ×1.1</x:v>
      </x:c>
      <x:c r="E110" s="24" t="n">
        <x:v>164</x:v>
      </x:c>
      <x:c r="F110" s="22" t="n">
        <x:v>0.997863693133595</x:v>
      </x:c>
      <x:c r="G110" s="22" t="n">
        <x:v>0.9911561344267567</x:v>
      </x:c>
      <x:c r="H110" s="22" t="n">
        <x:v>0.9090909090909091</x:v>
      </x:c>
      <x:c r="I110" s="22" t="n">
        <x:v>0.8888888888888888</x:v>
      </x:c>
      <x:c r="J110" s="22" t="n">
        <x:v>1</x:v>
      </x:c>
      <x:c r="K110" s="22" t="n">
        <x:v>1</x:v>
      </x:c>
      <x:c r="L110" s="22" t="str">
        <x:v>NA</x:v>
      </x:c>
      <x:c r="M110" s="22" t="str">
        <x:v>扰动后重新归一化</x:v>
      </x:c>
    </x:row>
    <x:row r="111" ht="23" customHeight="1">
      <x:c r="A111" s="21" t="str">
        <x:v>观察s3分层</x:v>
      </x:c>
      <x:c r="B111" s="22" t="str">
        <x:v>权重±10%</x:v>
      </x:c>
      <x:c r="C111" s="22" t="str">
        <x:v>分组熵权型</x:v>
      </x:c>
      <x:c r="D111" s="22" t="str">
        <x:v>QAPro质量比例 ×0.9</x:v>
      </x:c>
      <x:c r="E111" s="24" t="n">
        <x:v>164</x:v>
      </x:c>
      <x:c r="F111" s="22" t="n">
        <x:v>0.9907785513686579</x:v>
      </x:c>
      <x:c r="G111" s="22" t="n">
        <x:v>0.9699308570509727</x:v>
      </x:c>
      <x:c r="H111" s="22" t="n">
        <x:v>0.9090909090909091</x:v>
      </x:c>
      <x:c r="I111" s="22" t="n">
        <x:v>0.8888888888888888</x:v>
      </x:c>
      <x:c r="J111" s="22" t="n">
        <x:v>1</x:v>
      </x:c>
      <x:c r="K111" s="22" t="n">
        <x:v>1</x:v>
      </x:c>
      <x:c r="L111" s="22" t="str">
        <x:v>NA</x:v>
      </x:c>
      <x:c r="M111" s="22" t="str">
        <x:v>扰动后重新归一化</x:v>
      </x:c>
    </x:row>
    <x:row r="112" ht="23" customHeight="1">
      <x:c r="A112" s="21" t="str">
        <x:v>观察s3分层</x:v>
      </x:c>
      <x:c r="B112" s="22" t="str">
        <x:v>权重±10%</x:v>
      </x:c>
      <x:c r="C112" s="22" t="str">
        <x:v>分组熵权型</x:v>
      </x:c>
      <x:c r="D112" s="22" t="str">
        <x:v>QAPro质量比例 ×1.1</x:v>
      </x:c>
      <x:c r="E112" s="24" t="n">
        <x:v>164</x:v>
      </x:c>
      <x:c r="F112" s="22" t="n">
        <x:v>0.9976842875181994</x:v>
      </x:c>
      <x:c r="G112" s="22" t="n">
        <x:v>0.9881009808650908</x:v>
      </x:c>
      <x:c r="H112" s="22" t="n">
        <x:v>1</x:v>
      </x:c>
      <x:c r="I112" s="22" t="n">
        <x:v>1</x:v>
      </x:c>
      <x:c r="J112" s="22" t="n">
        <x:v>0.9393939393939394</x:v>
      </x:c>
      <x:c r="K112" s="22" t="n">
        <x:v>0.9411764705882353</x:v>
      </x:c>
      <x:c r="L112" s="22" t="str">
        <x:v>NA</x:v>
      </x:c>
      <x:c r="M112" s="22" t="str">
        <x:v>扰动后重新归一化</x:v>
      </x:c>
    </x:row>
    <x:row r="113" ht="23" customHeight="1">
      <x:c r="A113" s="21" t="str">
        <x:v>观察s3分层</x:v>
      </x:c>
      <x:c r="B113" s="22" t="str">
        <x:v>删除指标</x:v>
      </x:c>
      <x:c r="C113" s="22" t="str">
        <x:v>均衡型</x:v>
      </x:c>
      <x:c r="D113" s="22" t="str">
        <x:v>CTQ合计</x:v>
      </x:c>
      <x:c r="E113" s="24" t="n">
        <x:v>164</x:v>
      </x:c>
      <x:c r="F113" s="22" t="n">
        <x:v>0.9977919308874367</x:v>
      </x:c>
      <x:c r="G113" s="22" t="n">
        <x:v>0.9903521466473709</x:v>
      </x:c>
      <x:c r="H113" s="22" t="n">
        <x:v>1</x:v>
      </x:c>
      <x:c r="I113" s="22" t="n">
        <x:v>1</x:v>
      </x:c>
      <x:c r="J113" s="22" t="n">
        <x:v>1</x:v>
      </x:c>
      <x:c r="K113" s="22" t="n">
        <x:v>1</x:v>
      </x:c>
      <x:c r="L113" s="22" t="str">
        <x:v>NA</x:v>
      </x:c>
      <x:c r="M113" s="22" t="str">
        <x:v>删除后共同样本重算</x:v>
      </x:c>
    </x:row>
    <x:row r="114" ht="23" customHeight="1">
      <x:c r="A114" s="21" t="str">
        <x:v>观察s3分层</x:v>
      </x:c>
      <x:c r="B114" s="22" t="str">
        <x:v>删除指标</x:v>
      </x:c>
      <x:c r="C114" s="22" t="str">
        <x:v>均衡型</x:v>
      </x:c>
      <x:c r="D114" s="22" t="str">
        <x:v>CTQ均值</x:v>
      </x:c>
      <x:c r="E114" s="24" t="n">
        <x:v>164</x:v>
      </x:c>
      <x:c r="F114" s="22" t="n">
        <x:v>0.9358278142989195</x:v>
      </x:c>
      <x:c r="G114" s="22" t="n">
        <x:v>0.847585741701621</x:v>
      </x:c>
      <x:c r="H114" s="22" t="n">
        <x:v>0.9090909090909091</x:v>
      </x:c>
      <x:c r="I114" s="22" t="n">
        <x:v>0.8888888888888888</x:v>
      </x:c>
      <x:c r="J114" s="22" t="n">
        <x:v>0.7297297297297297</x:v>
      </x:c>
      <x:c r="K114" s="22" t="n">
        <x:v>0.6923076923076923</x:v>
      </x:c>
      <x:c r="L114" s="22" t="str">
        <x:v>NA</x:v>
      </x:c>
      <x:c r="M114" s="22" t="str">
        <x:v>删除后共同样本重算</x:v>
      </x:c>
    </x:row>
    <x:row r="115" ht="23" customHeight="1">
      <x:c r="A115" s="21" t="str">
        <x:v>观察s3分层</x:v>
      </x:c>
      <x:c r="B115" s="22" t="str">
        <x:v>删除指标</x:v>
      </x:c>
      <x:c r="C115" s="22" t="str">
        <x:v>均衡型</x:v>
      </x:c>
      <x:c r="D115" s="22" t="str">
        <x:v>CTQ最高</x:v>
      </x:c>
      <x:c r="E115" s="24" t="n">
        <x:v>164</x:v>
      </x:c>
      <x:c r="F115" s="22" t="n">
        <x:v>0.9658660116061633</x:v>
      </x:c>
      <x:c r="G115" s="22" t="n">
        <x:v>0.9067374175912526</x:v>
      </x:c>
      <x:c r="H115" s="22" t="n">
        <x:v>1</x:v>
      </x:c>
      <x:c r="I115" s="22" t="n">
        <x:v>1</x:v>
      </x:c>
      <x:c r="J115" s="22" t="n">
        <x:v>0.8823529411764706</x:v>
      </x:c>
      <x:c r="K115" s="22" t="n">
        <x:v>0.8333333333333334</x:v>
      </x:c>
      <x:c r="L115" s="22" t="str">
        <x:v>NA</x:v>
      </x:c>
      <x:c r="M115" s="22" t="str">
        <x:v>删除后共同样本重算</x:v>
      </x:c>
    </x:row>
    <x:row r="116" ht="23" customHeight="1">
      <x:c r="A116" s="21" t="str">
        <x:v>观察s3分层</x:v>
      </x:c>
      <x:c r="B116" s="22" t="str">
        <x:v>删除指标</x:v>
      </x:c>
      <x:c r="C116" s="22" t="str">
        <x:v>均衡型</x:v>
      </x:c>
      <x:c r="D116" s="22" t="str">
        <x:v>QAPro质量比例</x:v>
      </x:c>
      <x:c r="E116" s="24" t="n">
        <x:v>164</x:v>
      </x:c>
      <x:c r="F116" s="22" t="n">
        <x:v>0.6883055911500348</x:v>
      </x:c>
      <x:c r="G116" s="22" t="n">
        <x:v>0.5729556932505755</x:v>
      </x:c>
      <x:c r="H116" s="22" t="n">
        <x:v>0.37209302325581395</x:v>
      </x:c>
      <x:c r="I116" s="22" t="n">
        <x:v>0.4166666666666667</x:v>
      </x:c>
      <x:c r="J116" s="22" t="n">
        <x:v>0</x:v>
      </x:c>
      <x:c r="K116" s="22" t="n">
        <x:v>0.3333333333333333</x:v>
      </x:c>
      <x:c r="L116" s="22" t="str">
        <x:v>NA</x:v>
      </x:c>
      <x:c r="M116" s="22" t="str">
        <x:v>删除后共同样本重算</x:v>
      </x:c>
    </x:row>
    <x:row r="117" ht="23" customHeight="1">
      <x:c r="A117" s="21" t="str">
        <x:v>观察s3分层</x:v>
      </x:c>
      <x:c r="B117" s="22" t="str">
        <x:v>删除指标</x:v>
      </x:c>
      <x:c r="C117" s="22" t="str">
        <x:v>突破优先型</x:v>
      </x:c>
      <x:c r="D117" s="22" t="str">
        <x:v>CTQ合计</x:v>
      </x:c>
      <x:c r="E117" s="24" t="n">
        <x:v>164</x:v>
      </x:c>
      <x:c r="F117" s="22" t="n">
        <x:v>0.9999199574946694</x:v>
      </x:c>
      <x:c r="G117" s="22" t="n">
        <x:v>0.9972664415500884</x:v>
      </x:c>
      <x:c r="H117" s="22" t="n">
        <x:v>1</x:v>
      </x:c>
      <x:c r="I117" s="22" t="n">
        <x:v>1</x:v>
      </x:c>
      <x:c r="J117" s="22" t="n">
        <x:v>1</x:v>
      </x:c>
      <x:c r="K117" s="22" t="n">
        <x:v>1</x:v>
      </x:c>
      <x:c r="L117" s="22" t="str">
        <x:v>NA</x:v>
      </x:c>
      <x:c r="M117" s="22" t="str">
        <x:v>删除后共同样本重算</x:v>
      </x:c>
    </x:row>
    <x:row r="118" ht="23" customHeight="1">
      <x:c r="A118" s="21" t="str">
        <x:v>观察s3分层</x:v>
      </x:c>
      <x:c r="B118" s="22" t="str">
        <x:v>删除指标</x:v>
      </x:c>
      <x:c r="C118" s="22" t="str">
        <x:v>突破优先型</x:v>
      </x:c>
      <x:c r="D118" s="22" t="str">
        <x:v>CTQ均值</x:v>
      </x:c>
      <x:c r="E118" s="24" t="n">
        <x:v>164</x:v>
      </x:c>
      <x:c r="F118" s="22" t="n">
        <x:v>0.9863761759763107</x:v>
      </x:c>
      <x:c r="G118" s="22" t="n">
        <x:v>0.9371607835625076</x:v>
      </x:c>
      <x:c r="H118" s="22" t="n">
        <x:v>0.8235294117647058</x:v>
      </x:c>
      <x:c r="I118" s="22" t="n">
        <x:v>0.9705882352941176</x:v>
      </x:c>
      <x:c r="J118" s="22" t="n">
        <x:v>1</x:v>
      </x:c>
      <x:c r="K118" s="22" t="n">
        <x:v>1</x:v>
      </x:c>
      <x:c r="L118" s="22" t="str">
        <x:v>NA</x:v>
      </x:c>
      <x:c r="M118" s="22" t="str">
        <x:v>删除后共同样本重算</x:v>
      </x:c>
    </x:row>
    <x:row r="119" ht="23" customHeight="1">
      <x:c r="A119" s="21" t="str">
        <x:v>观察s3分层</x:v>
      </x:c>
      <x:c r="B119" s="22" t="str">
        <x:v>删除指标</x:v>
      </x:c>
      <x:c r="C119" s="22" t="str">
        <x:v>突破优先型</x:v>
      </x:c>
      <x:c r="D119" s="22" t="str">
        <x:v>CTQ最高</x:v>
      </x:c>
      <x:c r="E119" s="24" t="n">
        <x:v>164</x:v>
      </x:c>
      <x:c r="F119" s="22" t="n">
        <x:v>0.8697763640001932</x:v>
      </x:c>
      <x:c r="G119" s="22" t="n">
        <x:v>0.7568740955137481</x:v>
      </x:c>
      <x:c r="H119" s="22" t="n">
        <x:v>0.7222222222222222</x:v>
      </x:c>
      <x:c r="I119" s="22" t="n">
        <x:v>0.7692307692307693</x:v>
      </x:c>
      <x:c r="J119" s="22" t="n">
        <x:v>0.8285714285714286</x:v>
      </x:c>
      <x:c r="K119" s="22" t="n">
        <x:v>0.8611111111111112</x:v>
      </x:c>
      <x:c r="L119" s="22" t="str">
        <x:v>NA</x:v>
      </x:c>
      <x:c r="M119" s="22" t="str">
        <x:v>删除后共同样本重算</x:v>
      </x:c>
    </x:row>
    <x:row r="120" ht="23" customHeight="1">
      <x:c r="A120" s="21" t="str">
        <x:v>观察s3分层</x:v>
      </x:c>
      <x:c r="B120" s="22" t="str">
        <x:v>删除指标</x:v>
      </x:c>
      <x:c r="C120" s="22" t="str">
        <x:v>突破优先型</x:v>
      </x:c>
      <x:c r="D120" s="22" t="str">
        <x:v>QAPro质量比例</x:v>
      </x:c>
      <x:c r="E120" s="24" t="n">
        <x:v>164</x:v>
      </x:c>
      <x:c r="F120" s="22" t="n">
        <x:v>0.8880759425922022</x:v>
      </x:c>
      <x:c r="G120" s="22" t="n">
        <x:v>0.7578725498248271</x:v>
      </x:c>
      <x:c r="H120" s="22" t="n">
        <x:v>0.48717948717948717</x:v>
      </x:c>
      <x:c r="I120" s="22" t="n">
        <x:v>0.5111111111111111</x:v>
      </x:c>
      <x:c r="J120" s="22" t="n">
        <x:v>0</x:v>
      </x:c>
      <x:c r="K120" s="22" t="n">
        <x:v>0.352112676056338</x:v>
      </x:c>
      <x:c r="L120" s="22" t="str">
        <x:v>NA</x:v>
      </x:c>
      <x:c r="M120" s="22" t="str">
        <x:v>删除后共同样本重算</x:v>
      </x:c>
    </x:row>
    <x:row r="121" ht="23" customHeight="1">
      <x:c r="A121" s="21" t="str">
        <x:v>观察s3分层</x:v>
      </x:c>
      <x:c r="B121" s="22" t="str">
        <x:v>删除指标</x:v>
      </x:c>
      <x:c r="C121" s="22" t="str">
        <x:v>质量导向型（教学诊断对照）</x:v>
      </x:c>
      <x:c r="D121" s="22" t="str">
        <x:v>CTQ合计</x:v>
      </x:c>
      <x:c r="E121" s="24" t="n">
        <x:v>164</x:v>
      </x:c>
      <x:c r="F121" s="22" t="n">
        <x:v>0.9957439467855344</x:v>
      </x:c>
      <x:c r="G121" s="22" t="n">
        <x:v>0.9858498150828107</x:v>
      </x:c>
      <x:c r="H121" s="22" t="n">
        <x:v>1</x:v>
      </x:c>
      <x:c r="I121" s="22" t="n">
        <x:v>1</x:v>
      </x:c>
      <x:c r="J121" s="22" t="n">
        <x:v>0.9090909090909091</x:v>
      </x:c>
      <x:c r="K121" s="22" t="n">
        <x:v>1</x:v>
      </x:c>
      <x:c r="L121" s="22" t="str">
        <x:v>NA</x:v>
      </x:c>
      <x:c r="M121" s="22" t="str">
        <x:v>删除后共同样本重算</x:v>
      </x:c>
    </x:row>
    <x:row r="122" ht="23" customHeight="1">
      <x:c r="A122" s="21" t="str">
        <x:v>观察s3分层</x:v>
      </x:c>
      <x:c r="B122" s="22" t="str">
        <x:v>删除指标</x:v>
      </x:c>
      <x:c r="C122" s="22" t="str">
        <x:v>质量导向型（教学诊断对照）</x:v>
      </x:c>
      <x:c r="D122" s="22" t="str">
        <x:v>CTQ均值</x:v>
      </x:c>
      <x:c r="E122" s="24" t="n">
        <x:v>164</x:v>
      </x:c>
      <x:c r="F122" s="22" t="n">
        <x:v>0.9371057378249997</x:v>
      </x:c>
      <x:c r="G122" s="22" t="n">
        <x:v>0.8437261348709905</x:v>
      </x:c>
      <x:c r="H122" s="22" t="n">
        <x:v>0.9090909090909091</x:v>
      </x:c>
      <x:c r="I122" s="22" t="n">
        <x:v>0.8888888888888888</x:v>
      </x:c>
      <x:c r="J122" s="22" t="n">
        <x:v>0.17073170731707318</x:v>
      </x:c>
      <x:c r="K122" s="22" t="n">
        <x:v>0.6829268292682927</x:v>
      </x:c>
      <x:c r="L122" s="22" t="str">
        <x:v>NA</x:v>
      </x:c>
      <x:c r="M122" s="22" t="str">
        <x:v>删除后共同样本重算</x:v>
      </x:c>
    </x:row>
    <x:row r="123" ht="23" customHeight="1">
      <x:c r="A123" s="21" t="str">
        <x:v>观察s3分层</x:v>
      </x:c>
      <x:c r="B123" s="22" t="str">
        <x:v>删除指标</x:v>
      </x:c>
      <x:c r="C123" s="22" t="str">
        <x:v>质量导向型（教学诊断对照）</x:v>
      </x:c>
      <x:c r="D123" s="22" t="str">
        <x:v>CTQ最高</x:v>
      </x:c>
      <x:c r="E123" s="24" t="n">
        <x:v>164</x:v>
      </x:c>
      <x:c r="F123" s="22" t="n">
        <x:v>0.984377911028615</x:v>
      </x:c>
      <x:c r="G123" s="22" t="n">
        <x:v>0.9472584016722945</x:v>
      </x:c>
      <x:c r="H123" s="22" t="n">
        <x:v>1</x:v>
      </x:c>
      <x:c r="I123" s="22" t="n">
        <x:v>1</x:v>
      </x:c>
      <x:c r="J123" s="22" t="n">
        <x:v>0.8823529411764706</x:v>
      </x:c>
      <x:c r="K123" s="22" t="n">
        <x:v>0.8857142857142857</x:v>
      </x:c>
      <x:c r="L123" s="22" t="str">
        <x:v>NA</x:v>
      </x:c>
      <x:c r="M123" s="22" t="str">
        <x:v>删除后共同样本重算</x:v>
      </x:c>
    </x:row>
    <x:row r="124" ht="23" customHeight="1">
      <x:c r="A124" s="21" t="str">
        <x:v>观察s3分层</x:v>
      </x:c>
      <x:c r="B124" s="22" t="str">
        <x:v>删除指标</x:v>
      </x:c>
      <x:c r="C124" s="22" t="str">
        <x:v>质量导向型（教学诊断对照）</x:v>
      </x:c>
      <x:c r="D124" s="22" t="str">
        <x:v>QAPro质量比例</x:v>
      </x:c>
      <x:c r="E124" s="24" t="n">
        <x:v>164</x:v>
      </x:c>
      <x:c r="F124" s="22" t="n">
        <x:v>0.6290186968484407</x:v>
      </x:c>
      <x:c r="G124" s="22" t="n">
        <x:v>0.5314884674372065</x:v>
      </x:c>
      <x:c r="H124" s="22" t="n">
        <x:v>0.37209302325581395</x:v>
      </x:c>
      <x:c r="I124" s="22" t="n">
        <x:v>0.4166666666666667</x:v>
      </x:c>
      <x:c r="J124" s="22" t="n">
        <x:v>0</x:v>
      </x:c>
      <x:c r="K124" s="22" t="n">
        <x:v>0.3333333333333333</x:v>
      </x:c>
      <x:c r="L124" s="22" t="str">
        <x:v>NA</x:v>
      </x:c>
      <x:c r="M124" s="22" t="str">
        <x:v>删除后共同样本重算</x:v>
      </x:c>
    </x:row>
    <x:row r="125" ht="23" customHeight="1">
      <x:c r="A125" s="21" t="str">
        <x:v>观察s3分层</x:v>
      </x:c>
      <x:c r="B125" s="22" t="str">
        <x:v>删除指标</x:v>
      </x:c>
      <x:c r="C125" s="22" t="str">
        <x:v>分组熵权型</x:v>
      </x:c>
      <x:c r="D125" s="22" t="str">
        <x:v>CTQ合计</x:v>
      </x:c>
      <x:c r="E125" s="24" t="n">
        <x:v>164</x:v>
      </x:c>
      <x:c r="F125" s="22" t="n">
        <x:v>0.997797451060218</x:v>
      </x:c>
      <x:c r="G125" s="22" t="n">
        <x:v>0.9903521466473709</x:v>
      </x:c>
      <x:c r="H125" s="22" t="n">
        <x:v>1</x:v>
      </x:c>
      <x:c r="I125" s="22" t="n">
        <x:v>1</x:v>
      </x:c>
      <x:c r="J125" s="22" t="n">
        <x:v>0.9393939393939394</x:v>
      </x:c>
      <x:c r="K125" s="22" t="n">
        <x:v>0.9411764705882353</x:v>
      </x:c>
      <x:c r="L125" s="22" t="str">
        <x:v>NA</x:v>
      </x:c>
      <x:c r="M125" s="22" t="str">
        <x:v>删除后共同样本重算</x:v>
      </x:c>
    </x:row>
    <x:row r="126" ht="23" customHeight="1">
      <x:c r="A126" s="21" t="str">
        <x:v>观察s3分层</x:v>
      </x:c>
      <x:c r="B126" s="22" t="str">
        <x:v>删除指标</x:v>
      </x:c>
      <x:c r="C126" s="22" t="str">
        <x:v>分组熵权型</x:v>
      </x:c>
      <x:c r="D126" s="22" t="str">
        <x:v>CTQ均值</x:v>
      </x:c>
      <x:c r="E126" s="24" t="n">
        <x:v>164</x:v>
      </x:c>
      <x:c r="F126" s="22" t="n">
        <x:v>0.9440818754322731</x:v>
      </x:c>
      <x:c r="G126" s="22" t="n">
        <x:v>0.8627025351215912</x:v>
      </x:c>
      <x:c r="H126" s="22" t="n">
        <x:v>0.9090909090909091</x:v>
      </x:c>
      <x:c r="I126" s="22" t="n">
        <x:v>0.8888888888888888</x:v>
      </x:c>
      <x:c r="J126" s="22" t="n">
        <x:v>0.7777777777777778</x:v>
      </x:c>
      <x:c r="K126" s="22" t="n">
        <x:v>0.7837837837837838</x:v>
      </x:c>
      <x:c r="L126" s="22" t="str">
        <x:v>NA</x:v>
      </x:c>
      <x:c r="M126" s="22" t="str">
        <x:v>删除后共同样本重算</x:v>
      </x:c>
    </x:row>
    <x:row r="127" ht="23" customHeight="1">
      <x:c r="A127" s="21" t="str">
        <x:v>观察s3分层</x:v>
      </x:c>
      <x:c r="B127" s="22" t="str">
        <x:v>删除指标</x:v>
      </x:c>
      <x:c r="C127" s="22" t="str">
        <x:v>分组熵权型</x:v>
      </x:c>
      <x:c r="D127" s="22" t="str">
        <x:v>CTQ最高</x:v>
      </x:c>
      <x:c r="E127" s="24" t="n">
        <x:v>164</x:v>
      </x:c>
      <x:c r="F127" s="22" t="n">
        <x:v>0.9414254466164791</x:v>
      </x:c>
      <x:c r="G127" s="22" t="n">
        <x:v>0.8628396848367904</x:v>
      </x:c>
      <x:c r="H127" s="22" t="n">
        <x:v>1</x:v>
      </x:c>
      <x:c r="I127" s="22" t="n">
        <x:v>1</x:v>
      </x:c>
      <x:c r="J127" s="22" t="n">
        <x:v>0.7777777777777778</x:v>
      </x:c>
      <x:c r="K127" s="22" t="n">
        <x:v>0.7837837837837838</x:v>
      </x:c>
      <x:c r="L127" s="22" t="str">
        <x:v>NA</x:v>
      </x:c>
      <x:c r="M127" s="22" t="str">
        <x:v>删除后共同样本重算</x:v>
      </x:c>
    </x:row>
    <x:row r="128" ht="23" customHeight="1">
      <x:c r="A128" s="21" t="str">
        <x:v>观察s3分层</x:v>
      </x:c>
      <x:c r="B128" s="22" t="str">
        <x:v>删除指标</x:v>
      </x:c>
      <x:c r="C128" s="22" t="str">
        <x:v>分组熵权型</x:v>
      </x:c>
      <x:c r="D128" s="22" t="str">
        <x:v>QAPro质量比例</x:v>
      </x:c>
      <x:c r="E128" s="24" t="n">
        <x:v>164</x:v>
      </x:c>
      <x:c r="F128" s="22" t="n">
        <x:v>0.7266196460667215</x:v>
      </x:c>
      <x:c r="G128" s="22" t="n">
        <x:v>0.6041403955898978</x:v>
      </x:c>
      <x:c r="H128" s="22" t="n">
        <x:v>0.37209302325581395</x:v>
      </x:c>
      <x:c r="I128" s="22" t="n">
        <x:v>0.4166666666666667</x:v>
      </x:c>
      <x:c r="J128" s="22" t="n">
        <x:v>0</x:v>
      </x:c>
      <x:c r="K128" s="22" t="n">
        <x:v>0.352112676056338</x:v>
      </x:c>
      <x:c r="L128" s="22" t="str">
        <x:v>NA</x:v>
      </x:c>
      <x:c r="M128" s="22" t="str">
        <x:v>删除后共同样本重算</x:v>
      </x:c>
    </x:row>
    <x:row r="129" ht="23" customHeight="1">
      <x:c r="A129" s="21" t="str">
        <x:v>观察s3分层</x:v>
      </x:c>
      <x:c r="B129" s="22" t="str">
        <x:v>边际递减</x:v>
      </x:c>
      <x:c r="C129" s="22" t="str">
        <x:v>均衡型</x:v>
      </x:c>
      <x:c r="D129" s="22" t="str">
        <x:v>固定凹函数</x:v>
      </x:c>
      <x:c r="E129" s="24" t="n">
        <x:v>164</x:v>
      </x:c>
      <x:c r="F129" s="22" t="n">
        <x:v>0.891189114219275</x:v>
      </x:c>
      <x:c r="G129" s="22" t="n">
        <x:v>0.7837272873452322</x:v>
      </x:c>
      <x:c r="H129" s="22" t="n">
        <x:v>0.7428571428571429</x:v>
      </x:c>
      <x:c r="I129" s="22" t="n">
        <x:v>0.7894736842105263</x:v>
      </x:c>
      <x:c r="J129" s="22" t="n">
        <x:v>0.8181818181818182</x:v>
      </x:c>
      <x:c r="K129" s="22" t="n">
        <x:v>0.375</x:v>
      </x:c>
      <x:c r="L129" s="22" t="str">
        <x:v>NA</x:v>
      </x:c>
      <x:c r="M129" s="22" t="str">
        <x:v>f(z)=(1-exp(-2z))/(1-exp(-2))</x:v>
      </x:c>
    </x:row>
    <x:row r="130" ht="23" customHeight="1">
      <x:c r="A130" s="21" t="str">
        <x:v>观察s3分层</x:v>
      </x:c>
      <x:c r="B130" s="22" t="str">
        <x:v>边际递减</x:v>
      </x:c>
      <x:c r="C130" s="22" t="str">
        <x:v>突破优先型</x:v>
      </x:c>
      <x:c r="D130" s="22" t="str">
        <x:v>固定凹函数</x:v>
      </x:c>
      <x:c r="E130" s="24" t="n">
        <x:v>164</x:v>
      </x:c>
      <x:c r="F130" s="22" t="n">
        <x:v>0.9698239754904329</x:v>
      </x:c>
      <x:c r="G130" s="22" t="n">
        <x:v>0.9043254542530953</x:v>
      </x:c>
      <x:c r="H130" s="22" t="n">
        <x:v>0.7647058823529411</x:v>
      </x:c>
      <x:c r="I130" s="22" t="n">
        <x:v>0.7631578947368421</x:v>
      </x:c>
      <x:c r="J130" s="22" t="n">
        <x:v>0.78125</x:v>
      </x:c>
      <x:c r="K130" s="22" t="n">
        <x:v>0.352112676056338</x:v>
      </x:c>
      <x:c r="L130" s="22" t="str">
        <x:v>NA</x:v>
      </x:c>
      <x:c r="M130" s="22" t="str">
        <x:v>f(z)=(1-exp(-2z))/(1-exp(-2))</x:v>
      </x:c>
    </x:row>
    <x:row r="131" ht="23" customHeight="1">
      <x:c r="A131" s="21" t="str">
        <x:v>观察s3分层</x:v>
      </x:c>
      <x:c r="B131" s="22" t="str">
        <x:v>边际递减</x:v>
      </x:c>
      <x:c r="C131" s="22" t="str">
        <x:v>质量导向型（教学诊断对照）</x:v>
      </x:c>
      <x:c r="D131" s="22" t="str">
        <x:v>固定凹函数</x:v>
      </x:c>
      <x:c r="E131" s="24" t="n">
        <x:v>164</x:v>
      </x:c>
      <x:c r="F131" s="22" t="n">
        <x:v>0.8724039662441435</x:v>
      </x:c>
      <x:c r="G131" s="22" t="n">
        <x:v>0.7628236050812026</x:v>
      </x:c>
      <x:c r="H131" s="22" t="n">
        <x:v>0.7428571428571429</x:v>
      </x:c>
      <x:c r="I131" s="22" t="n">
        <x:v>0.7894736842105263</x:v>
      </x:c>
      <x:c r="J131" s="22" t="n">
        <x:v>0.8484848484848485</x:v>
      </x:c>
      <x:c r="K131" s="22" t="n">
        <x:v>0.3888888888888889</x:v>
      </x:c>
      <x:c r="L131" s="22" t="str">
        <x:v>NA</x:v>
      </x:c>
      <x:c r="M131" s="22" t="str">
        <x:v>f(z)=(1-exp(-2z))/(1-exp(-2))</x:v>
      </x:c>
    </x:row>
    <x:row r="132" ht="23" customHeight="1">
      <x:c r="A132" s="21" t="str">
        <x:v>观察s3分层</x:v>
      </x:c>
      <x:c r="B132" s="22" t="str">
        <x:v>边际递减</x:v>
      </x:c>
      <x:c r="C132" s="22" t="str">
        <x:v>分组熵权型</x:v>
      </x:c>
      <x:c r="D132" s="22" t="str">
        <x:v>固定凹函数</x:v>
      </x:c>
      <x:c r="E132" s="24" t="n">
        <x:v>164</x:v>
      </x:c>
      <x:c r="F132" s="22" t="n">
        <x:v>0.9064165108367892</x:v>
      </x:c>
      <x:c r="G132" s="22" t="n">
        <x:v>0.8006110307123332</x:v>
      </x:c>
      <x:c r="H132" s="22" t="n">
        <x:v>0.7222222222222222</x:v>
      </x:c>
      <x:c r="I132" s="22" t="n">
        <x:v>0.7692307692307693</x:v>
      </x:c>
      <x:c r="J132" s="22" t="n">
        <x:v>0.84375</x:v>
      </x:c>
      <x:c r="K132" s="22" t="n">
        <x:v>0.38028169014084506</x:v>
      </x:c>
      <x:c r="L132" s="22" t="str">
        <x:v>NA</x:v>
      </x:c>
      <x:c r="M132" s="22" t="str">
        <x:v>f(z)=(1-exp(-2z))/(1-exp(-2))</x:v>
      </x:c>
    </x:row>
    <x:row r="133" ht="23" customHeight="1">
      <x:c r="A133" s="21" t="str">
        <x:v>观察s3分层</x:v>
      </x:c>
      <x:c r="B133" s="22" t="str">
        <x:v>指标相关</x:v>
      </x:c>
      <x:c r="C133" s="22" t="str">
        <x:v>CTQ合计</x:v>
      </x:c>
      <x:c r="D133" s="22" t="str">
        <x:v>CTQ均值</x:v>
      </x:c>
      <x:c r="E133" s="24" t="n">
        <x:v>164</x:v>
      </x:c>
      <x:c r="F133" s="22" t="n">
        <x:v>0.9808597015308717</x:v>
      </x:c>
      <x:c r="G133" s="22" t="str">
        <x:v>NA</x:v>
      </x:c>
      <x:c r="H133" s="22" t="str">
        <x:v>NA</x:v>
      </x:c>
      <x:c r="I133" s="22" t="str">
        <x:v>NA</x:v>
      </x:c>
      <x:c r="J133" s="22" t="str">
        <x:v>NA</x:v>
      </x:c>
      <x:c r="K133" s="22" t="str">
        <x:v>NA</x:v>
      </x:c>
      <x:c r="L133" s="22" t="n">
        <x:v>0.9570774348367982</x:v>
      </x:c>
      <x:c r="M133" s="22" t="str">
        <x:v>相关性不能单独证明重复计权</x:v>
      </x:c>
    </x:row>
    <x:row r="134" ht="23" customHeight="1">
      <x:c r="A134" s="21" t="str">
        <x:v>观察s3分层</x:v>
      </x:c>
      <x:c r="B134" s="22" t="str">
        <x:v>指标相关</x:v>
      </x:c>
      <x:c r="C134" s="22" t="str">
        <x:v>CTQ合计</x:v>
      </x:c>
      <x:c r="D134" s="22" t="str">
        <x:v>CTQ最高</x:v>
      </x:c>
      <x:c r="E134" s="24" t="n">
        <x:v>164</x:v>
      </x:c>
      <x:c r="F134" s="22" t="n">
        <x:v>0.9986066075075872</x:v>
      </x:c>
      <x:c r="G134" s="22" t="str">
        <x:v>NA</x:v>
      </x:c>
      <x:c r="H134" s="22" t="str">
        <x:v>NA</x:v>
      </x:c>
      <x:c r="I134" s="22" t="str">
        <x:v>NA</x:v>
      </x:c>
      <x:c r="J134" s="22" t="str">
        <x:v>NA</x:v>
      </x:c>
      <x:c r="K134" s="22" t="str">
        <x:v>NA</x:v>
      </x:c>
      <x:c r="L134" s="22" t="n">
        <x:v>0.9802559589675575</x:v>
      </x:c>
      <x:c r="M134" s="22" t="str">
        <x:v>相关性不能单独证明重复计权</x:v>
      </x:c>
    </x:row>
    <x:row r="135" ht="23" customHeight="1">
      <x:c r="A135" s="21" t="str">
        <x:v>观察s3分层</x:v>
      </x:c>
      <x:c r="B135" s="22" t="str">
        <x:v>指标相关</x:v>
      </x:c>
      <x:c r="C135" s="22" t="str">
        <x:v>CTQ合计</x:v>
      </x:c>
      <x:c r="D135" s="22" t="str">
        <x:v>QAPro质量比例</x:v>
      </x:c>
      <x:c r="E135" s="24" t="n">
        <x:v>164</x:v>
      </x:c>
      <x:c r="F135" s="22" t="n">
        <x:v>-0.010861377988167874</x:v>
      </x:c>
      <x:c r="G135" s="22" t="str">
        <x:v>NA</x:v>
      </x:c>
      <x:c r="H135" s="22" t="str">
        <x:v>NA</x:v>
      </x:c>
      <x:c r="I135" s="22" t="str">
        <x:v>NA</x:v>
      </x:c>
      <x:c r="J135" s="22" t="str">
        <x:v>NA</x:v>
      </x:c>
      <x:c r="K135" s="22" t="str">
        <x:v>NA</x:v>
      </x:c>
      <x:c r="L135" s="22" t="n">
        <x:v>0.004942257688432735</x:v>
      </x:c>
      <x:c r="M135" s="22" t="str">
        <x:v>相关性不能单独证明重复计权</x:v>
      </x:c>
    </x:row>
    <x:row r="136" ht="23" customHeight="1">
      <x:c r="A136" s="21" t="str">
        <x:v>观察s3分层</x:v>
      </x:c>
      <x:c r="B136" s="22" t="str">
        <x:v>指标相关</x:v>
      </x:c>
      <x:c r="C136" s="22" t="str">
        <x:v>CTQ均值</x:v>
      </x:c>
      <x:c r="D136" s="22" t="str">
        <x:v>CTQ最高</x:v>
      </x:c>
      <x:c r="E136" s="24" t="n">
        <x:v>164</x:v>
      </x:c>
      <x:c r="F136" s="22" t="n">
        <x:v>0.9846532871978013</x:v>
      </x:c>
      <x:c r="G136" s="22" t="str">
        <x:v>NA</x:v>
      </x:c>
      <x:c r="H136" s="22" t="str">
        <x:v>NA</x:v>
      </x:c>
      <x:c r="I136" s="22" t="str">
        <x:v>NA</x:v>
      </x:c>
      <x:c r="J136" s="22" t="str">
        <x:v>NA</x:v>
      </x:c>
      <x:c r="K136" s="22" t="str">
        <x:v>NA</x:v>
      </x:c>
      <x:c r="L136" s="22" t="n">
        <x:v>0.9841176874197327</x:v>
      </x:c>
      <x:c r="M136" s="22" t="str">
        <x:v>相关性不能单独证明重复计权</x:v>
      </x:c>
    </x:row>
    <x:row r="137" ht="23" customHeight="1">
      <x:c r="A137" s="21" t="str">
        <x:v>观察s3分层</x:v>
      </x:c>
      <x:c r="B137" s="22" t="str">
        <x:v>指标相关</x:v>
      </x:c>
      <x:c r="C137" s="22" t="str">
        <x:v>CTQ均值</x:v>
      </x:c>
      <x:c r="D137" s="22" t="str">
        <x:v>QAPro质量比例</x:v>
      </x:c>
      <x:c r="E137" s="24" t="n">
        <x:v>164</x:v>
      </x:c>
      <x:c r="F137" s="22" t="n">
        <x:v>-0.005600579191837096</x:v>
      </x:c>
      <x:c r="G137" s="22" t="str">
        <x:v>NA</x:v>
      </x:c>
      <x:c r="H137" s="22" t="str">
        <x:v>NA</x:v>
      </x:c>
      <x:c r="I137" s="22" t="str">
        <x:v>NA</x:v>
      </x:c>
      <x:c r="J137" s="22" t="str">
        <x:v>NA</x:v>
      </x:c>
      <x:c r="K137" s="22" t="str">
        <x:v>NA</x:v>
      </x:c>
      <x:c r="L137" s="22" t="n">
        <x:v>0.0050310564737148485</x:v>
      </x:c>
      <x:c r="M137" s="22" t="str">
        <x:v>相关性不能单独证明重复计权</x:v>
      </x:c>
    </x:row>
    <x:row r="138" ht="23" customHeight="1">
      <x:c r="A138" s="21" t="str">
        <x:v>观察s3分层</x:v>
      </x:c>
      <x:c r="B138" s="22" t="str">
        <x:v>指标相关</x:v>
      </x:c>
      <x:c r="C138" s="22" t="str">
        <x:v>CTQ最高</x:v>
      </x:c>
      <x:c r="D138" s="22" t="str">
        <x:v>QAPro质量比例</x:v>
      </x:c>
      <x:c r="E138" s="24" t="n">
        <x:v>164</x:v>
      </x:c>
      <x:c r="F138" s="22" t="n">
        <x:v>-0.010511290741217127</x:v>
      </x:c>
      <x:c r="G138" s="22" t="str">
        <x:v>NA</x:v>
      </x:c>
      <x:c r="H138" s="22" t="str">
        <x:v>NA</x:v>
      </x:c>
      <x:c r="I138" s="22" t="str">
        <x:v>NA</x:v>
      </x:c>
      <x:c r="J138" s="22" t="str">
        <x:v>NA</x:v>
      </x:c>
      <x:c r="K138" s="22" t="str">
        <x:v>NA</x:v>
      </x:c>
      <x:c r="L138" s="22" t="n">
        <x:v>0.00028801571529900874</x:v>
      </x:c>
      <x:c r="M138" s="22" t="str">
        <x:v>相关性不能单独证明重复计权</x:v>
      </x:c>
    </x:row>
    <x:row r="139" ht="23" customHeight="1">
      <x:c r="A139" s="21" t="str">
        <x:v>观察s3分层</x:v>
      </x:c>
      <x:c r="B139" s="22" t="str">
        <x:v>前后20%边界</x:v>
      </x:c>
      <x:c r="C139" s="22" t="str">
        <x:v>均衡型</x:v>
      </x:c>
      <x:c r="D139" s="22" t="str">
        <x:v>人数</x:v>
      </x:c>
      <x:c r="E139" s="24" t="n">
        <x:v>164</x:v>
      </x:c>
      <x:c r="F139" s="22" t="str">
        <x:v>NA</x:v>
      </x:c>
      <x:c r="G139" s="22" t="str">
        <x:v>NA</x:v>
      </x:c>
      <x:c r="H139" s="22" t="str">
        <x:v>NA</x:v>
      </x:c>
      <x:c r="I139" s="22" t="str">
        <x:v>NA</x:v>
      </x:c>
      <x:c r="J139" s="22" t="str">
        <x:v>NA</x:v>
      </x:c>
      <x:c r="K139" s="22" t="str">
        <x:v>NA</x:v>
      </x:c>
      <x:c r="L139" s="22" t="str">
        <x:v>NA</x:v>
      </x:c>
      <x:c r="M139" s="22" t="str">
        <x:v>目标33；前严格/边界/含边界=32/3/35；后=32/1/33</x:v>
      </x:c>
    </x:row>
    <x:row r="140" ht="23" customHeight="1">
      <x:c r="A140" s="21" t="str">
        <x:v>观察s3分层</x:v>
      </x:c>
      <x:c r="B140" s="22" t="str">
        <x:v>前后20%边界</x:v>
      </x:c>
      <x:c r="C140" s="22" t="str">
        <x:v>突破优先型</x:v>
      </x:c>
      <x:c r="D140" s="22" t="str">
        <x:v>人数</x:v>
      </x:c>
      <x:c r="E140" s="24" t="n">
        <x:v>164</x:v>
      </x:c>
      <x:c r="F140" s="22" t="str">
        <x:v>NA</x:v>
      </x:c>
      <x:c r="G140" s="22" t="str">
        <x:v>NA</x:v>
      </x:c>
      <x:c r="H140" s="22" t="str">
        <x:v>NA</x:v>
      </x:c>
      <x:c r="I140" s="22" t="str">
        <x:v>NA</x:v>
      </x:c>
      <x:c r="J140" s="22" t="str">
        <x:v>NA</x:v>
      </x:c>
      <x:c r="K140" s="22" t="str">
        <x:v>NA</x:v>
      </x:c>
      <x:c r="L140" s="22" t="str">
        <x:v>NA</x:v>
      </x:c>
      <x:c r="M140" s="22" t="str">
        <x:v>目标33；前严格/边界/含边界=30/4/34；后=32/1/33</x:v>
      </x:c>
    </x:row>
    <x:row r="141" ht="23" customHeight="1">
      <x:c r="A141" s="21" t="str">
        <x:v>观察s3分层</x:v>
      </x:c>
      <x:c r="B141" s="22" t="str">
        <x:v>前后20%边界</x:v>
      </x:c>
      <x:c r="C141" s="22" t="str">
        <x:v>质量导向型（教学诊断对照）</x:v>
      </x:c>
      <x:c r="D141" s="22" t="str">
        <x:v>人数</x:v>
      </x:c>
      <x:c r="E141" s="24" t="n">
        <x:v>164</x:v>
      </x:c>
      <x:c r="F141" s="22" t="str">
        <x:v>NA</x:v>
      </x:c>
      <x:c r="G141" s="22" t="str">
        <x:v>NA</x:v>
      </x:c>
      <x:c r="H141" s="22" t="str">
        <x:v>NA</x:v>
      </x:c>
      <x:c r="I141" s="22" t="str">
        <x:v>NA</x:v>
      </x:c>
      <x:c r="J141" s="22" t="str">
        <x:v>NA</x:v>
      </x:c>
      <x:c r="K141" s="22" t="str">
        <x:v>NA</x:v>
      </x:c>
      <x:c r="L141" s="22" t="str">
        <x:v>NA</x:v>
      </x:c>
      <x:c r="M141" s="22" t="str">
        <x:v>目标33；前严格/边界/含边界=32/3/35；后=32/1/33</x:v>
      </x:c>
    </x:row>
    <x:row r="142" ht="23" customHeight="1">
      <x:c r="A142" s="21" t="str">
        <x:v>观察s3分层</x:v>
      </x:c>
      <x:c r="B142" s="22" t="str">
        <x:v>前后20%边界</x:v>
      </x:c>
      <x:c r="C142" s="22" t="str">
        <x:v>分组熵权型</x:v>
      </x:c>
      <x:c r="D142" s="22" t="str">
        <x:v>人数</x:v>
      </x:c>
      <x:c r="E142" s="24" t="n">
        <x:v>164</x:v>
      </x:c>
      <x:c r="F142" s="22" t="str">
        <x:v>NA</x:v>
      </x:c>
      <x:c r="G142" s="22" t="str">
        <x:v>NA</x:v>
      </x:c>
      <x:c r="H142" s="22" t="str">
        <x:v>NA</x:v>
      </x:c>
      <x:c r="I142" s="22" t="str">
        <x:v>NA</x:v>
      </x:c>
      <x:c r="J142" s="22" t="str">
        <x:v>NA</x:v>
      </x:c>
      <x:c r="K142" s="22" t="str">
        <x:v>NA</x:v>
      </x:c>
      <x:c r="L142" s="22" t="str">
        <x:v>NA</x:v>
      </x:c>
      <x:c r="M142" s="22" t="str">
        <x:v>目标33；前严格/边界/含边界=32/3/35；后=32/1/33</x:v>
      </x:c>
    </x:row>
    <x:row r="143" ht="23" customHeight="1">
      <x:c r="A143" s="21" t="str">
        <x:v>观察s3分层</x:v>
      </x:c>
      <x:c r="B143" s="22" t="str">
        <x:v>前后20%边界</x:v>
      </x:c>
      <x:c r="C143" s="22" t="str">
        <x:v>四项原始熵权对照</x:v>
      </x:c>
      <x:c r="D143" s="22" t="str">
        <x:v>人数</x:v>
      </x:c>
      <x:c r="E143" s="24" t="n">
        <x:v>164</x:v>
      </x:c>
      <x:c r="F143" s="22" t="str">
        <x:v>NA</x:v>
      </x:c>
      <x:c r="G143" s="22" t="str">
        <x:v>NA</x:v>
      </x:c>
      <x:c r="H143" s="22" t="str">
        <x:v>NA</x:v>
      </x:c>
      <x:c r="I143" s="22" t="str">
        <x:v>NA</x:v>
      </x:c>
      <x:c r="J143" s="22" t="str">
        <x:v>NA</x:v>
      </x:c>
      <x:c r="K143" s="22" t="str">
        <x:v>NA</x:v>
      </x:c>
      <x:c r="L143" s="22" t="str">
        <x:v>NA</x:v>
      </x:c>
      <x:c r="M143" s="22" t="str">
        <x:v>目标33；前严格/边界/含边界=31/3/34；后=25/38/63</x:v>
      </x:c>
    </x:row>
    <x:row r="144" ht="23" customHeight="1">
      <x:c r="A144" s="21" t="str">
        <x:v>观察s6分层</x:v>
      </x:c>
      <x:c r="B144" s="22" t="str">
        <x:v>方案对比</x:v>
      </x:c>
      <x:c r="C144" s="22" t="str">
        <x:v>均衡型</x:v>
      </x:c>
      <x:c r="D144" s="22" t="str">
        <x:v>突破优先型</x:v>
      </x:c>
      <x:c r="E144" s="24" t="n">
        <x:v>9</x:v>
      </x:c>
      <x:c r="F144" s="22" t="n">
        <x:v>0.9500000000000001</x:v>
      </x:c>
      <x:c r="G144" s="22" t="n">
        <x:v>0.8333333333333334</x:v>
      </x:c>
      <x:c r="H144" s="22" t="n">
        <x:v>0</x:v>
      </x:c>
      <x:c r="I144" s="22" t="n">
        <x:v>1</x:v>
      </x:c>
      <x:c r="J144" s="22" t="n">
        <x:v>1</x:v>
      </x:c>
      <x:c r="K144" s="22" t="n">
        <x:v>1</x:v>
      </x:c>
      <x:c r="L144" s="22" t="str">
        <x:v>NA</x:v>
      </x:c>
      <x:c r="M144" s="22" t="str"/>
    </x:row>
    <x:row r="145" ht="23" customHeight="1">
      <x:c r="A145" s="21" t="str">
        <x:v>观察s6分层</x:v>
      </x:c>
      <x:c r="B145" s="22" t="str">
        <x:v>方案对比</x:v>
      </x:c>
      <x:c r="C145" s="22" t="str">
        <x:v>均衡型</x:v>
      </x:c>
      <x:c r="D145" s="22" t="str">
        <x:v>质量导向型（教学诊断对照）</x:v>
      </x:c>
      <x:c r="E145" s="24" t="n">
        <x:v>9</x:v>
      </x:c>
      <x:c r="F145" s="22" t="n">
        <x:v>0.9833333333333333</x:v>
      </x:c>
      <x:c r="G145" s="22" t="n">
        <x:v>0.9444444444444445</x:v>
      </x:c>
      <x:c r="H145" s="22" t="n">
        <x:v>1</x:v>
      </x:c>
      <x:c r="I145" s="22" t="n">
        <x:v>1</x:v>
      </x:c>
      <x:c r="J145" s="22" t="n">
        <x:v>1</x:v>
      </x:c>
      <x:c r="K145" s="22" t="n">
        <x:v>1</x:v>
      </x:c>
      <x:c r="L145" s="22" t="str">
        <x:v>NA</x:v>
      </x:c>
      <x:c r="M145" s="22" t="str"/>
    </x:row>
    <x:row r="146" ht="23" customHeight="1">
      <x:c r="A146" s="21" t="str">
        <x:v>观察s6分层</x:v>
      </x:c>
      <x:c r="B146" s="22" t="str">
        <x:v>方案对比</x:v>
      </x:c>
      <x:c r="C146" s="22" t="str">
        <x:v>均衡型</x:v>
      </x:c>
      <x:c r="D146" s="22" t="str">
        <x:v>分组熵权型</x:v>
      </x:c>
      <x:c r="E146" s="24" t="n">
        <x:v>9</x:v>
      </x:c>
      <x:c r="F146" s="22" t="n">
        <x:v>1</x:v>
      </x:c>
      <x:c r="G146" s="22" t="n">
        <x:v>1</x:v>
      </x:c>
      <x:c r="H146" s="22" t="n">
        <x:v>1</x:v>
      </x:c>
      <x:c r="I146" s="22" t="n">
        <x:v>1</x:v>
      </x:c>
      <x:c r="J146" s="22" t="n">
        <x:v>1</x:v>
      </x:c>
      <x:c r="K146" s="22" t="n">
        <x:v>1</x:v>
      </x:c>
      <x:c r="L146" s="22" t="str">
        <x:v>NA</x:v>
      </x:c>
      <x:c r="M146" s="22" t="str"/>
    </x:row>
    <x:row r="147" ht="23" customHeight="1">
      <x:c r="A147" s="21" t="str">
        <x:v>观察s6分层</x:v>
      </x:c>
      <x:c r="B147" s="22" t="str">
        <x:v>方案对比</x:v>
      </x:c>
      <x:c r="C147" s="22" t="str">
        <x:v>突破优先型</x:v>
      </x:c>
      <x:c r="D147" s="22" t="str">
        <x:v>质量导向型（教学诊断对照）</x:v>
      </x:c>
      <x:c r="E147" s="24" t="n">
        <x:v>9</x:v>
      </x:c>
      <x:c r="F147" s="22" t="n">
        <x:v>0.9</x:v>
      </x:c>
      <x:c r="G147" s="22" t="n">
        <x:v>0.7777777777777778</x:v>
      </x:c>
      <x:c r="H147" s="22" t="n">
        <x:v>0</x:v>
      </x:c>
      <x:c r="I147" s="22" t="n">
        <x:v>1</x:v>
      </x:c>
      <x:c r="J147" s="22" t="n">
        <x:v>1</x:v>
      </x:c>
      <x:c r="K147" s="22" t="n">
        <x:v>1</x:v>
      </x:c>
      <x:c r="L147" s="22" t="str">
        <x:v>NA</x:v>
      </x:c>
      <x:c r="M147" s="22" t="str"/>
    </x:row>
    <x:row r="148" ht="23" customHeight="1">
      <x:c r="A148" s="21" t="str">
        <x:v>观察s6分层</x:v>
      </x:c>
      <x:c r="B148" s="22" t="str">
        <x:v>方案对比</x:v>
      </x:c>
      <x:c r="C148" s="22" t="str">
        <x:v>突破优先型</x:v>
      </x:c>
      <x:c r="D148" s="22" t="str">
        <x:v>分组熵权型</x:v>
      </x:c>
      <x:c r="E148" s="24" t="n">
        <x:v>9</x:v>
      </x:c>
      <x:c r="F148" s="22" t="n">
        <x:v>0.9500000000000001</x:v>
      </x:c>
      <x:c r="G148" s="22" t="n">
        <x:v>0.8333333333333334</x:v>
      </x:c>
      <x:c r="H148" s="22" t="n">
        <x:v>0</x:v>
      </x:c>
      <x:c r="I148" s="22" t="n">
        <x:v>1</x:v>
      </x:c>
      <x:c r="J148" s="22" t="n">
        <x:v>1</x:v>
      </x:c>
      <x:c r="K148" s="22" t="n">
        <x:v>1</x:v>
      </x:c>
      <x:c r="L148" s="22" t="str">
        <x:v>NA</x:v>
      </x:c>
      <x:c r="M148" s="22" t="str"/>
    </x:row>
    <x:row r="149" ht="23" customHeight="1">
      <x:c r="A149" s="21" t="str">
        <x:v>观察s6分层</x:v>
      </x:c>
      <x:c r="B149" s="22" t="str">
        <x:v>方案对比</x:v>
      </x:c>
      <x:c r="C149" s="22" t="str">
        <x:v>质量导向型（教学诊断对照）</x:v>
      </x:c>
      <x:c r="D149" s="22" t="str">
        <x:v>分组熵权型</x:v>
      </x:c>
      <x:c r="E149" s="24" t="n">
        <x:v>9</x:v>
      </x:c>
      <x:c r="F149" s="22" t="n">
        <x:v>0.9833333333333333</x:v>
      </x:c>
      <x:c r="G149" s="22" t="n">
        <x:v>0.9444444444444445</x:v>
      </x:c>
      <x:c r="H149" s="22" t="n">
        <x:v>1</x:v>
      </x:c>
      <x:c r="I149" s="22" t="n">
        <x:v>1</x:v>
      </x:c>
      <x:c r="J149" s="22" t="n">
        <x:v>1</x:v>
      </x:c>
      <x:c r="K149" s="22" t="n">
        <x:v>1</x:v>
      </x:c>
      <x:c r="L149" s="22" t="str">
        <x:v>NA</x:v>
      </x:c>
      <x:c r="M149" s="22" t="str"/>
    </x:row>
    <x:row r="150" ht="23" customHeight="1">
      <x:c r="A150" s="21" t="str">
        <x:v>观察s6分层</x:v>
      </x:c>
      <x:c r="B150" s="22" t="str">
        <x:v>权重±10%</x:v>
      </x:c>
      <x:c r="C150" s="22" t="str">
        <x:v>均衡型</x:v>
      </x:c>
      <x:c r="D150" s="22" t="str">
        <x:v>CTQ合计 ×0.9</x:v>
      </x:c>
      <x:c r="E150" s="24" t="n">
        <x:v>9</x:v>
      </x:c>
      <x:c r="F150" s="22" t="n">
        <x:v>1</x:v>
      </x:c>
      <x:c r="G150" s="22" t="n">
        <x:v>1</x:v>
      </x:c>
      <x:c r="H150" s="22" t="n">
        <x:v>1</x:v>
      </x:c>
      <x:c r="I150" s="22" t="n">
        <x:v>1</x:v>
      </x:c>
      <x:c r="J150" s="22" t="n">
        <x:v>1</x:v>
      </x:c>
      <x:c r="K150" s="22" t="n">
        <x:v>1</x:v>
      </x:c>
      <x:c r="L150" s="22" t="str">
        <x:v>NA</x:v>
      </x:c>
      <x:c r="M150" s="22" t="str">
        <x:v>扰动后重新归一化</x:v>
      </x:c>
    </x:row>
    <x:row r="151" ht="23" customHeight="1">
      <x:c r="A151" s="21" t="str">
        <x:v>观察s6分层</x:v>
      </x:c>
      <x:c r="B151" s="22" t="str">
        <x:v>权重±10%</x:v>
      </x:c>
      <x:c r="C151" s="22" t="str">
        <x:v>均衡型</x:v>
      </x:c>
      <x:c r="D151" s="22" t="str">
        <x:v>CTQ合计 ×1.1</x:v>
      </x:c>
      <x:c r="E151" s="24" t="n">
        <x:v>9</x:v>
      </x:c>
      <x:c r="F151" s="22" t="n">
        <x:v>1</x:v>
      </x:c>
      <x:c r="G151" s="22" t="n">
        <x:v>1</x:v>
      </x:c>
      <x:c r="H151" s="22" t="n">
        <x:v>1</x:v>
      </x:c>
      <x:c r="I151" s="22" t="n">
        <x:v>1</x:v>
      </x:c>
      <x:c r="J151" s="22" t="n">
        <x:v>1</x:v>
      </x:c>
      <x:c r="K151" s="22" t="n">
        <x:v>1</x:v>
      </x:c>
      <x:c r="L151" s="22" t="str">
        <x:v>NA</x:v>
      </x:c>
      <x:c r="M151" s="22" t="str">
        <x:v>扰动后重新归一化</x:v>
      </x:c>
    </x:row>
    <x:row r="152" ht="23" customHeight="1">
      <x:c r="A152" s="21" t="str">
        <x:v>观察s6分层</x:v>
      </x:c>
      <x:c r="B152" s="22" t="str">
        <x:v>权重±10%</x:v>
      </x:c>
      <x:c r="C152" s="22" t="str">
        <x:v>均衡型</x:v>
      </x:c>
      <x:c r="D152" s="22" t="str">
        <x:v>CTQ均值 ×0.9</x:v>
      </x:c>
      <x:c r="E152" s="24" t="n">
        <x:v>9</x:v>
      </x:c>
      <x:c r="F152" s="22" t="n">
        <x:v>1</x:v>
      </x:c>
      <x:c r="G152" s="22" t="n">
        <x:v>1</x:v>
      </x:c>
      <x:c r="H152" s="22" t="n">
        <x:v>1</x:v>
      </x:c>
      <x:c r="I152" s="22" t="n">
        <x:v>1</x:v>
      </x:c>
      <x:c r="J152" s="22" t="n">
        <x:v>1</x:v>
      </x:c>
      <x:c r="K152" s="22" t="n">
        <x:v>1</x:v>
      </x:c>
      <x:c r="L152" s="22" t="str">
        <x:v>NA</x:v>
      </x:c>
      <x:c r="M152" s="22" t="str">
        <x:v>扰动后重新归一化</x:v>
      </x:c>
    </x:row>
    <x:row r="153" ht="23" customHeight="1">
      <x:c r="A153" s="21" t="str">
        <x:v>观察s6分层</x:v>
      </x:c>
      <x:c r="B153" s="22" t="str">
        <x:v>权重±10%</x:v>
      </x:c>
      <x:c r="C153" s="22" t="str">
        <x:v>均衡型</x:v>
      </x:c>
      <x:c r="D153" s="22" t="str">
        <x:v>CTQ均值 ×1.1</x:v>
      </x:c>
      <x:c r="E153" s="24" t="n">
        <x:v>9</x:v>
      </x:c>
      <x:c r="F153" s="22" t="n">
        <x:v>1</x:v>
      </x:c>
      <x:c r="G153" s="22" t="n">
        <x:v>1</x:v>
      </x:c>
      <x:c r="H153" s="22" t="n">
        <x:v>1</x:v>
      </x:c>
      <x:c r="I153" s="22" t="n">
        <x:v>1</x:v>
      </x:c>
      <x:c r="J153" s="22" t="n">
        <x:v>1</x:v>
      </x:c>
      <x:c r="K153" s="22" t="n">
        <x:v>1</x:v>
      </x:c>
      <x:c r="L153" s="22" t="str">
        <x:v>NA</x:v>
      </x:c>
      <x:c r="M153" s="22" t="str">
        <x:v>扰动后重新归一化</x:v>
      </x:c>
    </x:row>
    <x:row r="154" ht="23" customHeight="1">
      <x:c r="A154" s="21" t="str">
        <x:v>观察s6分层</x:v>
      </x:c>
      <x:c r="B154" s="22" t="str">
        <x:v>权重±10%</x:v>
      </x:c>
      <x:c r="C154" s="22" t="str">
        <x:v>均衡型</x:v>
      </x:c>
      <x:c r="D154" s="22" t="str">
        <x:v>CTQ最高 ×0.9</x:v>
      </x:c>
      <x:c r="E154" s="24" t="n">
        <x:v>9</x:v>
      </x:c>
      <x:c r="F154" s="22" t="n">
        <x:v>1</x:v>
      </x:c>
      <x:c r="G154" s="22" t="n">
        <x:v>1</x:v>
      </x:c>
      <x:c r="H154" s="22" t="n">
        <x:v>1</x:v>
      </x:c>
      <x:c r="I154" s="22" t="n">
        <x:v>1</x:v>
      </x:c>
      <x:c r="J154" s="22" t="n">
        <x:v>1</x:v>
      </x:c>
      <x:c r="K154" s="22" t="n">
        <x:v>1</x:v>
      </x:c>
      <x:c r="L154" s="22" t="str">
        <x:v>NA</x:v>
      </x:c>
      <x:c r="M154" s="22" t="str">
        <x:v>扰动后重新归一化</x:v>
      </x:c>
    </x:row>
    <x:row r="155" ht="23" customHeight="1">
      <x:c r="A155" s="21" t="str">
        <x:v>观察s6分层</x:v>
      </x:c>
      <x:c r="B155" s="22" t="str">
        <x:v>权重±10%</x:v>
      </x:c>
      <x:c r="C155" s="22" t="str">
        <x:v>均衡型</x:v>
      </x:c>
      <x:c r="D155" s="22" t="str">
        <x:v>CTQ最高 ×1.1</x:v>
      </x:c>
      <x:c r="E155" s="24" t="n">
        <x:v>9</x:v>
      </x:c>
      <x:c r="F155" s="22" t="n">
        <x:v>1</x:v>
      </x:c>
      <x:c r="G155" s="22" t="n">
        <x:v>1</x:v>
      </x:c>
      <x:c r="H155" s="22" t="n">
        <x:v>1</x:v>
      </x:c>
      <x:c r="I155" s="22" t="n">
        <x:v>1</x:v>
      </x:c>
      <x:c r="J155" s="22" t="n">
        <x:v>1</x:v>
      </x:c>
      <x:c r="K155" s="22" t="n">
        <x:v>1</x:v>
      </x:c>
      <x:c r="L155" s="22" t="str">
        <x:v>NA</x:v>
      </x:c>
      <x:c r="M155" s="22" t="str">
        <x:v>扰动后重新归一化</x:v>
      </x:c>
    </x:row>
    <x:row r="156" ht="23" customHeight="1">
      <x:c r="A156" s="21" t="str">
        <x:v>观察s6分层</x:v>
      </x:c>
      <x:c r="B156" s="22" t="str">
        <x:v>权重±10%</x:v>
      </x:c>
      <x:c r="C156" s="22" t="str">
        <x:v>均衡型</x:v>
      </x:c>
      <x:c r="D156" s="22" t="str">
        <x:v>QAPro质量比例 ×0.9</x:v>
      </x:c>
      <x:c r="E156" s="24" t="n">
        <x:v>9</x:v>
      </x:c>
      <x:c r="F156" s="22" t="n">
        <x:v>1</x:v>
      </x:c>
      <x:c r="G156" s="22" t="n">
        <x:v>1</x:v>
      </x:c>
      <x:c r="H156" s="22" t="n">
        <x:v>1</x:v>
      </x:c>
      <x:c r="I156" s="22" t="n">
        <x:v>1</x:v>
      </x:c>
      <x:c r="J156" s="22" t="n">
        <x:v>1</x:v>
      </x:c>
      <x:c r="K156" s="22" t="n">
        <x:v>1</x:v>
      </x:c>
      <x:c r="L156" s="22" t="str">
        <x:v>NA</x:v>
      </x:c>
      <x:c r="M156" s="22" t="str">
        <x:v>扰动后重新归一化</x:v>
      </x:c>
    </x:row>
    <x:row r="157" ht="23" customHeight="1">
      <x:c r="A157" s="21" t="str">
        <x:v>观察s6分层</x:v>
      </x:c>
      <x:c r="B157" s="22" t="str">
        <x:v>权重±10%</x:v>
      </x:c>
      <x:c r="C157" s="22" t="str">
        <x:v>均衡型</x:v>
      </x:c>
      <x:c r="D157" s="22" t="str">
        <x:v>QAPro质量比例 ×1.1</x:v>
      </x:c>
      <x:c r="E157" s="24" t="n">
        <x:v>9</x:v>
      </x:c>
      <x:c r="F157" s="22" t="n">
        <x:v>1</x:v>
      </x:c>
      <x:c r="G157" s="22" t="n">
        <x:v>1</x:v>
      </x:c>
      <x:c r="H157" s="22" t="n">
        <x:v>1</x:v>
      </x:c>
      <x:c r="I157" s="22" t="n">
        <x:v>1</x:v>
      </x:c>
      <x:c r="J157" s="22" t="n">
        <x:v>1</x:v>
      </x:c>
      <x:c r="K157" s="22" t="n">
        <x:v>1</x:v>
      </x:c>
      <x:c r="L157" s="22" t="str">
        <x:v>NA</x:v>
      </x:c>
      <x:c r="M157" s="22" t="str">
        <x:v>扰动后重新归一化</x:v>
      </x:c>
    </x:row>
    <x:row r="158" ht="23" customHeight="1">
      <x:c r="A158" s="21" t="str">
        <x:v>观察s6分层</x:v>
      </x:c>
      <x:c r="B158" s="22" t="str">
        <x:v>权重±10%</x:v>
      </x:c>
      <x:c r="C158" s="22" t="str">
        <x:v>突破优先型</x:v>
      </x:c>
      <x:c r="D158" s="22" t="str">
        <x:v>CTQ合计 ×0.9</x:v>
      </x:c>
      <x:c r="E158" s="24" t="n">
        <x:v>9</x:v>
      </x:c>
      <x:c r="F158" s="22" t="n">
        <x:v>1</x:v>
      </x:c>
      <x:c r="G158" s="22" t="n">
        <x:v>1</x:v>
      </x:c>
      <x:c r="H158" s="22" t="n">
        <x:v>1</x:v>
      </x:c>
      <x:c r="I158" s="22" t="n">
        <x:v>1</x:v>
      </x:c>
      <x:c r="J158" s="22" t="n">
        <x:v>1</x:v>
      </x:c>
      <x:c r="K158" s="22" t="n">
        <x:v>1</x:v>
      </x:c>
      <x:c r="L158" s="22" t="str">
        <x:v>NA</x:v>
      </x:c>
      <x:c r="M158" s="22" t="str">
        <x:v>扰动后重新归一化</x:v>
      </x:c>
    </x:row>
    <x:row r="159" ht="23" customHeight="1">
      <x:c r="A159" s="21" t="str">
        <x:v>观察s6分层</x:v>
      </x:c>
      <x:c r="B159" s="22" t="str">
        <x:v>权重±10%</x:v>
      </x:c>
      <x:c r="C159" s="22" t="str">
        <x:v>突破优先型</x:v>
      </x:c>
      <x:c r="D159" s="22" t="str">
        <x:v>CTQ合计 ×1.1</x:v>
      </x:c>
      <x:c r="E159" s="24" t="n">
        <x:v>9</x:v>
      </x:c>
      <x:c r="F159" s="22" t="n">
        <x:v>1</x:v>
      </x:c>
      <x:c r="G159" s="22" t="n">
        <x:v>1</x:v>
      </x:c>
      <x:c r="H159" s="22" t="n">
        <x:v>1</x:v>
      </x:c>
      <x:c r="I159" s="22" t="n">
        <x:v>1</x:v>
      </x:c>
      <x:c r="J159" s="22" t="n">
        <x:v>1</x:v>
      </x:c>
      <x:c r="K159" s="22" t="n">
        <x:v>1</x:v>
      </x:c>
      <x:c r="L159" s="22" t="str">
        <x:v>NA</x:v>
      </x:c>
      <x:c r="M159" s="22" t="str">
        <x:v>扰动后重新归一化</x:v>
      </x:c>
    </x:row>
    <x:row r="160" ht="23" customHeight="1">
      <x:c r="A160" s="21" t="str">
        <x:v>观察s6分层</x:v>
      </x:c>
      <x:c r="B160" s="22" t="str">
        <x:v>权重±10%</x:v>
      </x:c>
      <x:c r="C160" s="22" t="str">
        <x:v>突破优先型</x:v>
      </x:c>
      <x:c r="D160" s="22" t="str">
        <x:v>CTQ均值 ×0.9</x:v>
      </x:c>
      <x:c r="E160" s="24" t="n">
        <x:v>9</x:v>
      </x:c>
      <x:c r="F160" s="22" t="n">
        <x:v>1</x:v>
      </x:c>
      <x:c r="G160" s="22" t="n">
        <x:v>1</x:v>
      </x:c>
      <x:c r="H160" s="22" t="n">
        <x:v>1</x:v>
      </x:c>
      <x:c r="I160" s="22" t="n">
        <x:v>1</x:v>
      </x:c>
      <x:c r="J160" s="22" t="n">
        <x:v>1</x:v>
      </x:c>
      <x:c r="K160" s="22" t="n">
        <x:v>1</x:v>
      </x:c>
      <x:c r="L160" s="22" t="str">
        <x:v>NA</x:v>
      </x:c>
      <x:c r="M160" s="22" t="str">
        <x:v>扰动后重新归一化</x:v>
      </x:c>
    </x:row>
    <x:row r="161" ht="23" customHeight="1">
      <x:c r="A161" s="21" t="str">
        <x:v>观察s6分层</x:v>
      </x:c>
      <x:c r="B161" s="22" t="str">
        <x:v>权重±10%</x:v>
      </x:c>
      <x:c r="C161" s="22" t="str">
        <x:v>突破优先型</x:v>
      </x:c>
      <x:c r="D161" s="22" t="str">
        <x:v>CTQ均值 ×1.1</x:v>
      </x:c>
      <x:c r="E161" s="24" t="n">
        <x:v>9</x:v>
      </x:c>
      <x:c r="F161" s="22" t="n">
        <x:v>1</x:v>
      </x:c>
      <x:c r="G161" s="22" t="n">
        <x:v>1</x:v>
      </x:c>
      <x:c r="H161" s="22" t="n">
        <x:v>1</x:v>
      </x:c>
      <x:c r="I161" s="22" t="n">
        <x:v>1</x:v>
      </x:c>
      <x:c r="J161" s="22" t="n">
        <x:v>1</x:v>
      </x:c>
      <x:c r="K161" s="22" t="n">
        <x:v>1</x:v>
      </x:c>
      <x:c r="L161" s="22" t="str">
        <x:v>NA</x:v>
      </x:c>
      <x:c r="M161" s="22" t="str">
        <x:v>扰动后重新归一化</x:v>
      </x:c>
    </x:row>
    <x:row r="162" ht="23" customHeight="1">
      <x:c r="A162" s="21" t="str">
        <x:v>观察s6分层</x:v>
      </x:c>
      <x:c r="B162" s="22" t="str">
        <x:v>权重±10%</x:v>
      </x:c>
      <x:c r="C162" s="22" t="str">
        <x:v>突破优先型</x:v>
      </x:c>
      <x:c r="D162" s="22" t="str">
        <x:v>CTQ最高 ×0.9</x:v>
      </x:c>
      <x:c r="E162" s="24" t="n">
        <x:v>9</x:v>
      </x:c>
      <x:c r="F162" s="22" t="n">
        <x:v>1</x:v>
      </x:c>
      <x:c r="G162" s="22" t="n">
        <x:v>1</x:v>
      </x:c>
      <x:c r="H162" s="22" t="n">
        <x:v>1</x:v>
      </x:c>
      <x:c r="I162" s="22" t="n">
        <x:v>1</x:v>
      </x:c>
      <x:c r="J162" s="22" t="n">
        <x:v>1</x:v>
      </x:c>
      <x:c r="K162" s="22" t="n">
        <x:v>1</x:v>
      </x:c>
      <x:c r="L162" s="22" t="str">
        <x:v>NA</x:v>
      </x:c>
      <x:c r="M162" s="22" t="str">
        <x:v>扰动后重新归一化</x:v>
      </x:c>
    </x:row>
    <x:row r="163" ht="23" customHeight="1">
      <x:c r="A163" s="21" t="str">
        <x:v>观察s6分层</x:v>
      </x:c>
      <x:c r="B163" s="22" t="str">
        <x:v>权重±10%</x:v>
      </x:c>
      <x:c r="C163" s="22" t="str">
        <x:v>突破优先型</x:v>
      </x:c>
      <x:c r="D163" s="22" t="str">
        <x:v>CTQ最高 ×1.1</x:v>
      </x:c>
      <x:c r="E163" s="24" t="n">
        <x:v>9</x:v>
      </x:c>
      <x:c r="F163" s="22" t="n">
        <x:v>1</x:v>
      </x:c>
      <x:c r="G163" s="22" t="n">
        <x:v>1</x:v>
      </x:c>
      <x:c r="H163" s="22" t="n">
        <x:v>1</x:v>
      </x:c>
      <x:c r="I163" s="22" t="n">
        <x:v>1</x:v>
      </x:c>
      <x:c r="J163" s="22" t="n">
        <x:v>1</x:v>
      </x:c>
      <x:c r="K163" s="22" t="n">
        <x:v>1</x:v>
      </x:c>
      <x:c r="L163" s="22" t="str">
        <x:v>NA</x:v>
      </x:c>
      <x:c r="M163" s="22" t="str">
        <x:v>扰动后重新归一化</x:v>
      </x:c>
    </x:row>
    <x:row r="164" ht="23" customHeight="1">
      <x:c r="A164" s="21" t="str">
        <x:v>观察s6分层</x:v>
      </x:c>
      <x:c r="B164" s="22" t="str">
        <x:v>权重±10%</x:v>
      </x:c>
      <x:c r="C164" s="22" t="str">
        <x:v>突破优先型</x:v>
      </x:c>
      <x:c r="D164" s="22" t="str">
        <x:v>QAPro质量比例 ×0.9</x:v>
      </x:c>
      <x:c r="E164" s="24" t="n">
        <x:v>9</x:v>
      </x:c>
      <x:c r="F164" s="22" t="n">
        <x:v>1</x:v>
      </x:c>
      <x:c r="G164" s="22" t="n">
        <x:v>1</x:v>
      </x:c>
      <x:c r="H164" s="22" t="n">
        <x:v>1</x:v>
      </x:c>
      <x:c r="I164" s="22" t="n">
        <x:v>1</x:v>
      </x:c>
      <x:c r="J164" s="22" t="n">
        <x:v>1</x:v>
      </x:c>
      <x:c r="K164" s="22" t="n">
        <x:v>1</x:v>
      </x:c>
      <x:c r="L164" s="22" t="str">
        <x:v>NA</x:v>
      </x:c>
      <x:c r="M164" s="22" t="str">
        <x:v>扰动后重新归一化</x:v>
      </x:c>
    </x:row>
    <x:row r="165" ht="23" customHeight="1">
      <x:c r="A165" s="21" t="str">
        <x:v>观察s6分层</x:v>
      </x:c>
      <x:c r="B165" s="22" t="str">
        <x:v>权重±10%</x:v>
      </x:c>
      <x:c r="C165" s="22" t="str">
        <x:v>突破优先型</x:v>
      </x:c>
      <x:c r="D165" s="22" t="str">
        <x:v>QAPro质量比例 ×1.1</x:v>
      </x:c>
      <x:c r="E165" s="24" t="n">
        <x:v>9</x:v>
      </x:c>
      <x:c r="F165" s="22" t="n">
        <x:v>1</x:v>
      </x:c>
      <x:c r="G165" s="22" t="n">
        <x:v>1</x:v>
      </x:c>
      <x:c r="H165" s="22" t="n">
        <x:v>1</x:v>
      </x:c>
      <x:c r="I165" s="22" t="n">
        <x:v>1</x:v>
      </x:c>
      <x:c r="J165" s="22" t="n">
        <x:v>1</x:v>
      </x:c>
      <x:c r="K165" s="22" t="n">
        <x:v>1</x:v>
      </x:c>
      <x:c r="L165" s="22" t="str">
        <x:v>NA</x:v>
      </x:c>
      <x:c r="M165" s="22" t="str">
        <x:v>扰动后重新归一化</x:v>
      </x:c>
    </x:row>
    <x:row r="166" ht="23" customHeight="1">
      <x:c r="A166" s="21" t="str">
        <x:v>观察s6分层</x:v>
      </x:c>
      <x:c r="B166" s="22" t="str">
        <x:v>权重±10%</x:v>
      </x:c>
      <x:c r="C166" s="22" t="str">
        <x:v>质量导向型（教学诊断对照）</x:v>
      </x:c>
      <x:c r="D166" s="22" t="str">
        <x:v>CTQ合计 ×0.9</x:v>
      </x:c>
      <x:c r="E166" s="24" t="n">
        <x:v>9</x:v>
      </x:c>
      <x:c r="F166" s="22" t="n">
        <x:v>1</x:v>
      </x:c>
      <x:c r="G166" s="22" t="n">
        <x:v>1</x:v>
      </x:c>
      <x:c r="H166" s="22" t="n">
        <x:v>1</x:v>
      </x:c>
      <x:c r="I166" s="22" t="n">
        <x:v>1</x:v>
      </x:c>
      <x:c r="J166" s="22" t="n">
        <x:v>1</x:v>
      </x:c>
      <x:c r="K166" s="22" t="n">
        <x:v>1</x:v>
      </x:c>
      <x:c r="L166" s="22" t="str">
        <x:v>NA</x:v>
      </x:c>
      <x:c r="M166" s="22" t="str">
        <x:v>扰动后重新归一化</x:v>
      </x:c>
    </x:row>
    <x:row r="167" ht="23" customHeight="1">
      <x:c r="A167" s="21" t="str">
        <x:v>观察s6分层</x:v>
      </x:c>
      <x:c r="B167" s="22" t="str">
        <x:v>权重±10%</x:v>
      </x:c>
      <x:c r="C167" s="22" t="str">
        <x:v>质量导向型（教学诊断对照）</x:v>
      </x:c>
      <x:c r="D167" s="22" t="str">
        <x:v>CTQ合计 ×1.1</x:v>
      </x:c>
      <x:c r="E167" s="24" t="n">
        <x:v>9</x:v>
      </x:c>
      <x:c r="F167" s="22" t="n">
        <x:v>1</x:v>
      </x:c>
      <x:c r="G167" s="22" t="n">
        <x:v>1</x:v>
      </x:c>
      <x:c r="H167" s="22" t="n">
        <x:v>1</x:v>
      </x:c>
      <x:c r="I167" s="22" t="n">
        <x:v>1</x:v>
      </x:c>
      <x:c r="J167" s="22" t="n">
        <x:v>1</x:v>
      </x:c>
      <x:c r="K167" s="22" t="n">
        <x:v>1</x:v>
      </x:c>
      <x:c r="L167" s="22" t="str">
        <x:v>NA</x:v>
      </x:c>
      <x:c r="M167" s="22" t="str">
        <x:v>扰动后重新归一化</x:v>
      </x:c>
    </x:row>
    <x:row r="168" ht="23" customHeight="1">
      <x:c r="A168" s="21" t="str">
        <x:v>观察s6分层</x:v>
      </x:c>
      <x:c r="B168" s="22" t="str">
        <x:v>权重±10%</x:v>
      </x:c>
      <x:c r="C168" s="22" t="str">
        <x:v>质量导向型（教学诊断对照）</x:v>
      </x:c>
      <x:c r="D168" s="22" t="str">
        <x:v>CTQ均值 ×0.9</x:v>
      </x:c>
      <x:c r="E168" s="24" t="n">
        <x:v>9</x:v>
      </x:c>
      <x:c r="F168" s="22" t="n">
        <x:v>1</x:v>
      </x:c>
      <x:c r="G168" s="22" t="n">
        <x:v>1</x:v>
      </x:c>
      <x:c r="H168" s="22" t="n">
        <x:v>1</x:v>
      </x:c>
      <x:c r="I168" s="22" t="n">
        <x:v>1</x:v>
      </x:c>
      <x:c r="J168" s="22" t="n">
        <x:v>1</x:v>
      </x:c>
      <x:c r="K168" s="22" t="n">
        <x:v>1</x:v>
      </x:c>
      <x:c r="L168" s="22" t="str">
        <x:v>NA</x:v>
      </x:c>
      <x:c r="M168" s="22" t="str">
        <x:v>扰动后重新归一化</x:v>
      </x:c>
    </x:row>
    <x:row r="169" ht="23" customHeight="1">
      <x:c r="A169" s="21" t="str">
        <x:v>观察s6分层</x:v>
      </x:c>
      <x:c r="B169" s="22" t="str">
        <x:v>权重±10%</x:v>
      </x:c>
      <x:c r="C169" s="22" t="str">
        <x:v>质量导向型（教学诊断对照）</x:v>
      </x:c>
      <x:c r="D169" s="22" t="str">
        <x:v>CTQ均值 ×1.1</x:v>
      </x:c>
      <x:c r="E169" s="24" t="n">
        <x:v>9</x:v>
      </x:c>
      <x:c r="F169" s="22" t="n">
        <x:v>0.9833333333333333</x:v>
      </x:c>
      <x:c r="G169" s="22" t="n">
        <x:v>0.9444444444444445</x:v>
      </x:c>
      <x:c r="H169" s="22" t="n">
        <x:v>1</x:v>
      </x:c>
      <x:c r="I169" s="22" t="n">
        <x:v>1</x:v>
      </x:c>
      <x:c r="J169" s="22" t="n">
        <x:v>1</x:v>
      </x:c>
      <x:c r="K169" s="22" t="n">
        <x:v>1</x:v>
      </x:c>
      <x:c r="L169" s="22" t="str">
        <x:v>NA</x:v>
      </x:c>
      <x:c r="M169" s="22" t="str">
        <x:v>扰动后重新归一化</x:v>
      </x:c>
    </x:row>
    <x:row r="170" ht="23" customHeight="1">
      <x:c r="A170" s="21" t="str">
        <x:v>观察s6分层</x:v>
      </x:c>
      <x:c r="B170" s="22" t="str">
        <x:v>权重±10%</x:v>
      </x:c>
      <x:c r="C170" s="22" t="str">
        <x:v>质量导向型（教学诊断对照）</x:v>
      </x:c>
      <x:c r="D170" s="22" t="str">
        <x:v>CTQ最高 ×0.9</x:v>
      </x:c>
      <x:c r="E170" s="24" t="n">
        <x:v>9</x:v>
      </x:c>
      <x:c r="F170" s="22" t="n">
        <x:v>1</x:v>
      </x:c>
      <x:c r="G170" s="22" t="n">
        <x:v>1</x:v>
      </x:c>
      <x:c r="H170" s="22" t="n">
        <x:v>1</x:v>
      </x:c>
      <x:c r="I170" s="22" t="n">
        <x:v>1</x:v>
      </x:c>
      <x:c r="J170" s="22" t="n">
        <x:v>1</x:v>
      </x:c>
      <x:c r="K170" s="22" t="n">
        <x:v>1</x:v>
      </x:c>
      <x:c r="L170" s="22" t="str">
        <x:v>NA</x:v>
      </x:c>
      <x:c r="M170" s="22" t="str">
        <x:v>扰动后重新归一化</x:v>
      </x:c>
    </x:row>
    <x:row r="171" ht="23" customHeight="1">
      <x:c r="A171" s="21" t="str">
        <x:v>观察s6分层</x:v>
      </x:c>
      <x:c r="B171" s="22" t="str">
        <x:v>权重±10%</x:v>
      </x:c>
      <x:c r="C171" s="22" t="str">
        <x:v>质量导向型（教学诊断对照）</x:v>
      </x:c>
      <x:c r="D171" s="22" t="str">
        <x:v>CTQ最高 ×1.1</x:v>
      </x:c>
      <x:c r="E171" s="24" t="n">
        <x:v>9</x:v>
      </x:c>
      <x:c r="F171" s="22" t="n">
        <x:v>1</x:v>
      </x:c>
      <x:c r="G171" s="22" t="n">
        <x:v>1</x:v>
      </x:c>
      <x:c r="H171" s="22" t="n">
        <x:v>1</x:v>
      </x:c>
      <x:c r="I171" s="22" t="n">
        <x:v>1</x:v>
      </x:c>
      <x:c r="J171" s="22" t="n">
        <x:v>1</x:v>
      </x:c>
      <x:c r="K171" s="22" t="n">
        <x:v>1</x:v>
      </x:c>
      <x:c r="L171" s="22" t="str">
        <x:v>NA</x:v>
      </x:c>
      <x:c r="M171" s="22" t="str">
        <x:v>扰动后重新归一化</x:v>
      </x:c>
    </x:row>
    <x:row r="172" ht="23" customHeight="1">
      <x:c r="A172" s="21" t="str">
        <x:v>观察s6分层</x:v>
      </x:c>
      <x:c r="B172" s="22" t="str">
        <x:v>权重±10%</x:v>
      </x:c>
      <x:c r="C172" s="22" t="str">
        <x:v>质量导向型（教学诊断对照）</x:v>
      </x:c>
      <x:c r="D172" s="22" t="str">
        <x:v>QAPro质量比例 ×0.9</x:v>
      </x:c>
      <x:c r="E172" s="24" t="n">
        <x:v>9</x:v>
      </x:c>
      <x:c r="F172" s="22" t="n">
        <x:v>0.9833333333333333</x:v>
      </x:c>
      <x:c r="G172" s="22" t="n">
        <x:v>0.9444444444444445</x:v>
      </x:c>
      <x:c r="H172" s="22" t="n">
        <x:v>1</x:v>
      </x:c>
      <x:c r="I172" s="22" t="n">
        <x:v>1</x:v>
      </x:c>
      <x:c r="J172" s="22" t="n">
        <x:v>1</x:v>
      </x:c>
      <x:c r="K172" s="22" t="n">
        <x:v>1</x:v>
      </x:c>
      <x:c r="L172" s="22" t="str">
        <x:v>NA</x:v>
      </x:c>
      <x:c r="M172" s="22" t="str">
        <x:v>扰动后重新归一化</x:v>
      </x:c>
    </x:row>
    <x:row r="173" ht="23" customHeight="1">
      <x:c r="A173" s="21" t="str">
        <x:v>观察s6分层</x:v>
      </x:c>
      <x:c r="B173" s="22" t="str">
        <x:v>权重±10%</x:v>
      </x:c>
      <x:c r="C173" s="22" t="str">
        <x:v>质量导向型（教学诊断对照）</x:v>
      </x:c>
      <x:c r="D173" s="22" t="str">
        <x:v>QAPro质量比例 ×1.1</x:v>
      </x:c>
      <x:c r="E173" s="24" t="n">
        <x:v>9</x:v>
      </x:c>
      <x:c r="F173" s="22" t="n">
        <x:v>1</x:v>
      </x:c>
      <x:c r="G173" s="22" t="n">
        <x:v>1</x:v>
      </x:c>
      <x:c r="H173" s="22" t="n">
        <x:v>1</x:v>
      </x:c>
      <x:c r="I173" s="22" t="n">
        <x:v>1</x:v>
      </x:c>
      <x:c r="J173" s="22" t="n">
        <x:v>1</x:v>
      </x:c>
      <x:c r="K173" s="22" t="n">
        <x:v>1</x:v>
      </x:c>
      <x:c r="L173" s="22" t="str">
        <x:v>NA</x:v>
      </x:c>
      <x:c r="M173" s="22" t="str">
        <x:v>扰动后重新归一化</x:v>
      </x:c>
    </x:row>
    <x:row r="174" ht="23" customHeight="1">
      <x:c r="A174" s="21" t="str">
        <x:v>观察s6分层</x:v>
      </x:c>
      <x:c r="B174" s="22" t="str">
        <x:v>权重±10%</x:v>
      </x:c>
      <x:c r="C174" s="22" t="str">
        <x:v>分组熵权型</x:v>
      </x:c>
      <x:c r="D174" s="22" t="str">
        <x:v>CTQ合计 ×0.9</x:v>
      </x:c>
      <x:c r="E174" s="24" t="n">
        <x:v>9</x:v>
      </x:c>
      <x:c r="F174" s="22" t="n">
        <x:v>1</x:v>
      </x:c>
      <x:c r="G174" s="22" t="n">
        <x:v>1</x:v>
      </x:c>
      <x:c r="H174" s="22" t="n">
        <x:v>1</x:v>
      </x:c>
      <x:c r="I174" s="22" t="n">
        <x:v>1</x:v>
      </x:c>
      <x:c r="J174" s="22" t="n">
        <x:v>1</x:v>
      </x:c>
      <x:c r="K174" s="22" t="n">
        <x:v>1</x:v>
      </x:c>
      <x:c r="L174" s="22" t="str">
        <x:v>NA</x:v>
      </x:c>
      <x:c r="M174" s="22" t="str">
        <x:v>扰动后重新归一化</x:v>
      </x:c>
    </x:row>
    <x:row r="175" ht="23" customHeight="1">
      <x:c r="A175" s="21" t="str">
        <x:v>观察s6分层</x:v>
      </x:c>
      <x:c r="B175" s="22" t="str">
        <x:v>权重±10%</x:v>
      </x:c>
      <x:c r="C175" s="22" t="str">
        <x:v>分组熵权型</x:v>
      </x:c>
      <x:c r="D175" s="22" t="str">
        <x:v>CTQ合计 ×1.1</x:v>
      </x:c>
      <x:c r="E175" s="24" t="n">
        <x:v>9</x:v>
      </x:c>
      <x:c r="F175" s="22" t="n">
        <x:v>1</x:v>
      </x:c>
      <x:c r="G175" s="22" t="n">
        <x:v>1</x:v>
      </x:c>
      <x:c r="H175" s="22" t="n">
        <x:v>1</x:v>
      </x:c>
      <x:c r="I175" s="22" t="n">
        <x:v>1</x:v>
      </x:c>
      <x:c r="J175" s="22" t="n">
        <x:v>1</x:v>
      </x:c>
      <x:c r="K175" s="22" t="n">
        <x:v>1</x:v>
      </x:c>
      <x:c r="L175" s="22" t="str">
        <x:v>NA</x:v>
      </x:c>
      <x:c r="M175" s="22" t="str">
        <x:v>扰动后重新归一化</x:v>
      </x:c>
    </x:row>
    <x:row r="176" ht="23" customHeight="1">
      <x:c r="A176" s="21" t="str">
        <x:v>观察s6分层</x:v>
      </x:c>
      <x:c r="B176" s="22" t="str">
        <x:v>权重±10%</x:v>
      </x:c>
      <x:c r="C176" s="22" t="str">
        <x:v>分组熵权型</x:v>
      </x:c>
      <x:c r="D176" s="22" t="str">
        <x:v>CTQ均值 ×0.9</x:v>
      </x:c>
      <x:c r="E176" s="24" t="n">
        <x:v>9</x:v>
      </x:c>
      <x:c r="F176" s="22" t="n">
        <x:v>1</x:v>
      </x:c>
      <x:c r="G176" s="22" t="n">
        <x:v>1</x:v>
      </x:c>
      <x:c r="H176" s="22" t="n">
        <x:v>1</x:v>
      </x:c>
      <x:c r="I176" s="22" t="n">
        <x:v>1</x:v>
      </x:c>
      <x:c r="J176" s="22" t="n">
        <x:v>1</x:v>
      </x:c>
      <x:c r="K176" s="22" t="n">
        <x:v>1</x:v>
      </x:c>
      <x:c r="L176" s="22" t="str">
        <x:v>NA</x:v>
      </x:c>
      <x:c r="M176" s="22" t="str">
        <x:v>扰动后重新归一化</x:v>
      </x:c>
    </x:row>
    <x:row r="177" ht="23" customHeight="1">
      <x:c r="A177" s="21" t="str">
        <x:v>观察s6分层</x:v>
      </x:c>
      <x:c r="B177" s="22" t="str">
        <x:v>权重±10%</x:v>
      </x:c>
      <x:c r="C177" s="22" t="str">
        <x:v>分组熵权型</x:v>
      </x:c>
      <x:c r="D177" s="22" t="str">
        <x:v>CTQ均值 ×1.1</x:v>
      </x:c>
      <x:c r="E177" s="24" t="n">
        <x:v>9</x:v>
      </x:c>
      <x:c r="F177" s="22" t="n">
        <x:v>1</x:v>
      </x:c>
      <x:c r="G177" s="22" t="n">
        <x:v>1</x:v>
      </x:c>
      <x:c r="H177" s="22" t="n">
        <x:v>1</x:v>
      </x:c>
      <x:c r="I177" s="22" t="n">
        <x:v>1</x:v>
      </x:c>
      <x:c r="J177" s="22" t="n">
        <x:v>1</x:v>
      </x:c>
      <x:c r="K177" s="22" t="n">
        <x:v>1</x:v>
      </x:c>
      <x:c r="L177" s="22" t="str">
        <x:v>NA</x:v>
      </x:c>
      <x:c r="M177" s="22" t="str">
        <x:v>扰动后重新归一化</x:v>
      </x:c>
    </x:row>
    <x:row r="178" ht="23" customHeight="1">
      <x:c r="A178" s="21" t="str">
        <x:v>观察s6分层</x:v>
      </x:c>
      <x:c r="B178" s="22" t="str">
        <x:v>权重±10%</x:v>
      </x:c>
      <x:c r="C178" s="22" t="str">
        <x:v>分组熵权型</x:v>
      </x:c>
      <x:c r="D178" s="22" t="str">
        <x:v>CTQ最高 ×0.9</x:v>
      </x:c>
      <x:c r="E178" s="24" t="n">
        <x:v>9</x:v>
      </x:c>
      <x:c r="F178" s="22" t="n">
        <x:v>1</x:v>
      </x:c>
      <x:c r="G178" s="22" t="n">
        <x:v>1</x:v>
      </x:c>
      <x:c r="H178" s="22" t="n">
        <x:v>1</x:v>
      </x:c>
      <x:c r="I178" s="22" t="n">
        <x:v>1</x:v>
      </x:c>
      <x:c r="J178" s="22" t="n">
        <x:v>1</x:v>
      </x:c>
      <x:c r="K178" s="22" t="n">
        <x:v>1</x:v>
      </x:c>
      <x:c r="L178" s="22" t="str">
        <x:v>NA</x:v>
      </x:c>
      <x:c r="M178" s="22" t="str">
        <x:v>扰动后重新归一化</x:v>
      </x:c>
    </x:row>
    <x:row r="179" ht="23" customHeight="1">
      <x:c r="A179" s="21" t="str">
        <x:v>观察s6分层</x:v>
      </x:c>
      <x:c r="B179" s="22" t="str">
        <x:v>权重±10%</x:v>
      </x:c>
      <x:c r="C179" s="22" t="str">
        <x:v>分组熵权型</x:v>
      </x:c>
      <x:c r="D179" s="22" t="str">
        <x:v>CTQ最高 ×1.1</x:v>
      </x:c>
      <x:c r="E179" s="24" t="n">
        <x:v>9</x:v>
      </x:c>
      <x:c r="F179" s="22" t="n">
        <x:v>1</x:v>
      </x:c>
      <x:c r="G179" s="22" t="n">
        <x:v>1</x:v>
      </x:c>
      <x:c r="H179" s="22" t="n">
        <x:v>1</x:v>
      </x:c>
      <x:c r="I179" s="22" t="n">
        <x:v>1</x:v>
      </x:c>
      <x:c r="J179" s="22" t="n">
        <x:v>1</x:v>
      </x:c>
      <x:c r="K179" s="22" t="n">
        <x:v>1</x:v>
      </x:c>
      <x:c r="L179" s="22" t="str">
        <x:v>NA</x:v>
      </x:c>
      <x:c r="M179" s="22" t="str">
        <x:v>扰动后重新归一化</x:v>
      </x:c>
    </x:row>
    <x:row r="180" ht="23" customHeight="1">
      <x:c r="A180" s="21" t="str">
        <x:v>观察s6分层</x:v>
      </x:c>
      <x:c r="B180" s="22" t="str">
        <x:v>权重±10%</x:v>
      </x:c>
      <x:c r="C180" s="22" t="str">
        <x:v>分组熵权型</x:v>
      </x:c>
      <x:c r="D180" s="22" t="str">
        <x:v>QAPro质量比例 ×0.9</x:v>
      </x:c>
      <x:c r="E180" s="24" t="n">
        <x:v>9</x:v>
      </x:c>
      <x:c r="F180" s="22" t="n">
        <x:v>1</x:v>
      </x:c>
      <x:c r="G180" s="22" t="n">
        <x:v>1</x:v>
      </x:c>
      <x:c r="H180" s="22" t="n">
        <x:v>1</x:v>
      </x:c>
      <x:c r="I180" s="22" t="n">
        <x:v>1</x:v>
      </x:c>
      <x:c r="J180" s="22" t="n">
        <x:v>1</x:v>
      </x:c>
      <x:c r="K180" s="22" t="n">
        <x:v>1</x:v>
      </x:c>
      <x:c r="L180" s="22" t="str">
        <x:v>NA</x:v>
      </x:c>
      <x:c r="M180" s="22" t="str">
        <x:v>扰动后重新归一化</x:v>
      </x:c>
    </x:row>
    <x:row r="181" ht="23" customHeight="1">
      <x:c r="A181" s="21" t="str">
        <x:v>观察s6分层</x:v>
      </x:c>
      <x:c r="B181" s="22" t="str">
        <x:v>权重±10%</x:v>
      </x:c>
      <x:c r="C181" s="22" t="str">
        <x:v>分组熵权型</x:v>
      </x:c>
      <x:c r="D181" s="22" t="str">
        <x:v>QAPro质量比例 ×1.1</x:v>
      </x:c>
      <x:c r="E181" s="24" t="n">
        <x:v>9</x:v>
      </x:c>
      <x:c r="F181" s="22" t="n">
        <x:v>1</x:v>
      </x:c>
      <x:c r="G181" s="22" t="n">
        <x:v>1</x:v>
      </x:c>
      <x:c r="H181" s="22" t="n">
        <x:v>1</x:v>
      </x:c>
      <x:c r="I181" s="22" t="n">
        <x:v>1</x:v>
      </x:c>
      <x:c r="J181" s="22" t="n">
        <x:v>1</x:v>
      </x:c>
      <x:c r="K181" s="22" t="n">
        <x:v>1</x:v>
      </x:c>
      <x:c r="L181" s="22" t="str">
        <x:v>NA</x:v>
      </x:c>
      <x:c r="M181" s="22" t="str">
        <x:v>扰动后重新归一化</x:v>
      </x:c>
    </x:row>
    <x:row r="182" ht="23" customHeight="1">
      <x:c r="A182" s="21" t="str">
        <x:v>观察s6分层</x:v>
      </x:c>
      <x:c r="B182" s="22" t="str">
        <x:v>删除指标</x:v>
      </x:c>
      <x:c r="C182" s="22" t="str">
        <x:v>均衡型</x:v>
      </x:c>
      <x:c r="D182" s="22" t="str">
        <x:v>CTQ合计</x:v>
      </x:c>
      <x:c r="E182" s="24" t="n">
        <x:v>9</x:v>
      </x:c>
      <x:c r="F182" s="22" t="n">
        <x:v>1</x:v>
      </x:c>
      <x:c r="G182" s="22" t="n">
        <x:v>1</x:v>
      </x:c>
      <x:c r="H182" s="22" t="n">
        <x:v>1</x:v>
      </x:c>
      <x:c r="I182" s="22" t="n">
        <x:v>1</x:v>
      </x:c>
      <x:c r="J182" s="22" t="n">
        <x:v>1</x:v>
      </x:c>
      <x:c r="K182" s="22" t="n">
        <x:v>1</x:v>
      </x:c>
      <x:c r="L182" s="22" t="str">
        <x:v>NA</x:v>
      </x:c>
      <x:c r="M182" s="22" t="str">
        <x:v>删除后共同样本重算</x:v>
      </x:c>
    </x:row>
    <x:row r="183" ht="23" customHeight="1">
      <x:c r="A183" s="21" t="str">
        <x:v>观察s6分层</x:v>
      </x:c>
      <x:c r="B183" s="22" t="str">
        <x:v>删除指标</x:v>
      </x:c>
      <x:c r="C183" s="22" t="str">
        <x:v>均衡型</x:v>
      </x:c>
      <x:c r="D183" s="22" t="str">
        <x:v>CTQ均值</x:v>
      </x:c>
      <x:c r="E183" s="24" t="n">
        <x:v>9</x:v>
      </x:c>
      <x:c r="F183" s="22" t="n">
        <x:v>0.8666666666666667</x:v>
      </x:c>
      <x:c r="G183" s="22" t="n">
        <x:v>0.7222222222222222</x:v>
      </x:c>
      <x:c r="H183" s="22" t="n">
        <x:v>1</x:v>
      </x:c>
      <x:c r="I183" s="22" t="n">
        <x:v>0.3333333333333333</x:v>
      </x:c>
      <x:c r="J183" s="22" t="n">
        <x:v>1</x:v>
      </x:c>
      <x:c r="K183" s="22" t="n">
        <x:v>0.3333333333333333</x:v>
      </x:c>
      <x:c r="L183" s="22" t="str">
        <x:v>NA</x:v>
      </x:c>
      <x:c r="M183" s="22" t="str">
        <x:v>删除后共同样本重算</x:v>
      </x:c>
    </x:row>
    <x:row r="184" ht="23" customHeight="1">
      <x:c r="A184" s="21" t="str">
        <x:v>观察s6分层</x:v>
      </x:c>
      <x:c r="B184" s="22" t="str">
        <x:v>删除指标</x:v>
      </x:c>
      <x:c r="C184" s="22" t="str">
        <x:v>均衡型</x:v>
      </x:c>
      <x:c r="D184" s="22" t="str">
        <x:v>CTQ最高</x:v>
      </x:c>
      <x:c r="E184" s="24" t="n">
        <x:v>9</x:v>
      </x:c>
      <x:c r="F184" s="22" t="n">
        <x:v>0.9833333333333333</x:v>
      </x:c>
      <x:c r="G184" s="22" t="n">
        <x:v>0.9444444444444445</x:v>
      </x:c>
      <x:c r="H184" s="22" t="n">
        <x:v>1</x:v>
      </x:c>
      <x:c r="I184" s="22" t="n">
        <x:v>1</x:v>
      </x:c>
      <x:c r="J184" s="22" t="n">
        <x:v>1</x:v>
      </x:c>
      <x:c r="K184" s="22" t="n">
        <x:v>1</x:v>
      </x:c>
      <x:c r="L184" s="22" t="str">
        <x:v>NA</x:v>
      </x:c>
      <x:c r="M184" s="22" t="str">
        <x:v>删除后共同样本重算</x:v>
      </x:c>
    </x:row>
    <x:row r="185" ht="23" customHeight="1">
      <x:c r="A185" s="21" t="str">
        <x:v>观察s6分层</x:v>
      </x:c>
      <x:c r="B185" s="22" t="str">
        <x:v>删除指标</x:v>
      </x:c>
      <x:c r="C185" s="22" t="str">
        <x:v>均衡型</x:v>
      </x:c>
      <x:c r="D185" s="22" t="str">
        <x:v>QAPro质量比例</x:v>
      </x:c>
      <x:c r="E185" s="24" t="n">
        <x:v>9</x:v>
      </x:c>
      <x:c r="F185" s="22" t="n">
        <x:v>0.8806314188730906</x:v>
      </x:c>
      <x:c r="G185" s="22" t="n">
        <x:v>0.7483554251115622</x:v>
      </x:c>
      <x:c r="H185" s="22" t="n">
        <x:v>0</x:v>
      </x:c>
      <x:c r="I185" s="22" t="n">
        <x:v>0.6666666666666666</x:v>
      </x:c>
      <x:c r="J185" s="22" t="n">
        <x:v>0</x:v>
      </x:c>
      <x:c r="K185" s="22" t="n">
        <x:v>0.6666666666666666</x:v>
      </x:c>
      <x:c r="L185" s="22" t="str">
        <x:v>NA</x:v>
      </x:c>
      <x:c r="M185" s="22" t="str">
        <x:v>删除后共同样本重算</x:v>
      </x:c>
    </x:row>
    <x:row r="186" ht="23" customHeight="1">
      <x:c r="A186" s="21" t="str">
        <x:v>观察s6分层</x:v>
      </x:c>
      <x:c r="B186" s="22" t="str">
        <x:v>删除指标</x:v>
      </x:c>
      <x:c r="C186" s="22" t="str">
        <x:v>突破优先型</x:v>
      </x:c>
      <x:c r="D186" s="22" t="str">
        <x:v>CTQ合计</x:v>
      </x:c>
      <x:c r="E186" s="24" t="n">
        <x:v>9</x:v>
      </x:c>
      <x:c r="F186" s="22" t="n">
        <x:v>1</x:v>
      </x:c>
      <x:c r="G186" s="22" t="n">
        <x:v>1</x:v>
      </x:c>
      <x:c r="H186" s="22" t="n">
        <x:v>1</x:v>
      </x:c>
      <x:c r="I186" s="22" t="n">
        <x:v>1</x:v>
      </x:c>
      <x:c r="J186" s="22" t="n">
        <x:v>1</x:v>
      </x:c>
      <x:c r="K186" s="22" t="n">
        <x:v>1</x:v>
      </x:c>
      <x:c r="L186" s="22" t="str">
        <x:v>NA</x:v>
      </x:c>
      <x:c r="M186" s="22" t="str">
        <x:v>删除后共同样本重算</x:v>
      </x:c>
    </x:row>
    <x:row r="187" ht="23" customHeight="1">
      <x:c r="A187" s="21" t="str">
        <x:v>观察s6分层</x:v>
      </x:c>
      <x:c r="B187" s="22" t="str">
        <x:v>删除指标</x:v>
      </x:c>
      <x:c r="C187" s="22" t="str">
        <x:v>突破优先型</x:v>
      </x:c>
      <x:c r="D187" s="22" t="str">
        <x:v>CTQ均值</x:v>
      </x:c>
      <x:c r="E187" s="24" t="n">
        <x:v>9</x:v>
      </x:c>
      <x:c r="F187" s="22" t="n">
        <x:v>0.9500000000000001</x:v>
      </x:c>
      <x:c r="G187" s="22" t="n">
        <x:v>0.8333333333333334</x:v>
      </x:c>
      <x:c r="H187" s="22" t="n">
        <x:v>0</x:v>
      </x:c>
      <x:c r="I187" s="22" t="n">
        <x:v>1</x:v>
      </x:c>
      <x:c r="J187" s="22" t="n">
        <x:v>1</x:v>
      </x:c>
      <x:c r="K187" s="22" t="n">
        <x:v>1</x:v>
      </x:c>
      <x:c r="L187" s="22" t="str">
        <x:v>NA</x:v>
      </x:c>
      <x:c r="M187" s="22" t="str">
        <x:v>删除后共同样本重算</x:v>
      </x:c>
    </x:row>
    <x:row r="188" ht="23" customHeight="1">
      <x:c r="A188" s="21" t="str">
        <x:v>观察s6分层</x:v>
      </x:c>
      <x:c r="B188" s="22" t="str">
        <x:v>删除指标</x:v>
      </x:c>
      <x:c r="C188" s="22" t="str">
        <x:v>突破优先型</x:v>
      </x:c>
      <x:c r="D188" s="22" t="str">
        <x:v>CTQ最高</x:v>
      </x:c>
      <x:c r="E188" s="24" t="n">
        <x:v>9</x:v>
      </x:c>
      <x:c r="F188" s="22" t="n">
        <x:v>0.9</x:v>
      </x:c>
      <x:c r="G188" s="22" t="n">
        <x:v>0.7777777777777778</x:v>
      </x:c>
      <x:c r="H188" s="22" t="n">
        <x:v>0</x:v>
      </x:c>
      <x:c r="I188" s="22" t="n">
        <x:v>1</x:v>
      </x:c>
      <x:c r="J188" s="22" t="n">
        <x:v>1</x:v>
      </x:c>
      <x:c r="K188" s="22" t="n">
        <x:v>1</x:v>
      </x:c>
      <x:c r="L188" s="22" t="str">
        <x:v>NA</x:v>
      </x:c>
      <x:c r="M188" s="22" t="str">
        <x:v>删除后共同样本重算</x:v>
      </x:c>
    </x:row>
    <x:row r="189" ht="23" customHeight="1">
      <x:c r="A189" s="21" t="str">
        <x:v>观察s6分层</x:v>
      </x:c>
      <x:c r="B189" s="22" t="str">
        <x:v>删除指标</x:v>
      </x:c>
      <x:c r="C189" s="22" t="str">
        <x:v>突破优先型</x:v>
      </x:c>
      <x:c r="D189" s="22" t="str">
        <x:v>QAPro质量比例</x:v>
      </x:c>
      <x:c r="E189" s="24" t="n">
        <x:v>9</x:v>
      </x:c>
      <x:c r="F189" s="22" t="n">
        <x:v>0.9746794344808963</x:v>
      </x:c>
      <x:c r="G189" s="22" t="n">
        <x:v>0.9279607271383371</x:v>
      </x:c>
      <x:c r="H189" s="22" t="n">
        <x:v>1</x:v>
      </x:c>
      <x:c r="I189" s="22" t="n">
        <x:v>0.6666666666666666</x:v>
      </x:c>
      <x:c r="J189" s="22" t="n">
        <x:v>0</x:v>
      </x:c>
      <x:c r="K189" s="22" t="n">
        <x:v>0.6666666666666666</x:v>
      </x:c>
      <x:c r="L189" s="22" t="str">
        <x:v>NA</x:v>
      </x:c>
      <x:c r="M189" s="22" t="str">
        <x:v>删除后共同样本重算</x:v>
      </x:c>
    </x:row>
    <x:row r="190" ht="23" customHeight="1">
      <x:c r="A190" s="21" t="str">
        <x:v>观察s6分层</x:v>
      </x:c>
      <x:c r="B190" s="22" t="str">
        <x:v>删除指标</x:v>
      </x:c>
      <x:c r="C190" s="22" t="str">
        <x:v>质量导向型（教学诊断对照）</x:v>
      </x:c>
      <x:c r="D190" s="22" t="str">
        <x:v>CTQ合计</x:v>
      </x:c>
      <x:c r="E190" s="24" t="n">
        <x:v>9</x:v>
      </x:c>
      <x:c r="F190" s="22" t="n">
        <x:v>1</x:v>
      </x:c>
      <x:c r="G190" s="22" t="n">
        <x:v>1</x:v>
      </x:c>
      <x:c r="H190" s="22" t="n">
        <x:v>1</x:v>
      </x:c>
      <x:c r="I190" s="22" t="n">
        <x:v>1</x:v>
      </x:c>
      <x:c r="J190" s="22" t="n">
        <x:v>1</x:v>
      </x:c>
      <x:c r="K190" s="22" t="n">
        <x:v>1</x:v>
      </x:c>
      <x:c r="L190" s="22" t="str">
        <x:v>NA</x:v>
      </x:c>
      <x:c r="M190" s="22" t="str">
        <x:v>删除后共同样本重算</x:v>
      </x:c>
    </x:row>
    <x:row r="191" ht="23" customHeight="1">
      <x:c r="A191" s="21" t="str">
        <x:v>观察s6分层</x:v>
      </x:c>
      <x:c r="B191" s="22" t="str">
        <x:v>删除指标</x:v>
      </x:c>
      <x:c r="C191" s="22" t="str">
        <x:v>质量导向型（教学诊断对照）</x:v>
      </x:c>
      <x:c r="D191" s="22" t="str">
        <x:v>CTQ均值</x:v>
      </x:c>
      <x:c r="E191" s="24" t="n">
        <x:v>9</x:v>
      </x:c>
      <x:c r="F191" s="22" t="n">
        <x:v>0.8166666666666667</x:v>
      </x:c>
      <x:c r="G191" s="22" t="n">
        <x:v>0.6666666666666666</x:v>
      </x:c>
      <x:c r="H191" s="22" t="n">
        <x:v>1</x:v>
      </x:c>
      <x:c r="I191" s="22" t="n">
        <x:v>0.3333333333333333</x:v>
      </x:c>
      <x:c r="J191" s="22" t="n">
        <x:v>1</x:v>
      </x:c>
      <x:c r="K191" s="22" t="n">
        <x:v>0.3333333333333333</x:v>
      </x:c>
      <x:c r="L191" s="22" t="str">
        <x:v>NA</x:v>
      </x:c>
      <x:c r="M191" s="22" t="str">
        <x:v>删除后共同样本重算</x:v>
      </x:c>
    </x:row>
    <x:row r="192" ht="23" customHeight="1">
      <x:c r="A192" s="21" t="str">
        <x:v>观察s6分层</x:v>
      </x:c>
      <x:c r="B192" s="22" t="str">
        <x:v>删除指标</x:v>
      </x:c>
      <x:c r="C192" s="22" t="str">
        <x:v>质量导向型（教学诊断对照）</x:v>
      </x:c>
      <x:c r="D192" s="22" t="str">
        <x:v>CTQ最高</x:v>
      </x:c>
      <x:c r="E192" s="24" t="n">
        <x:v>9</x:v>
      </x:c>
      <x:c r="F192" s="22" t="n">
        <x:v>1</x:v>
      </x:c>
      <x:c r="G192" s="22" t="n">
        <x:v>1</x:v>
      </x:c>
      <x:c r="H192" s="22" t="n">
        <x:v>1</x:v>
      </x:c>
      <x:c r="I192" s="22" t="n">
        <x:v>1</x:v>
      </x:c>
      <x:c r="J192" s="22" t="n">
        <x:v>1</x:v>
      </x:c>
      <x:c r="K192" s="22" t="n">
        <x:v>1</x:v>
      </x:c>
      <x:c r="L192" s="22" t="str">
        <x:v>NA</x:v>
      </x:c>
      <x:c r="M192" s="22" t="str">
        <x:v>删除后共同样本重算</x:v>
      </x:c>
    </x:row>
    <x:row r="193" ht="23" customHeight="1">
      <x:c r="A193" s="21" t="str">
        <x:v>观察s6分层</x:v>
      </x:c>
      <x:c r="B193" s="22" t="str">
        <x:v>删除指标</x:v>
      </x:c>
      <x:c r="C193" s="22" t="str">
        <x:v>质量导向型（教学诊断对照）</x:v>
      </x:c>
      <x:c r="D193" s="22" t="str">
        <x:v>QAPro质量比例</x:v>
      </x:c>
      <x:c r="E193" s="24" t="n">
        <x:v>9</x:v>
      </x:c>
      <x:c r="F193" s="22" t="n">
        <x:v>0.8122328620674136</x:v>
      </x:c>
      <x:c r="G193" s="22" t="n">
        <x:v>0.6884869911026372</x:v>
      </x:c>
      <x:c r="H193" s="22" t="n">
        <x:v>0</x:v>
      </x:c>
      <x:c r="I193" s="22" t="n">
        <x:v>0.6666666666666666</x:v>
      </x:c>
      <x:c r="J193" s="22" t="n">
        <x:v>0</x:v>
      </x:c>
      <x:c r="K193" s="22" t="n">
        <x:v>0.6666666666666666</x:v>
      </x:c>
      <x:c r="L193" s="22" t="str">
        <x:v>NA</x:v>
      </x:c>
      <x:c r="M193" s="22" t="str">
        <x:v>删除后共同样本重算</x:v>
      </x:c>
    </x:row>
    <x:row r="194" ht="23" customHeight="1">
      <x:c r="A194" s="21" t="str">
        <x:v>观察s6分层</x:v>
      </x:c>
      <x:c r="B194" s="22" t="str">
        <x:v>删除指标</x:v>
      </x:c>
      <x:c r="C194" s="22" t="str">
        <x:v>分组熵权型</x:v>
      </x:c>
      <x:c r="D194" s="22" t="str">
        <x:v>CTQ合计</x:v>
      </x:c>
      <x:c r="E194" s="24" t="n">
        <x:v>9</x:v>
      </x:c>
      <x:c r="F194" s="22" t="n">
        <x:v>1</x:v>
      </x:c>
      <x:c r="G194" s="22" t="n">
        <x:v>1</x:v>
      </x:c>
      <x:c r="H194" s="22" t="n">
        <x:v>1</x:v>
      </x:c>
      <x:c r="I194" s="22" t="n">
        <x:v>1</x:v>
      </x:c>
      <x:c r="J194" s="22" t="n">
        <x:v>1</x:v>
      </x:c>
      <x:c r="K194" s="22" t="n">
        <x:v>1</x:v>
      </x:c>
      <x:c r="L194" s="22" t="str">
        <x:v>NA</x:v>
      </x:c>
      <x:c r="M194" s="22" t="str">
        <x:v>删除后共同样本重算</x:v>
      </x:c>
    </x:row>
    <x:row r="195" ht="23" customHeight="1">
      <x:c r="A195" s="21" t="str">
        <x:v>观察s6分层</x:v>
      </x:c>
      <x:c r="B195" s="22" t="str">
        <x:v>删除指标</x:v>
      </x:c>
      <x:c r="C195" s="22" t="str">
        <x:v>分组熵权型</x:v>
      </x:c>
      <x:c r="D195" s="22" t="str">
        <x:v>CTQ均值</x:v>
      </x:c>
      <x:c r="E195" s="24" t="n">
        <x:v>9</x:v>
      </x:c>
      <x:c r="F195" s="22" t="n">
        <x:v>0.9833333333333333</x:v>
      </x:c>
      <x:c r="G195" s="22" t="n">
        <x:v>0.9444444444444445</x:v>
      </x:c>
      <x:c r="H195" s="22" t="n">
        <x:v>1</x:v>
      </x:c>
      <x:c r="I195" s="22" t="n">
        <x:v>1</x:v>
      </x:c>
      <x:c r="J195" s="22" t="n">
        <x:v>1</x:v>
      </x:c>
      <x:c r="K195" s="22" t="n">
        <x:v>1</x:v>
      </x:c>
      <x:c r="L195" s="22" t="str">
        <x:v>NA</x:v>
      </x:c>
      <x:c r="M195" s="22" t="str">
        <x:v>删除后共同样本重算</x:v>
      </x:c>
    </x:row>
    <x:row r="196" ht="23" customHeight="1">
      <x:c r="A196" s="21" t="str">
        <x:v>观察s6分层</x:v>
      </x:c>
      <x:c r="B196" s="22" t="str">
        <x:v>删除指标</x:v>
      </x:c>
      <x:c r="C196" s="22" t="str">
        <x:v>分组熵权型</x:v>
      </x:c>
      <x:c r="D196" s="22" t="str">
        <x:v>CTQ最高</x:v>
      </x:c>
      <x:c r="E196" s="24" t="n">
        <x:v>9</x:v>
      </x:c>
      <x:c r="F196" s="22" t="n">
        <x:v>0.9833333333333333</x:v>
      </x:c>
      <x:c r="G196" s="22" t="n">
        <x:v>0.9444444444444445</x:v>
      </x:c>
      <x:c r="H196" s="22" t="n">
        <x:v>1</x:v>
      </x:c>
      <x:c r="I196" s="22" t="n">
        <x:v>1</x:v>
      </x:c>
      <x:c r="J196" s="22" t="n">
        <x:v>1</x:v>
      </x:c>
      <x:c r="K196" s="22" t="n">
        <x:v>1</x:v>
      </x:c>
      <x:c r="L196" s="22" t="str">
        <x:v>NA</x:v>
      </x:c>
      <x:c r="M196" s="22" t="str">
        <x:v>删除后共同样本重算</x:v>
      </x:c>
    </x:row>
    <x:row r="197" ht="23" customHeight="1">
      <x:c r="A197" s="21" t="str">
        <x:v>观察s6分层</x:v>
      </x:c>
      <x:c r="B197" s="22" t="str">
        <x:v>删除指标</x:v>
      </x:c>
      <x:c r="C197" s="22" t="str">
        <x:v>分组熵权型</x:v>
      </x:c>
      <x:c r="D197" s="22" t="str">
        <x:v>QAPro质量比例</x:v>
      </x:c>
      <x:c r="E197" s="24" t="n">
        <x:v>9</x:v>
      </x:c>
      <x:c r="F197" s="22" t="n">
        <x:v>0.8806314188730906</x:v>
      </x:c>
      <x:c r="G197" s="22" t="n">
        <x:v>0.7483554251115622</x:v>
      </x:c>
      <x:c r="H197" s="22" t="n">
        <x:v>0</x:v>
      </x:c>
      <x:c r="I197" s="22" t="n">
        <x:v>0.6666666666666666</x:v>
      </x:c>
      <x:c r="J197" s="22" t="n">
        <x:v>0</x:v>
      </x:c>
      <x:c r="K197" s="22" t="n">
        <x:v>0.6666666666666666</x:v>
      </x:c>
      <x:c r="L197" s="22" t="str">
        <x:v>NA</x:v>
      </x:c>
      <x:c r="M197" s="22" t="str">
        <x:v>删除后共同样本重算</x:v>
      </x:c>
    </x:row>
    <x:row r="198" ht="23" customHeight="1">
      <x:c r="A198" s="21" t="str">
        <x:v>观察s6分层</x:v>
      </x:c>
      <x:c r="B198" s="22" t="str">
        <x:v>边际递减</x:v>
      </x:c>
      <x:c r="C198" s="22" t="str">
        <x:v>均衡型</x:v>
      </x:c>
      <x:c r="D198" s="22" t="str">
        <x:v>固定凹函数</x:v>
      </x:c>
      <x:c r="E198" s="24" t="n">
        <x:v>9</x:v>
      </x:c>
      <x:c r="F198" s="22" t="n">
        <x:v>0.9666666666666667</x:v>
      </x:c>
      <x:c r="G198" s="22" t="n">
        <x:v>0.8888888888888888</x:v>
      </x:c>
      <x:c r="H198" s="22" t="n">
        <x:v>1</x:v>
      </x:c>
      <x:c r="I198" s="22" t="n">
        <x:v>1</x:v>
      </x:c>
      <x:c r="J198" s="22" t="n">
        <x:v>1</x:v>
      </x:c>
      <x:c r="K198" s="22" t="n">
        <x:v>1</x:v>
      </x:c>
      <x:c r="L198" s="22" t="str">
        <x:v>NA</x:v>
      </x:c>
      <x:c r="M198" s="22" t="str">
        <x:v>f(z)=(1-exp(-2z))/(1-exp(-2))</x:v>
      </x:c>
    </x:row>
    <x:row r="199" ht="23" customHeight="1">
      <x:c r="A199" s="21" t="str">
        <x:v>观察s6分层</x:v>
      </x:c>
      <x:c r="B199" s="22" t="str">
        <x:v>边际递减</x:v>
      </x:c>
      <x:c r="C199" s="22" t="str">
        <x:v>突破优先型</x:v>
      </x:c>
      <x:c r="D199" s="22" t="str">
        <x:v>固定凹函数</x:v>
      </x:c>
      <x:c r="E199" s="24" t="n">
        <x:v>9</x:v>
      </x:c>
      <x:c r="F199" s="22" t="n">
        <x:v>0.9833333333333333</x:v>
      </x:c>
      <x:c r="G199" s="22" t="n">
        <x:v>0.9444444444444445</x:v>
      </x:c>
      <x:c r="H199" s="22" t="n">
        <x:v>0</x:v>
      </x:c>
      <x:c r="I199" s="22" t="n">
        <x:v>1</x:v>
      </x:c>
      <x:c r="J199" s="22" t="n">
        <x:v>1</x:v>
      </x:c>
      <x:c r="K199" s="22" t="n">
        <x:v>1</x:v>
      </x:c>
      <x:c r="L199" s="22" t="str">
        <x:v>NA</x:v>
      </x:c>
      <x:c r="M199" s="22" t="str">
        <x:v>f(z)=(1-exp(-2z))/(1-exp(-2))</x:v>
      </x:c>
    </x:row>
    <x:row r="200" ht="23" customHeight="1">
      <x:c r="A200" s="21" t="str">
        <x:v>观察s6分层</x:v>
      </x:c>
      <x:c r="B200" s="22" t="str">
        <x:v>边际递减</x:v>
      </x:c>
      <x:c r="C200" s="22" t="str">
        <x:v>质量导向型（教学诊断对照）</x:v>
      </x:c>
      <x:c r="D200" s="22" t="str">
        <x:v>固定凹函数</x:v>
      </x:c>
      <x:c r="E200" s="24" t="n">
        <x:v>9</x:v>
      </x:c>
      <x:c r="F200" s="22" t="n">
        <x:v>0.9166666666666666</x:v>
      </x:c>
      <x:c r="G200" s="22" t="n">
        <x:v>0.8333333333333334</x:v>
      </x:c>
      <x:c r="H200" s="22" t="n">
        <x:v>1</x:v>
      </x:c>
      <x:c r="I200" s="22" t="n">
        <x:v>1</x:v>
      </x:c>
      <x:c r="J200" s="22" t="n">
        <x:v>1</x:v>
      </x:c>
      <x:c r="K200" s="22" t="n">
        <x:v>1</x:v>
      </x:c>
      <x:c r="L200" s="22" t="str">
        <x:v>NA</x:v>
      </x:c>
      <x:c r="M200" s="22" t="str">
        <x:v>f(z)=(1-exp(-2z))/(1-exp(-2))</x:v>
      </x:c>
    </x:row>
    <x:row r="201" ht="23" customHeight="1">
      <x:c r="A201" s="21" t="str">
        <x:v>观察s6分层</x:v>
      </x:c>
      <x:c r="B201" s="22" t="str">
        <x:v>边际递减</x:v>
      </x:c>
      <x:c r="C201" s="22" t="str">
        <x:v>分组熵权型</x:v>
      </x:c>
      <x:c r="D201" s="22" t="str">
        <x:v>固定凹函数</x:v>
      </x:c>
      <x:c r="E201" s="24" t="n">
        <x:v>9</x:v>
      </x:c>
      <x:c r="F201" s="22" t="n">
        <x:v>0.9666666666666667</x:v>
      </x:c>
      <x:c r="G201" s="22" t="n">
        <x:v>0.8888888888888888</x:v>
      </x:c>
      <x:c r="H201" s="22" t="n">
        <x:v>1</x:v>
      </x:c>
      <x:c r="I201" s="22" t="n">
        <x:v>1</x:v>
      </x:c>
      <x:c r="J201" s="22" t="n">
        <x:v>1</x:v>
      </x:c>
      <x:c r="K201" s="22" t="n">
        <x:v>1</x:v>
      </x:c>
      <x:c r="L201" s="22" t="str">
        <x:v>NA</x:v>
      </x:c>
      <x:c r="M201" s="22" t="str">
        <x:v>f(z)=(1-exp(-2z))/(1-exp(-2))</x:v>
      </x:c>
    </x:row>
    <x:row r="202" ht="23" customHeight="1">
      <x:c r="A202" s="21" t="str">
        <x:v>观察s6分层</x:v>
      </x:c>
      <x:c r="B202" s="22" t="str">
        <x:v>指标相关</x:v>
      </x:c>
      <x:c r="C202" s="22" t="str">
        <x:v>CTQ合计</x:v>
      </x:c>
      <x:c r="D202" s="22" t="str">
        <x:v>CTQ均值</x:v>
      </x:c>
      <x:c r="E202" s="24" t="n">
        <x:v>9</x:v>
      </x:c>
      <x:c r="F202" s="22" t="n">
        <x:v>1</x:v>
      </x:c>
      <x:c r="G202" s="22" t="str">
        <x:v>NA</x:v>
      </x:c>
      <x:c r="H202" s="22" t="str">
        <x:v>NA</x:v>
      </x:c>
      <x:c r="I202" s="22" t="str">
        <x:v>NA</x:v>
      </x:c>
      <x:c r="J202" s="22" t="str">
        <x:v>NA</x:v>
      </x:c>
      <x:c r="K202" s="22" t="str">
        <x:v>NA</x:v>
      </x:c>
      <x:c r="L202" s="22" t="n">
        <x:v>1</x:v>
      </x:c>
      <x:c r="M202" s="22" t="str">
        <x:v>相关性不能单独证明重复计权</x:v>
      </x:c>
    </x:row>
    <x:row r="203" ht="23" customHeight="1">
      <x:c r="A203" s="21" t="str">
        <x:v>观察s6分层</x:v>
      </x:c>
      <x:c r="B203" s="22" t="str">
        <x:v>指标相关</x:v>
      </x:c>
      <x:c r="C203" s="22" t="str">
        <x:v>CTQ合计</x:v>
      </x:c>
      <x:c r="D203" s="22" t="str">
        <x:v>CTQ最高</x:v>
      </x:c>
      <x:c r="E203" s="24" t="n">
        <x:v>9</x:v>
      </x:c>
      <x:c r="F203" s="22" t="n">
        <x:v>1</x:v>
      </x:c>
      <x:c r="G203" s="22" t="str">
        <x:v>NA</x:v>
      </x:c>
      <x:c r="H203" s="22" t="str">
        <x:v>NA</x:v>
      </x:c>
      <x:c r="I203" s="22" t="str">
        <x:v>NA</x:v>
      </x:c>
      <x:c r="J203" s="22" t="str">
        <x:v>NA</x:v>
      </x:c>
      <x:c r="K203" s="22" t="str">
        <x:v>NA</x:v>
      </x:c>
      <x:c r="L203" s="22" t="n">
        <x:v>1</x:v>
      </x:c>
      <x:c r="M203" s="22" t="str">
        <x:v>相关性不能单独证明重复计权</x:v>
      </x:c>
    </x:row>
    <x:row r="204" ht="23" customHeight="1">
      <x:c r="A204" s="21" t="str">
        <x:v>观察s6分层</x:v>
      </x:c>
      <x:c r="B204" s="22" t="str">
        <x:v>指标相关</x:v>
      </x:c>
      <x:c r="C204" s="22" t="str">
        <x:v>CTQ合计</x:v>
      </x:c>
      <x:c r="D204" s="22" t="str">
        <x:v>QAPro质量比例</x:v>
      </x:c>
      <x:c r="E204" s="24" t="n">
        <x:v>9</x:v>
      </x:c>
      <x:c r="F204" s="22" t="n">
        <x:v>-0.2676516895156554</x:v>
      </x:c>
      <x:c r="G204" s="22" t="str">
        <x:v>NA</x:v>
      </x:c>
      <x:c r="H204" s="22" t="str">
        <x:v>NA</x:v>
      </x:c>
      <x:c r="I204" s="22" t="str">
        <x:v>NA</x:v>
      </x:c>
      <x:c r="J204" s="22" t="str">
        <x:v>NA</x:v>
      </x:c>
      <x:c r="K204" s="22" t="str">
        <x:v>NA</x:v>
      </x:c>
      <x:c r="L204" s="22" t="n">
        <x:v>-0.17026440004298965</x:v>
      </x:c>
      <x:c r="M204" s="22" t="str">
        <x:v>相关性不能单独证明重复计权</x:v>
      </x:c>
    </x:row>
    <x:row r="205" ht="23" customHeight="1">
      <x:c r="A205" s="21" t="str">
        <x:v>观察s6分层</x:v>
      </x:c>
      <x:c r="B205" s="22" t="str">
        <x:v>指标相关</x:v>
      </x:c>
      <x:c r="C205" s="22" t="str">
        <x:v>CTQ均值</x:v>
      </x:c>
      <x:c r="D205" s="22" t="str">
        <x:v>CTQ最高</x:v>
      </x:c>
      <x:c r="E205" s="24" t="n">
        <x:v>9</x:v>
      </x:c>
      <x:c r="F205" s="22" t="n">
        <x:v>1</x:v>
      </x:c>
      <x:c r="G205" s="22" t="str">
        <x:v>NA</x:v>
      </x:c>
      <x:c r="H205" s="22" t="str">
        <x:v>NA</x:v>
      </x:c>
      <x:c r="I205" s="22" t="str">
        <x:v>NA</x:v>
      </x:c>
      <x:c r="J205" s="22" t="str">
        <x:v>NA</x:v>
      </x:c>
      <x:c r="K205" s="22" t="str">
        <x:v>NA</x:v>
      </x:c>
      <x:c r="L205" s="22" t="n">
        <x:v>1</x:v>
      </x:c>
      <x:c r="M205" s="22" t="str">
        <x:v>相关性不能单独证明重复计权</x:v>
      </x:c>
    </x:row>
    <x:row r="206" ht="23" customHeight="1">
      <x:c r="A206" s="21" t="str">
        <x:v>观察s6分层</x:v>
      </x:c>
      <x:c r="B206" s="22" t="str">
        <x:v>指标相关</x:v>
      </x:c>
      <x:c r="C206" s="22" t="str">
        <x:v>CTQ均值</x:v>
      </x:c>
      <x:c r="D206" s="22" t="str">
        <x:v>QAPro质量比例</x:v>
      </x:c>
      <x:c r="E206" s="24" t="n">
        <x:v>9</x:v>
      </x:c>
      <x:c r="F206" s="22" t="n">
        <x:v>-0.2676516895156554</x:v>
      </x:c>
      <x:c r="G206" s="22" t="str">
        <x:v>NA</x:v>
      </x:c>
      <x:c r="H206" s="22" t="str">
        <x:v>NA</x:v>
      </x:c>
      <x:c r="I206" s="22" t="str">
        <x:v>NA</x:v>
      </x:c>
      <x:c r="J206" s="22" t="str">
        <x:v>NA</x:v>
      </x:c>
      <x:c r="K206" s="22" t="str">
        <x:v>NA</x:v>
      </x:c>
      <x:c r="L206" s="22" t="n">
        <x:v>-0.1702644000429897</x:v>
      </x:c>
      <x:c r="M206" s="22" t="str">
        <x:v>相关性不能单独证明重复计权</x:v>
      </x:c>
    </x:row>
    <x:row r="207" ht="23" customHeight="1">
      <x:c r="A207" s="21" t="str">
        <x:v>观察s6分层</x:v>
      </x:c>
      <x:c r="B207" s="22" t="str">
        <x:v>指标相关</x:v>
      </x:c>
      <x:c r="C207" s="22" t="str">
        <x:v>CTQ最高</x:v>
      </x:c>
      <x:c r="D207" s="22" t="str">
        <x:v>QAPro质量比例</x:v>
      </x:c>
      <x:c r="E207" s="24" t="n">
        <x:v>9</x:v>
      </x:c>
      <x:c r="F207" s="22" t="n">
        <x:v>-0.2676516895156554</x:v>
      </x:c>
      <x:c r="G207" s="22" t="str">
        <x:v>NA</x:v>
      </x:c>
      <x:c r="H207" s="22" t="str">
        <x:v>NA</x:v>
      </x:c>
      <x:c r="I207" s="22" t="str">
        <x:v>NA</x:v>
      </x:c>
      <x:c r="J207" s="22" t="str">
        <x:v>NA</x:v>
      </x:c>
      <x:c r="K207" s="22" t="str">
        <x:v>NA</x:v>
      </x:c>
      <x:c r="L207" s="22" t="n">
        <x:v>-0.1702644000429897</x:v>
      </x:c>
      <x:c r="M207" s="22" t="str">
        <x:v>相关性不能单独证明重复计权</x:v>
      </x:c>
    </x:row>
    <x:row r="208" ht="23" customHeight="1">
      <x:c r="A208" s="21" t="str">
        <x:v>观察s6分层</x:v>
      </x:c>
      <x:c r="B208" s="22" t="str">
        <x:v>前后20%边界</x:v>
      </x:c>
      <x:c r="C208" s="22" t="str">
        <x:v>均衡型</x:v>
      </x:c>
      <x:c r="D208" s="22" t="str">
        <x:v>人数</x:v>
      </x:c>
      <x:c r="E208" s="24" t="n">
        <x:v>9</x:v>
      </x:c>
      <x:c r="F208" s="22" t="str">
        <x:v>NA</x:v>
      </x:c>
      <x:c r="G208" s="22" t="str">
        <x:v>NA</x:v>
      </x:c>
      <x:c r="H208" s="22" t="str">
        <x:v>NA</x:v>
      </x:c>
      <x:c r="I208" s="22" t="str">
        <x:v>NA</x:v>
      </x:c>
      <x:c r="J208" s="22" t="str">
        <x:v>NA</x:v>
      </x:c>
      <x:c r="K208" s="22" t="str">
        <x:v>NA</x:v>
      </x:c>
      <x:c r="L208" s="22" t="str">
        <x:v>NA</x:v>
      </x:c>
      <x:c r="M208" s="22" t="str">
        <x:v>目标2；前严格/边界/含边界=1/1/2；后=1/1/2</x:v>
      </x:c>
    </x:row>
    <x:row r="209" ht="23" customHeight="1">
      <x:c r="A209" s="21" t="str">
        <x:v>观察s6分层</x:v>
      </x:c>
      <x:c r="B209" s="22" t="str">
        <x:v>前后20%边界</x:v>
      </x:c>
      <x:c r="C209" s="22" t="str">
        <x:v>突破优先型</x:v>
      </x:c>
      <x:c r="D209" s="22" t="str">
        <x:v>人数</x:v>
      </x:c>
      <x:c r="E209" s="24" t="n">
        <x:v>9</x:v>
      </x:c>
      <x:c r="F209" s="22" t="str">
        <x:v>NA</x:v>
      </x:c>
      <x:c r="G209" s="22" t="str">
        <x:v>NA</x:v>
      </x:c>
      <x:c r="H209" s="22" t="str">
        <x:v>NA</x:v>
      </x:c>
      <x:c r="I209" s="22" t="str">
        <x:v>NA</x:v>
      </x:c>
      <x:c r="J209" s="22" t="str">
        <x:v>NA</x:v>
      </x:c>
      <x:c r="K209" s="22" t="str">
        <x:v>NA</x:v>
      </x:c>
      <x:c r="L209" s="22" t="str">
        <x:v>NA</x:v>
      </x:c>
      <x:c r="M209" s="22" t="str">
        <x:v>目标2；前严格/边界/含边界=1/1/2；后=1/1/2</x:v>
      </x:c>
    </x:row>
    <x:row r="210" ht="23" customHeight="1">
      <x:c r="A210" s="21" t="str">
        <x:v>观察s6分层</x:v>
      </x:c>
      <x:c r="B210" s="22" t="str">
        <x:v>前后20%边界</x:v>
      </x:c>
      <x:c r="C210" s="22" t="str">
        <x:v>质量导向型（教学诊断对照）</x:v>
      </x:c>
      <x:c r="D210" s="22" t="str">
        <x:v>人数</x:v>
      </x:c>
      <x:c r="E210" s="24" t="n">
        <x:v>9</x:v>
      </x:c>
      <x:c r="F210" s="22" t="str">
        <x:v>NA</x:v>
      </x:c>
      <x:c r="G210" s="22" t="str">
        <x:v>NA</x:v>
      </x:c>
      <x:c r="H210" s="22" t="str">
        <x:v>NA</x:v>
      </x:c>
      <x:c r="I210" s="22" t="str">
        <x:v>NA</x:v>
      </x:c>
      <x:c r="J210" s="22" t="str">
        <x:v>NA</x:v>
      </x:c>
      <x:c r="K210" s="22" t="str">
        <x:v>NA</x:v>
      </x:c>
      <x:c r="L210" s="22" t="str">
        <x:v>NA</x:v>
      </x:c>
      <x:c r="M210" s="22" t="str">
        <x:v>目标2；前严格/边界/含边界=1/1/2；后=1/1/2</x:v>
      </x:c>
    </x:row>
    <x:row r="211" ht="23" customHeight="1">
      <x:c r="A211" s="21" t="str">
        <x:v>观察s6分层</x:v>
      </x:c>
      <x:c r="B211" s="22" t="str">
        <x:v>前后20%边界</x:v>
      </x:c>
      <x:c r="C211" s="22" t="str">
        <x:v>分组熵权型</x:v>
      </x:c>
      <x:c r="D211" s="22" t="str">
        <x:v>人数</x:v>
      </x:c>
      <x:c r="E211" s="24" t="n">
        <x:v>9</x:v>
      </x:c>
      <x:c r="F211" s="22" t="str">
        <x:v>NA</x:v>
      </x:c>
      <x:c r="G211" s="22" t="str">
        <x:v>NA</x:v>
      </x:c>
      <x:c r="H211" s="22" t="str">
        <x:v>NA</x:v>
      </x:c>
      <x:c r="I211" s="22" t="str">
        <x:v>NA</x:v>
      </x:c>
      <x:c r="J211" s="22" t="str">
        <x:v>NA</x:v>
      </x:c>
      <x:c r="K211" s="22" t="str">
        <x:v>NA</x:v>
      </x:c>
      <x:c r="L211" s="22" t="str">
        <x:v>NA</x:v>
      </x:c>
      <x:c r="M211" s="22" t="str">
        <x:v>目标2；前严格/边界/含边界=1/1/2；后=1/1/2</x:v>
      </x:c>
    </x:row>
    <x:row r="212" ht="23" customHeight="1">
      <x:c r="A212" s="21" t="str">
        <x:v>观察s6分层</x:v>
      </x:c>
      <x:c r="B212" s="22" t="str">
        <x:v>前后20%边界</x:v>
      </x:c>
      <x:c r="C212" s="22" t="str">
        <x:v>四项原始熵权对照</x:v>
      </x:c>
      <x:c r="D212" s="22" t="str">
        <x:v>人数</x:v>
      </x:c>
      <x:c r="E212" s="24" t="n">
        <x:v>9</x:v>
      </x:c>
      <x:c r="F212" s="22" t="str">
        <x:v>NA</x:v>
      </x:c>
      <x:c r="G212" s="22" t="str">
        <x:v>NA</x:v>
      </x:c>
      <x:c r="H212" s="22" t="str">
        <x:v>NA</x:v>
      </x:c>
      <x:c r="I212" s="22" t="str">
        <x:v>NA</x:v>
      </x:c>
      <x:c r="J212" s="22" t="str">
        <x:v>NA</x:v>
      </x:c>
      <x:c r="K212" s="22" t="str">
        <x:v>NA</x:v>
      </x:c>
      <x:c r="L212" s="22" t="str">
        <x:v>NA</x:v>
      </x:c>
      <x:c r="M212" s="22" t="str">
        <x:v>目标2；前严格/边界/含边界=1/1/2；后=1/1/2</x:v>
      </x:c>
    </x:row>
    <x:row r="213" ht="23" customHeight="1">
      <x:c r="A213" s="21" t="str">
        <x:v>严格基线调整</x:v>
      </x:c>
      <x:c r="B213" s="22" t="str">
        <x:v>方案对比</x:v>
      </x:c>
      <x:c r="C213" s="22" t="str">
        <x:v>均衡型</x:v>
      </x:c>
      <x:c r="D213" s="22" t="str">
        <x:v>突破优先型</x:v>
      </x:c>
      <x:c r="E213" s="24" t="n">
        <x:v>146</x:v>
      </x:c>
      <x:c r="F213" s="22" t="n">
        <x:v>0.923035510642773</x:v>
      </x:c>
      <x:c r="G213" s="22" t="n">
        <x:v>0.8357608279034112</x:v>
      </x:c>
      <x:c r="H213" s="22" t="n">
        <x:v>0.6764705882352942</x:v>
      </x:c>
      <x:c r="I213" s="22" t="n">
        <x:v>0.8235294117647058</x:v>
      </x:c>
      <x:c r="J213" s="22" t="n">
        <x:v>0.8709677419354839</x:v>
      </x:c>
      <x:c r="K213" s="22" t="n">
        <x:v>0.9354838709677419</x:v>
      </x:c>
      <x:c r="L213" s="22" t="str">
        <x:v>NA</x:v>
      </x:c>
      <x:c r="M213" s="22" t="str"/>
    </x:row>
    <x:row r="214" ht="23" customHeight="1">
      <x:c r="A214" s="21" t="str">
        <x:v>严格基线调整</x:v>
      </x:c>
      <x:c r="B214" s="22" t="str">
        <x:v>方案对比</x:v>
      </x:c>
      <x:c r="C214" s="22" t="str">
        <x:v>均衡型</x:v>
      </x:c>
      <x:c r="D214" s="22" t="str">
        <x:v>质量导向型（教学诊断对照）</x:v>
      </x:c>
      <x:c r="E214" s="24" t="n">
        <x:v>146</x:v>
      </x:c>
      <x:c r="F214" s="22" t="n">
        <x:v>0.9944851699698403</x:v>
      </x:c>
      <x:c r="G214" s="22" t="n">
        <x:v>0.9777692602529704</x:v>
      </x:c>
      <x:c r="H214" s="22" t="n">
        <x:v>1</x:v>
      </x:c>
      <x:c r="I214" s="22" t="n">
        <x:v>1</x:v>
      </x:c>
      <x:c r="J214" s="22" t="n">
        <x:v>0.9333333333333333</x:v>
      </x:c>
      <x:c r="K214" s="22" t="n">
        <x:v>0.875</x:v>
      </x:c>
      <x:c r="L214" s="22" t="str">
        <x:v>NA</x:v>
      </x:c>
      <x:c r="M214" s="22" t="str"/>
    </x:row>
    <x:row r="215" ht="23" customHeight="1">
      <x:c r="A215" s="21" t="str">
        <x:v>严格基线调整</x:v>
      </x:c>
      <x:c r="B215" s="22" t="str">
        <x:v>方案对比</x:v>
      </x:c>
      <x:c r="C215" s="22" t="str">
        <x:v>均衡型</x:v>
      </x:c>
      <x:c r="D215" s="22" t="str">
        <x:v>分组熵权型</x:v>
      </x:c>
      <x:c r="E215" s="24" t="n">
        <x:v>146</x:v>
      </x:c>
      <x:c r="F215" s="22" t="n">
        <x:v>0.9671850246700847</x:v>
      </x:c>
      <x:c r="G215" s="22" t="n">
        <x:v>0.9072441548486009</x:v>
      </x:c>
      <x:c r="H215" s="22" t="n">
        <x:v>0.696969696969697</x:v>
      </x:c>
      <x:c r="I215" s="22" t="n">
        <x:v>0.8484848484848485</x:v>
      </x:c>
      <x:c r="J215" s="22" t="n">
        <x:v>0.8709677419354839</x:v>
      </x:c>
      <x:c r="K215" s="22" t="n">
        <x:v>0.9354838709677419</x:v>
      </x:c>
      <x:c r="L215" s="22" t="str">
        <x:v>NA</x:v>
      </x:c>
      <x:c r="M215" s="22" t="str"/>
    </x:row>
    <x:row r="216" ht="23" customHeight="1">
      <x:c r="A216" s="21" t="str">
        <x:v>严格基线调整</x:v>
      </x:c>
      <x:c r="B216" s="22" t="str">
        <x:v>方案对比</x:v>
      </x:c>
      <x:c r="C216" s="22" t="str">
        <x:v>突破优先型</x:v>
      </x:c>
      <x:c r="D216" s="22" t="str">
        <x:v>质量导向型（教学诊断对照）</x:v>
      </x:c>
      <x:c r="E216" s="24" t="n">
        <x:v>146</x:v>
      </x:c>
      <x:c r="F216" s="22" t="n">
        <x:v>0.8991199041368945</x:v>
      </x:c>
      <x:c r="G216" s="22" t="n">
        <x:v>0.8135300881563817</x:v>
      </x:c>
      <x:c r="H216" s="22" t="n">
        <x:v>0.6764705882352942</x:v>
      </x:c>
      <x:c r="I216" s="22" t="n">
        <x:v>0.8235294117647058</x:v>
      </x:c>
      <x:c r="J216" s="22" t="n">
        <x:v>0.8125</x:v>
      </x:c>
      <x:c r="K216" s="22" t="n">
        <x:v>0.8181818181818182</x:v>
      </x:c>
      <x:c r="L216" s="22" t="str">
        <x:v>NA</x:v>
      </x:c>
      <x:c r="M216" s="22" t="str"/>
    </x:row>
    <x:row r="217" ht="23" customHeight="1">
      <x:c r="A217" s="21" t="str">
        <x:v>严格基线调整</x:v>
      </x:c>
      <x:c r="B217" s="22" t="str">
        <x:v>方案对比</x:v>
      </x:c>
      <x:c r="C217" s="22" t="str">
        <x:v>突破优先型</x:v>
      </x:c>
      <x:c r="D217" s="22" t="str">
        <x:v>分组熵权型</x:v>
      </x:c>
      <x:c r="E217" s="24" t="n">
        <x:v>146</x:v>
      </x:c>
      <x:c r="F217" s="22" t="n">
        <x:v>0.978060315800239</x:v>
      </x:c>
      <x:c r="G217" s="22" t="n">
        <x:v>0.9285166730548102</x:v>
      </x:c>
      <x:c r="H217" s="22" t="n">
        <x:v>0.9642857142857143</x:v>
      </x:c>
      <x:c r="I217" s="22" t="n">
        <x:v>0.967741935483871</x:v>
      </x:c>
      <x:c r="J217" s="22" t="n">
        <x:v>1</x:v>
      </x:c>
      <x:c r="K217" s="22" t="n">
        <x:v>1</x:v>
      </x:c>
      <x:c r="L217" s="22" t="str">
        <x:v>NA</x:v>
      </x:c>
      <x:c r="M217" s="22" t="str"/>
    </x:row>
    <x:row r="218" ht="23" customHeight="1">
      <x:c r="A218" s="21" t="str">
        <x:v>严格基线调整</x:v>
      </x:c>
      <x:c r="B218" s="22" t="str">
        <x:v>方案对比</x:v>
      </x:c>
      <x:c r="C218" s="22" t="str">
        <x:v>质量导向型（教学诊断对照）</x:v>
      </x:c>
      <x:c r="D218" s="22" t="str">
        <x:v>分组熵权型</x:v>
      </x:c>
      <x:c r="E218" s="24" t="n">
        <x:v>146</x:v>
      </x:c>
      <x:c r="F218" s="22" t="n">
        <x:v>0.9480394181063178</x:v>
      </x:c>
      <x:c r="G218" s="22" t="n">
        <x:v>0.8850134151015715</x:v>
      </x:c>
      <x:c r="H218" s="22" t="n">
        <x:v>0.696969696969697</x:v>
      </x:c>
      <x:c r="I218" s="22" t="n">
        <x:v>0.8484848484848485</x:v>
      </x:c>
      <x:c r="J218" s="22" t="n">
        <x:v>0.8125</x:v>
      </x:c>
      <x:c r="K218" s="22" t="n">
        <x:v>0.8181818181818182</x:v>
      </x:c>
      <x:c r="L218" s="22" t="str">
        <x:v>NA</x:v>
      </x:c>
      <x:c r="M218" s="22" t="str"/>
    </x:row>
    <x:row r="219" ht="23" customHeight="1">
      <x:c r="A219" s="21" t="str">
        <x:v>严格基线调整</x:v>
      </x:c>
      <x:c r="B219" s="22" t="str">
        <x:v>权重±10%</x:v>
      </x:c>
      <x:c r="C219" s="22" t="str">
        <x:v>均衡型</x:v>
      </x:c>
      <x:c r="D219" s="22" t="str">
        <x:v>CTQ合计 ×0.9</x:v>
      </x:c>
      <x:c r="E219" s="24" t="n">
        <x:v>146</x:v>
      </x:c>
      <x:c r="F219" s="22" t="n">
        <x:v>0.9999922815534916</x:v>
      </x:c>
      <x:c r="G219" s="22" t="n">
        <x:v>0.9996167113836718</x:v>
      </x:c>
      <x:c r="H219" s="22" t="n">
        <x:v>1</x:v>
      </x:c>
      <x:c r="I219" s="22" t="n">
        <x:v>1</x:v>
      </x:c>
      <x:c r="J219" s="22" t="n">
        <x:v>1</x:v>
      </x:c>
      <x:c r="K219" s="22" t="n">
        <x:v>0.9354838709677419</x:v>
      </x:c>
      <x:c r="L219" s="22" t="str">
        <x:v>NA</x:v>
      </x:c>
      <x:c r="M219" s="22" t="str">
        <x:v>扰动后重新归一化</x:v>
      </x:c>
    </x:row>
    <x:row r="220" ht="23" customHeight="1">
      <x:c r="A220" s="21" t="str">
        <x:v>严格基线调整</x:v>
      </x:c>
      <x:c r="B220" s="22" t="str">
        <x:v>权重±10%</x:v>
      </x:c>
      <x:c r="C220" s="22" t="str">
        <x:v>均衡型</x:v>
      </x:c>
      <x:c r="D220" s="22" t="str">
        <x:v>CTQ合计 ×1.1</x:v>
      </x:c>
      <x:c r="E220" s="24" t="n">
        <x:v>146</x:v>
      </x:c>
      <x:c r="F220" s="22" t="n">
        <x:v>0.9998880825256301</x:v>
      </x:c>
      <x:c r="G220" s="22" t="n">
        <x:v>0.9984668455346876</x:v>
      </x:c>
      <x:c r="H220" s="22" t="n">
        <x:v>1</x:v>
      </x:c>
      <x:c r="I220" s="22" t="n">
        <x:v>1</x:v>
      </x:c>
      <x:c r="J220" s="22" t="n">
        <x:v>1</x:v>
      </x:c>
      <x:c r="K220" s="22" t="n">
        <x:v>1</x:v>
      </x:c>
      <x:c r="L220" s="22" t="str">
        <x:v>NA</x:v>
      </x:c>
      <x:c r="M220" s="22" t="str">
        <x:v>扰动后重新归一化</x:v>
      </x:c>
    </x:row>
    <x:row r="221" ht="23" customHeight="1">
      <x:c r="A221" s="21" t="str">
        <x:v>严格基线调整</x:v>
      </x:c>
      <x:c r="B221" s="22" t="str">
        <x:v>权重±10%</x:v>
      </x:c>
      <x:c r="C221" s="22" t="str">
        <x:v>均衡型</x:v>
      </x:c>
      <x:c r="D221" s="22" t="str">
        <x:v>CTQ均值 ×0.9</x:v>
      </x:c>
      <x:c r="E221" s="24" t="n">
        <x:v>146</x:v>
      </x:c>
      <x:c r="F221" s="22" t="n">
        <x:v>0.9988538106935216</x:v>
      </x:c>
      <x:c r="G221" s="22" t="n">
        <x:v>0.9898428516673056</x:v>
      </x:c>
      <x:c r="H221" s="22" t="n">
        <x:v>1</x:v>
      </x:c>
      <x:c r="I221" s="22" t="n">
        <x:v>1</x:v>
      </x:c>
      <x:c r="J221" s="22" t="n">
        <x:v>0.9333333333333333</x:v>
      </x:c>
      <x:c r="K221" s="22" t="n">
        <x:v>0.9354838709677419</x:v>
      </x:c>
      <x:c r="L221" s="22" t="str">
        <x:v>NA</x:v>
      </x:c>
      <x:c r="M221" s="22" t="str">
        <x:v>扰动后重新归一化</x:v>
      </x:c>
    </x:row>
    <x:row r="222" ht="23" customHeight="1">
      <x:c r="A222" s="21" t="str">
        <x:v>严格基线调整</x:v>
      </x:c>
      <x:c r="B222" s="22" t="str">
        <x:v>权重±10%</x:v>
      </x:c>
      <x:c r="C222" s="22" t="str">
        <x:v>均衡型</x:v>
      </x:c>
      <x:c r="D222" s="22" t="str">
        <x:v>CTQ均值 ×1.1</x:v>
      </x:c>
      <x:c r="E222" s="24" t="n">
        <x:v>146</x:v>
      </x:c>
      <x:c r="F222" s="22" t="n">
        <x:v>0.9992744660282226</x:v>
      </x:c>
      <x:c r="G222" s="22" t="n">
        <x:v>0.9921425833652741</x:v>
      </x:c>
      <x:c r="H222" s="22" t="n">
        <x:v>1</x:v>
      </x:c>
      <x:c r="I222" s="22" t="n">
        <x:v>1</x:v>
      </x:c>
      <x:c r="J222" s="22" t="n">
        <x:v>1</x:v>
      </x:c>
      <x:c r="K222" s="22" t="n">
        <x:v>1</x:v>
      </x:c>
      <x:c r="L222" s="22" t="str">
        <x:v>NA</x:v>
      </x:c>
      <x:c r="M222" s="22" t="str">
        <x:v>扰动后重新归一化</x:v>
      </x:c>
    </x:row>
    <x:row r="223" ht="23" customHeight="1">
      <x:c r="A223" s="21" t="str">
        <x:v>严格基线调整</x:v>
      </x:c>
      <x:c r="B223" s="22" t="str">
        <x:v>权重±10%</x:v>
      </x:c>
      <x:c r="C223" s="22" t="str">
        <x:v>均衡型</x:v>
      </x:c>
      <x:c r="D223" s="22" t="str">
        <x:v>CTQ最高 ×0.9</x:v>
      </x:c>
      <x:c r="E223" s="24" t="n">
        <x:v>146</x:v>
      </x:c>
      <x:c r="F223" s="22" t="n">
        <x:v>0.9993555097165594</x:v>
      </x:c>
      <x:c r="G223" s="22" t="n">
        <x:v>0.9948256036795707</x:v>
      </x:c>
      <x:c r="H223" s="22" t="n">
        <x:v>1</x:v>
      </x:c>
      <x:c r="I223" s="22" t="n">
        <x:v>1</x:v>
      </x:c>
      <x:c r="J223" s="22" t="n">
        <x:v>0.9333333333333333</x:v>
      </x:c>
      <x:c r="K223" s="22" t="n">
        <x:v>0.9354838709677419</x:v>
      </x:c>
      <x:c r="L223" s="22" t="str">
        <x:v>NA</x:v>
      </x:c>
      <x:c r="M223" s="22" t="str">
        <x:v>扰动后重新归一化</x:v>
      </x:c>
    </x:row>
    <x:row r="224" ht="23" customHeight="1">
      <x:c r="A224" s="21" t="str">
        <x:v>严格基线调整</x:v>
      </x:c>
      <x:c r="B224" s="22" t="str">
        <x:v>权重±10%</x:v>
      </x:c>
      <x:c r="C224" s="22" t="str">
        <x:v>均衡型</x:v>
      </x:c>
      <x:c r="D224" s="22" t="str">
        <x:v>CTQ最高 ×1.1</x:v>
      </x:c>
      <x:c r="E224" s="24" t="n">
        <x:v>146</x:v>
      </x:c>
      <x:c r="F224" s="22" t="n">
        <x:v>0.9996874029164151</x:v>
      </x:c>
      <x:c r="G224" s="22" t="n">
        <x:v>0.995975469528555</x:v>
      </x:c>
      <x:c r="H224" s="22" t="n">
        <x:v>1</x:v>
      </x:c>
      <x:c r="I224" s="22" t="n">
        <x:v>1</x:v>
      </x:c>
      <x:c r="J224" s="22" t="n">
        <x:v>1</x:v>
      </x:c>
      <x:c r="K224" s="22" t="n">
        <x:v>1</x:v>
      </x:c>
      <x:c r="L224" s="22" t="str">
        <x:v>NA</x:v>
      </x:c>
      <x:c r="M224" s="22" t="str">
        <x:v>扰动后重新归一化</x:v>
      </x:c>
    </x:row>
    <x:row r="225" ht="23" customHeight="1">
      <x:c r="A225" s="21" t="str">
        <x:v>严格基线调整</x:v>
      </x:c>
      <x:c r="B225" s="22" t="str">
        <x:v>权重±10%</x:v>
      </x:c>
      <x:c r="C225" s="22" t="str">
        <x:v>均衡型</x:v>
      </x:c>
      <x:c r="D225" s="22" t="str">
        <x:v>QAPro质量比例 ×0.9</x:v>
      </x:c>
      <x:c r="E225" s="24" t="n">
        <x:v>146</x:v>
      </x:c>
      <x:c r="F225" s="22" t="n">
        <x:v>0.9983675485635006</x:v>
      </x:c>
      <x:c r="G225" s="22" t="n">
        <x:v>0.9869681870448448</x:v>
      </x:c>
      <x:c r="H225" s="22" t="n">
        <x:v>1</x:v>
      </x:c>
      <x:c r="I225" s="22" t="n">
        <x:v>1</x:v>
      </x:c>
      <x:c r="J225" s="22" t="n">
        <x:v>1</x:v>
      </x:c>
      <x:c r="K225" s="22" t="n">
        <x:v>1</x:v>
      </x:c>
      <x:c r="L225" s="22" t="str">
        <x:v>NA</x:v>
      </x:c>
      <x:c r="M225" s="22" t="str">
        <x:v>扰动后重新归一化</x:v>
      </x:c>
    </x:row>
    <x:row r="226" ht="23" customHeight="1">
      <x:c r="A226" s="21" t="str">
        <x:v>严格基线调整</x:v>
      </x:c>
      <x:c r="B226" s="22" t="str">
        <x:v>权重±10%</x:v>
      </x:c>
      <x:c r="C226" s="22" t="str">
        <x:v>均衡型</x:v>
      </x:c>
      <x:c r="D226" s="22" t="str">
        <x:v>QAPro质量比例 ×1.1</x:v>
      </x:c>
      <x:c r="E226" s="24" t="n">
        <x:v>146</x:v>
      </x:c>
      <x:c r="F226" s="22" t="n">
        <x:v>0.9969936650850284</x:v>
      </x:c>
      <x:c r="G226" s="22" t="n">
        <x:v>0.9837102338060558</x:v>
      </x:c>
      <x:c r="H226" s="22" t="n">
        <x:v>1</x:v>
      </x:c>
      <x:c r="I226" s="22" t="n">
        <x:v>1</x:v>
      </x:c>
      <x:c r="J226" s="22" t="n">
        <x:v>0.9333333333333333</x:v>
      </x:c>
      <x:c r="K226" s="22" t="n">
        <x:v>0.9354838709677419</x:v>
      </x:c>
      <x:c r="L226" s="22" t="str">
        <x:v>NA</x:v>
      </x:c>
      <x:c r="M226" s="22" t="str">
        <x:v>扰动后重新归一化</x:v>
      </x:c>
    </x:row>
    <x:row r="227" ht="23" customHeight="1">
      <x:c r="A227" s="21" t="str">
        <x:v>严格基线调整</x:v>
      </x:c>
      <x:c r="B227" s="22" t="str">
        <x:v>权重±10%</x:v>
      </x:c>
      <x:c r="C227" s="22" t="str">
        <x:v>突破优先型</x:v>
      </x:c>
      <x:c r="D227" s="22" t="str">
        <x:v>CTQ合计 ×0.9</x:v>
      </x:c>
      <x:c r="E227" s="24" t="n">
        <x:v>146</x:v>
      </x:c>
      <x:c r="F227" s="22" t="n">
        <x:v>0.9999768446604752</x:v>
      </x:c>
      <x:c r="G227" s="22" t="n">
        <x:v>0.9994250670755078</x:v>
      </x:c>
      <x:c r="H227" s="22" t="n">
        <x:v>1</x:v>
      </x:c>
      <x:c r="I227" s="22" t="n">
        <x:v>1</x:v>
      </x:c>
      <x:c r="J227" s="22" t="n">
        <x:v>1</x:v>
      </x:c>
      <x:c r="K227" s="22" t="n">
        <x:v>1</x:v>
      </x:c>
      <x:c r="L227" s="22" t="str">
        <x:v>NA</x:v>
      </x:c>
      <x:c r="M227" s="22" t="str">
        <x:v>扰动后重新归一化</x:v>
      </x:c>
    </x:row>
    <x:row r="228" ht="23" customHeight="1">
      <x:c r="A228" s="21" t="str">
        <x:v>严格基线调整</x:v>
      </x:c>
      <x:c r="B228" s="22" t="str">
        <x:v>权重±10%</x:v>
      </x:c>
      <x:c r="C228" s="22" t="str">
        <x:v>突破优先型</x:v>
      </x:c>
      <x:c r="D228" s="22" t="str">
        <x:v>CTQ合计 ×1.1</x:v>
      </x:c>
      <x:c r="E228" s="24" t="n">
        <x:v>146</x:v>
      </x:c>
      <x:c r="F228" s="22" t="n">
        <x:v>0.9999961407767458</x:v>
      </x:c>
      <x:c r="G228" s="22" t="n">
        <x:v>0.999808355691836</x:v>
      </x:c>
      <x:c r="H228" s="22" t="n">
        <x:v>1</x:v>
      </x:c>
      <x:c r="I228" s="22" t="n">
        <x:v>1</x:v>
      </x:c>
      <x:c r="J228" s="22" t="n">
        <x:v>1</x:v>
      </x:c>
      <x:c r="K228" s="22" t="n">
        <x:v>1</x:v>
      </x:c>
      <x:c r="L228" s="22" t="str">
        <x:v>NA</x:v>
      </x:c>
      <x:c r="M228" s="22" t="str">
        <x:v>扰动后重新归一化</x:v>
      </x:c>
    </x:row>
    <x:row r="229" ht="23" customHeight="1">
      <x:c r="A229" s="21" t="str">
        <x:v>严格基线调整</x:v>
      </x:c>
      <x:c r="B229" s="22" t="str">
        <x:v>权重±10%</x:v>
      </x:c>
      <x:c r="C229" s="22" t="str">
        <x:v>突破优先型</x:v>
      </x:c>
      <x:c r="D229" s="22" t="str">
        <x:v>CTQ均值 ×0.9</x:v>
      </x:c>
      <x:c r="E229" s="24" t="n">
        <x:v>146</x:v>
      </x:c>
      <x:c r="F229" s="22" t="n">
        <x:v>0.9991934223398856</x:v>
      </x:c>
      <x:c r="G229" s="22" t="n">
        <x:v>0.9929091605979302</x:v>
      </x:c>
      <x:c r="H229" s="22" t="n">
        <x:v>1</x:v>
      </x:c>
      <x:c r="I229" s="22" t="n">
        <x:v>1</x:v>
      </x:c>
      <x:c r="J229" s="22" t="n">
        <x:v>1</x:v>
      </x:c>
      <x:c r="K229" s="22" t="n">
        <x:v>1</x:v>
      </x:c>
      <x:c r="L229" s="22" t="str">
        <x:v>NA</x:v>
      </x:c>
      <x:c r="M229" s="22" t="str">
        <x:v>扰动后重新归一化</x:v>
      </x:c>
    </x:row>
    <x:row r="230" ht="23" customHeight="1">
      <x:c r="A230" s="21" t="str">
        <x:v>严格基线调整</x:v>
      </x:c>
      <x:c r="B230" s="22" t="str">
        <x:v>权重±10%</x:v>
      </x:c>
      <x:c r="C230" s="22" t="str">
        <x:v>突破优先型</x:v>
      </x:c>
      <x:c r="D230" s="22" t="str">
        <x:v>CTQ均值 ×1.1</x:v>
      </x:c>
      <x:c r="E230" s="24" t="n">
        <x:v>146</x:v>
      </x:c>
      <x:c r="F230" s="22" t="n">
        <x:v>0.9990004611771788</x:v>
      </x:c>
      <x:c r="G230" s="22" t="n">
        <x:v>0.9906094288999616</x:v>
      </x:c>
      <x:c r="H230" s="22" t="n">
        <x:v>1</x:v>
      </x:c>
      <x:c r="I230" s="22" t="n">
        <x:v>1</x:v>
      </x:c>
      <x:c r="J230" s="22" t="n">
        <x:v>1</x:v>
      </x:c>
      <x:c r="K230" s="22" t="n">
        <x:v>1</x:v>
      </x:c>
      <x:c r="L230" s="22" t="str">
        <x:v>NA</x:v>
      </x:c>
      <x:c r="M230" s="22" t="str">
        <x:v>扰动后重新归一化</x:v>
      </x:c>
    </x:row>
    <x:row r="231" ht="23" customHeight="1">
      <x:c r="A231" s="21" t="str">
        <x:v>严格基线调整</x:v>
      </x:c>
      <x:c r="B231" s="22" t="str">
        <x:v>权重±10%</x:v>
      </x:c>
      <x:c r="C231" s="22" t="str">
        <x:v>突破优先型</x:v>
      </x:c>
      <x:c r="D231" s="22" t="str">
        <x:v>CTQ最高 ×0.9</x:v>
      </x:c>
      <x:c r="E231" s="24" t="n">
        <x:v>146</x:v>
      </x:c>
      <x:c r="F231" s="22" t="n">
        <x:v>0.998147572838015</x:v>
      </x:c>
      <x:c r="G231" s="22" t="n">
        <x:v>0.98390187811422</x:v>
      </x:c>
      <x:c r="H231" s="22" t="n">
        <x:v>1</x:v>
      </x:c>
      <x:c r="I231" s="22" t="n">
        <x:v>1</x:v>
      </x:c>
      <x:c r="J231" s="22" t="n">
        <x:v>1</x:v>
      </x:c>
      <x:c r="K231" s="22" t="n">
        <x:v>1</x:v>
      </x:c>
      <x:c r="L231" s="22" t="str">
        <x:v>NA</x:v>
      </x:c>
      <x:c r="M231" s="22" t="str">
        <x:v>扰动后重新归一化</x:v>
      </x:c>
    </x:row>
    <x:row r="232" ht="23" customHeight="1">
      <x:c r="A232" s="21" t="str">
        <x:v>严格基线调整</x:v>
      </x:c>
      <x:c r="B232" s="22" t="str">
        <x:v>权重±10%</x:v>
      </x:c>
      <x:c r="C232" s="22" t="str">
        <x:v>突破优先型</x:v>
      </x:c>
      <x:c r="D232" s="22" t="str">
        <x:v>CTQ最高 ×1.1</x:v>
      </x:c>
      <x:c r="E232" s="24" t="n">
        <x:v>146</x:v>
      </x:c>
      <x:c r="F232" s="22" t="n">
        <x:v>0.9986608495308149</x:v>
      </x:c>
      <x:c r="G232" s="22" t="n">
        <x:v>0.9860099655040245</x:v>
      </x:c>
      <x:c r="H232" s="22" t="n">
        <x:v>1</x:v>
      </x:c>
      <x:c r="I232" s="22" t="n">
        <x:v>1</x:v>
      </x:c>
      <x:c r="J232" s="22" t="n">
        <x:v>1</x:v>
      </x:c>
      <x:c r="K232" s="22" t="n">
        <x:v>1</x:v>
      </x:c>
      <x:c r="L232" s="22" t="str">
        <x:v>NA</x:v>
      </x:c>
      <x:c r="M232" s="22" t="str">
        <x:v>扰动后重新归一化</x:v>
      </x:c>
    </x:row>
    <x:row r="233" ht="23" customHeight="1">
      <x:c r="A233" s="21" t="str">
        <x:v>严格基线调整</x:v>
      </x:c>
      <x:c r="B233" s="22" t="str">
        <x:v>权重±10%</x:v>
      </x:c>
      <x:c r="C233" s="22" t="str">
        <x:v>突破优先型</x:v>
      </x:c>
      <x:c r="D233" s="22" t="str">
        <x:v>QAPro质量比例 ×0.9</x:v>
      </x:c>
      <x:c r="E233" s="24" t="n">
        <x:v>146</x:v>
      </x:c>
      <x:c r="F233" s="22" t="n">
        <x:v>0.9967891262525592</x:v>
      </x:c>
      <x:c r="G233" s="22" t="n">
        <x:v>0.9766193944039862</x:v>
      </x:c>
      <x:c r="H233" s="22" t="n">
        <x:v>1</x:v>
      </x:c>
      <x:c r="I233" s="22" t="n">
        <x:v>1</x:v>
      </x:c>
      <x:c r="J233" s="22" t="n">
        <x:v>0.9333333333333333</x:v>
      </x:c>
      <x:c r="K233" s="22" t="n">
        <x:v>0.875</x:v>
      </x:c>
      <x:c r="L233" s="22" t="str">
        <x:v>NA</x:v>
      </x:c>
      <x:c r="M233" s="22" t="str">
        <x:v>扰动后重新归一化</x:v>
      </x:c>
    </x:row>
    <x:row r="234" ht="23" customHeight="1">
      <x:c r="A234" s="21" t="str">
        <x:v>严格基线调整</x:v>
      </x:c>
      <x:c r="B234" s="22" t="str">
        <x:v>权重±10%</x:v>
      </x:c>
      <x:c r="C234" s="22" t="str">
        <x:v>突破优先型</x:v>
      </x:c>
      <x:c r="D234" s="22" t="str">
        <x:v>QAPro质量比例 ×1.1</x:v>
      </x:c>
      <x:c r="E234" s="24" t="n">
        <x:v>146</x:v>
      </x:c>
      <x:c r="F234" s="22" t="n">
        <x:v>0.99772305828006</x:v>
      </x:c>
      <x:c r="G234" s="22" t="n">
        <x:v>0.9829436565733998</x:v>
      </x:c>
      <x:c r="H234" s="22" t="n">
        <x:v>1</x:v>
      </x:c>
      <x:c r="I234" s="22" t="n">
        <x:v>1</x:v>
      </x:c>
      <x:c r="J234" s="22" t="n">
        <x:v>1</x:v>
      </x:c>
      <x:c r="K234" s="22" t="n">
        <x:v>1</x:v>
      </x:c>
      <x:c r="L234" s="22" t="str">
        <x:v>NA</x:v>
      </x:c>
      <x:c r="M234" s="22" t="str">
        <x:v>扰动后重新归一化</x:v>
      </x:c>
    </x:row>
    <x:row r="235" ht="23" customHeight="1">
      <x:c r="A235" s="21" t="str">
        <x:v>严格基线调整</x:v>
      </x:c>
      <x:c r="B235" s="22" t="str">
        <x:v>权重±10%</x:v>
      </x:c>
      <x:c r="C235" s="22" t="str">
        <x:v>质量导向型（教学诊断对照）</x:v>
      </x:c>
      <x:c r="D235" s="22" t="str">
        <x:v>CTQ合计 ×0.9</x:v>
      </x:c>
      <x:c r="E235" s="24" t="n">
        <x:v>146</x:v>
      </x:c>
      <x:c r="F235" s="22" t="n">
        <x:v>1</x:v>
      </x:c>
      <x:c r="G235" s="22" t="n">
        <x:v>1</x:v>
      </x:c>
      <x:c r="H235" s="22" t="n">
        <x:v>1</x:v>
      </x:c>
      <x:c r="I235" s="22" t="n">
        <x:v>1</x:v>
      </x:c>
      <x:c r="J235" s="22" t="n">
        <x:v>1</x:v>
      </x:c>
      <x:c r="K235" s="22" t="n">
        <x:v>1</x:v>
      </x:c>
      <x:c r="L235" s="22" t="str">
        <x:v>NA</x:v>
      </x:c>
      <x:c r="M235" s="22" t="str">
        <x:v>扰动后重新归一化</x:v>
      </x:c>
    </x:row>
    <x:row r="236" ht="23" customHeight="1">
      <x:c r="A236" s="21" t="str">
        <x:v>严格基线调整</x:v>
      </x:c>
      <x:c r="B236" s="22" t="str">
        <x:v>权重±10%</x:v>
      </x:c>
      <x:c r="C236" s="22" t="str">
        <x:v>质量导向型（教学诊断对照）</x:v>
      </x:c>
      <x:c r="D236" s="22" t="str">
        <x:v>CTQ合计 ×1.1</x:v>
      </x:c>
      <x:c r="E236" s="24" t="n">
        <x:v>146</x:v>
      </x:c>
      <x:c r="F236" s="22" t="n">
        <x:v>0.9999961407767458</x:v>
      </x:c>
      <x:c r="G236" s="22" t="n">
        <x:v>0.999808355691836</x:v>
      </x:c>
      <x:c r="H236" s="22" t="n">
        <x:v>1</x:v>
      </x:c>
      <x:c r="I236" s="22" t="n">
        <x:v>1</x:v>
      </x:c>
      <x:c r="J236" s="22" t="n">
        <x:v>1</x:v>
      </x:c>
      <x:c r="K236" s="22" t="n">
        <x:v>1</x:v>
      </x:c>
      <x:c r="L236" s="22" t="str">
        <x:v>NA</x:v>
      </x:c>
      <x:c r="M236" s="22" t="str">
        <x:v>扰动后重新归一化</x:v>
      </x:c>
    </x:row>
    <x:row r="237" ht="23" customHeight="1">
      <x:c r="A237" s="21" t="str">
        <x:v>严格基线调整</x:v>
      </x:c>
      <x:c r="B237" s="22" t="str">
        <x:v>权重±10%</x:v>
      </x:c>
      <x:c r="C237" s="22" t="str">
        <x:v>质量导向型（教学诊断对照）</x:v>
      </x:c>
      <x:c r="D237" s="22" t="str">
        <x:v>CTQ均值 ×0.9</x:v>
      </x:c>
      <x:c r="E237" s="24" t="n">
        <x:v>146</x:v>
      </x:c>
      <x:c r="F237" s="22" t="n">
        <x:v>0.9997645873814979</x:v>
      </x:c>
      <x:c r="G237" s="22" t="n">
        <x:v>0.996550402453047</x:v>
      </x:c>
      <x:c r="H237" s="22" t="n">
        <x:v>1</x:v>
      </x:c>
      <x:c r="I237" s="22" t="n">
        <x:v>1</x:v>
      </x:c>
      <x:c r="J237" s="22" t="n">
        <x:v>1</x:v>
      </x:c>
      <x:c r="K237" s="22" t="n">
        <x:v>1</x:v>
      </x:c>
      <x:c r="L237" s="22" t="str">
        <x:v>NA</x:v>
      </x:c>
      <x:c r="M237" s="22" t="str">
        <x:v>扰动后重新归一化</x:v>
      </x:c>
    </x:row>
    <x:row r="238" ht="23" customHeight="1">
      <x:c r="A238" s="21" t="str">
        <x:v>严格基线调整</x:v>
      </x:c>
      <x:c r="B238" s="22" t="str">
        <x:v>权重±10%</x:v>
      </x:c>
      <x:c r="C238" s="22" t="str">
        <x:v>质量导向型（教学诊断对照）</x:v>
      </x:c>
      <x:c r="D238" s="22" t="str">
        <x:v>CTQ均值 ×1.1</x:v>
      </x:c>
      <x:c r="E238" s="24" t="n">
        <x:v>146</x:v>
      </x:c>
      <x:c r="F238" s="22" t="n">
        <x:v>0.9991895631166317</x:v>
      </x:c>
      <x:c r="G238" s="22" t="n">
        <x:v>0.9931008049060943</x:v>
      </x:c>
      <x:c r="H238" s="22" t="n">
        <x:v>1</x:v>
      </x:c>
      <x:c r="I238" s="22" t="n">
        <x:v>1</x:v>
      </x:c>
      <x:c r="J238" s="22" t="n">
        <x:v>1</x:v>
      </x:c>
      <x:c r="K238" s="22" t="n">
        <x:v>0.9354838709677419</x:v>
      </x:c>
      <x:c r="L238" s="22" t="str">
        <x:v>NA</x:v>
      </x:c>
      <x:c r="M238" s="22" t="str">
        <x:v>扰动后重新归一化</x:v>
      </x:c>
    </x:row>
    <x:row r="239" ht="23" customHeight="1">
      <x:c r="A239" s="21" t="str">
        <x:v>严格基线调整</x:v>
      </x:c>
      <x:c r="B239" s="22" t="str">
        <x:v>权重±10%</x:v>
      </x:c>
      <x:c r="C239" s="22" t="str">
        <x:v>质量导向型（教学诊断对照）</x:v>
      </x:c>
      <x:c r="D239" s="22" t="str">
        <x:v>CTQ最高 ×0.9</x:v>
      </x:c>
      <x:c r="E239" s="24" t="n">
        <x:v>146</x:v>
      </x:c>
      <x:c r="F239" s="22" t="n">
        <x:v>0.9999845631069835</x:v>
      </x:c>
      <x:c r="G239" s="22" t="n">
        <x:v>0.9992334227673437</x:v>
      </x:c>
      <x:c r="H239" s="22" t="n">
        <x:v>1</x:v>
      </x:c>
      <x:c r="I239" s="22" t="n">
        <x:v>1</x:v>
      </x:c>
      <x:c r="J239" s="22" t="n">
        <x:v>1</x:v>
      </x:c>
      <x:c r="K239" s="22" t="n">
        <x:v>1</x:v>
      </x:c>
      <x:c r="L239" s="22" t="str">
        <x:v>NA</x:v>
      </x:c>
      <x:c r="M239" s="22" t="str">
        <x:v>扰动后重新归一化</x:v>
      </x:c>
    </x:row>
    <x:row r="240" ht="23" customHeight="1">
      <x:c r="A240" s="21" t="str">
        <x:v>严格基线调整</x:v>
      </x:c>
      <x:c r="B240" s="22" t="str">
        <x:v>权重±10%</x:v>
      </x:c>
      <x:c r="C240" s="22" t="str">
        <x:v>质量导向型（教学诊断对照）</x:v>
      </x:c>
      <x:c r="D240" s="22" t="str">
        <x:v>CTQ最高 ×1.1</x:v>
      </x:c>
      <x:c r="E240" s="24" t="n">
        <x:v>146</x:v>
      </x:c>
      <x:c r="F240" s="22" t="n">
        <x:v>0.9999845631069835</x:v>
      </x:c>
      <x:c r="G240" s="22" t="n">
        <x:v>0.9992334227673437</x:v>
      </x:c>
      <x:c r="H240" s="22" t="n">
        <x:v>1</x:v>
      </x:c>
      <x:c r="I240" s="22" t="n">
        <x:v>1</x:v>
      </x:c>
      <x:c r="J240" s="22" t="n">
        <x:v>1</x:v>
      </x:c>
      <x:c r="K240" s="22" t="n">
        <x:v>1</x:v>
      </x:c>
      <x:c r="L240" s="22" t="str">
        <x:v>NA</x:v>
      </x:c>
      <x:c r="M240" s="22" t="str">
        <x:v>扰动后重新归一化</x:v>
      </x:c>
    </x:row>
    <x:row r="241" ht="23" customHeight="1">
      <x:c r="A241" s="21" t="str">
        <x:v>严格基线调整</x:v>
      </x:c>
      <x:c r="B241" s="22" t="str">
        <x:v>权重±10%</x:v>
      </x:c>
      <x:c r="C241" s="22" t="str">
        <x:v>质量导向型（教学诊断对照）</x:v>
      </x:c>
      <x:c r="D241" s="22" t="str">
        <x:v>QAPro质量比例 ×0.9</x:v>
      </x:c>
      <x:c r="E241" s="24" t="n">
        <x:v>146</x:v>
      </x:c>
      <x:c r="F241" s="22" t="n">
        <x:v>0.9971827670244809</x:v>
      </x:c>
      <x:c r="G241" s="22" t="n">
        <x:v>0.9856266768876963</x:v>
      </x:c>
      <x:c r="H241" s="22" t="n">
        <x:v>1</x:v>
      </x:c>
      <x:c r="I241" s="22" t="n">
        <x:v>1</x:v>
      </x:c>
      <x:c r="J241" s="22" t="n">
        <x:v>1</x:v>
      </x:c>
      <x:c r="K241" s="22" t="n">
        <x:v>0.9354838709677419</x:v>
      </x:c>
      <x:c r="L241" s="22" t="str">
        <x:v>NA</x:v>
      </x:c>
      <x:c r="M241" s="22" t="str">
        <x:v>扰动后重新归一化</x:v>
      </x:c>
    </x:row>
    <x:row r="242" ht="23" customHeight="1">
      <x:c r="A242" s="21" t="str">
        <x:v>严格基线调整</x:v>
      </x:c>
      <x:c r="B242" s="22" t="str">
        <x:v>权重±10%</x:v>
      </x:c>
      <x:c r="C242" s="22" t="str">
        <x:v>质量导向型（教学诊断对照）</x:v>
      </x:c>
      <x:c r="D242" s="22" t="str">
        <x:v>QAPro质量比例 ×1.1</x:v>
      </x:c>
      <x:c r="E242" s="24" t="n">
        <x:v>146</x:v>
      </x:c>
      <x:c r="F242" s="22" t="n">
        <x:v>0.9996256553443489</x:v>
      </x:c>
      <x:c r="G242" s="22" t="n">
        <x:v>0.9954005366040628</x:v>
      </x:c>
      <x:c r="H242" s="22" t="n">
        <x:v>1</x:v>
      </x:c>
      <x:c r="I242" s="22" t="n">
        <x:v>1</x:v>
      </x:c>
      <x:c r="J242" s="22" t="n">
        <x:v>0.9333333333333333</x:v>
      </x:c>
      <x:c r="K242" s="22" t="n">
        <x:v>1</x:v>
      </x:c>
      <x:c r="L242" s="22" t="str">
        <x:v>NA</x:v>
      </x:c>
      <x:c r="M242" s="22" t="str">
        <x:v>扰动后重新归一化</x:v>
      </x:c>
    </x:row>
    <x:row r="243" ht="23" customHeight="1">
      <x:c r="A243" s="21" t="str">
        <x:v>严格基线调整</x:v>
      </x:c>
      <x:c r="B243" s="22" t="str">
        <x:v>权重±10%</x:v>
      </x:c>
      <x:c r="C243" s="22" t="str">
        <x:v>分组熵权型</x:v>
      </x:c>
      <x:c r="D243" s="22" t="str">
        <x:v>CTQ合计 ×0.9</x:v>
      </x:c>
      <x:c r="E243" s="24" t="n">
        <x:v>146</x:v>
      </x:c>
      <x:c r="F243" s="22" t="n">
        <x:v>1</x:v>
      </x:c>
      <x:c r="G243" s="22" t="n">
        <x:v>1</x:v>
      </x:c>
      <x:c r="H243" s="22" t="n">
        <x:v>1</x:v>
      </x:c>
      <x:c r="I243" s="22" t="n">
        <x:v>1</x:v>
      </x:c>
      <x:c r="J243" s="22" t="n">
        <x:v>1</x:v>
      </x:c>
      <x:c r="K243" s="22" t="n">
        <x:v>1</x:v>
      </x:c>
      <x:c r="L243" s="22" t="str">
        <x:v>NA</x:v>
      </x:c>
      <x:c r="M243" s="22" t="str">
        <x:v>扰动后重新归一化</x:v>
      </x:c>
    </x:row>
    <x:row r="244" ht="23" customHeight="1">
      <x:c r="A244" s="21" t="str">
        <x:v>严格基线调整</x:v>
      </x:c>
      <x:c r="B244" s="22" t="str">
        <x:v>权重±10%</x:v>
      </x:c>
      <x:c r="C244" s="22" t="str">
        <x:v>分组熵权型</x:v>
      </x:c>
      <x:c r="D244" s="22" t="str">
        <x:v>CTQ合计 ×1.1</x:v>
      </x:c>
      <x:c r="E244" s="24" t="n">
        <x:v>146</x:v>
      </x:c>
      <x:c r="F244" s="22" t="n">
        <x:v>1</x:v>
      </x:c>
      <x:c r="G244" s="22" t="n">
        <x:v>1</x:v>
      </x:c>
      <x:c r="H244" s="22" t="n">
        <x:v>1</x:v>
      </x:c>
      <x:c r="I244" s="22" t="n">
        <x:v>1</x:v>
      </x:c>
      <x:c r="J244" s="22" t="n">
        <x:v>1</x:v>
      </x:c>
      <x:c r="K244" s="22" t="n">
        <x:v>1</x:v>
      </x:c>
      <x:c r="L244" s="22" t="str">
        <x:v>NA</x:v>
      </x:c>
      <x:c r="M244" s="22" t="str">
        <x:v>扰动后重新归一化</x:v>
      </x:c>
    </x:row>
    <x:row r="245" ht="23" customHeight="1">
      <x:c r="A245" s="21" t="str">
        <x:v>严格基线调整</x:v>
      </x:c>
      <x:c r="B245" s="22" t="str">
        <x:v>权重±10%</x:v>
      </x:c>
      <x:c r="C245" s="22" t="str">
        <x:v>分组熵权型</x:v>
      </x:c>
      <x:c r="D245" s="22" t="str">
        <x:v>CTQ均值 ×0.9</x:v>
      </x:c>
      <x:c r="E245" s="24" t="n">
        <x:v>146</x:v>
      </x:c>
      <x:c r="F245" s="22" t="n">
        <x:v>0.9984138592425502</x:v>
      </x:c>
      <x:c r="G245" s="22" t="n">
        <x:v>0.9863932541203526</x:v>
      </x:c>
      <x:c r="H245" s="22" t="n">
        <x:v>0.8666666666666667</x:v>
      </x:c>
      <x:c r="I245" s="22" t="n">
        <x:v>0.8787878787878788</x:v>
      </x:c>
      <x:c r="J245" s="22" t="n">
        <x:v>0.9333333333333333</x:v>
      </x:c>
      <x:c r="K245" s="22" t="n">
        <x:v>0.9354838709677419</x:v>
      </x:c>
      <x:c r="L245" s="22" t="str">
        <x:v>NA</x:v>
      </x:c>
      <x:c r="M245" s="22" t="str">
        <x:v>扰动后重新归一化</x:v>
      </x:c>
    </x:row>
    <x:row r="246" ht="23" customHeight="1">
      <x:c r="A246" s="21" t="str">
        <x:v>严格基线调整</x:v>
      </x:c>
      <x:c r="B246" s="22" t="str">
        <x:v>权重±10%</x:v>
      </x:c>
      <x:c r="C246" s="22" t="str">
        <x:v>分组熵权型</x:v>
      </x:c>
      <x:c r="D246" s="22" t="str">
        <x:v>CTQ均值 ×1.1</x:v>
      </x:c>
      <x:c r="E246" s="24" t="n">
        <x:v>146</x:v>
      </x:c>
      <x:c r="F246" s="22" t="n">
        <x:v>0.9997337135954647</x:v>
      </x:c>
      <x:c r="G246" s="22" t="n">
        <x:v>0.9942506707550786</x:v>
      </x:c>
      <x:c r="H246" s="22" t="n">
        <x:v>1</x:v>
      </x:c>
      <x:c r="I246" s="22" t="n">
        <x:v>1</x:v>
      </x:c>
      <x:c r="J246" s="22" t="n">
        <x:v>1</x:v>
      </x:c>
      <x:c r="K246" s="22" t="n">
        <x:v>1</x:v>
      </x:c>
      <x:c r="L246" s="22" t="str">
        <x:v>NA</x:v>
      </x:c>
      <x:c r="M246" s="22" t="str">
        <x:v>扰动后重新归一化</x:v>
      </x:c>
    </x:row>
    <x:row r="247" ht="23" customHeight="1">
      <x:c r="A247" s="21" t="str">
        <x:v>严格基线调整</x:v>
      </x:c>
      <x:c r="B247" s="22" t="str">
        <x:v>权重±10%</x:v>
      </x:c>
      <x:c r="C247" s="22" t="str">
        <x:v>分组熵权型</x:v>
      </x:c>
      <x:c r="D247" s="22" t="str">
        <x:v>CTQ最高 ×0.9</x:v>
      </x:c>
      <x:c r="E247" s="24" t="n">
        <x:v>146</x:v>
      </x:c>
      <x:c r="F247" s="22" t="n">
        <x:v>0.998491043707633</x:v>
      </x:c>
      <x:c r="G247" s="22" t="n">
        <x:v>0.9867765427366806</x:v>
      </x:c>
      <x:c r="H247" s="22" t="n">
        <x:v>0.8666666666666667</x:v>
      </x:c>
      <x:c r="I247" s="22" t="n">
        <x:v>0.8787878787878788</x:v>
      </x:c>
      <x:c r="J247" s="22" t="n">
        <x:v>0.9333333333333333</x:v>
      </x:c>
      <x:c r="K247" s="22" t="n">
        <x:v>0.9354838709677419</x:v>
      </x:c>
      <x:c r="L247" s="22" t="str">
        <x:v>NA</x:v>
      </x:c>
      <x:c r="M247" s="22" t="str">
        <x:v>扰动后重新归一化</x:v>
      </x:c>
    </x:row>
    <x:row r="248" ht="23" customHeight="1">
      <x:c r="A248" s="21" t="str">
        <x:v>严格基线调整</x:v>
      </x:c>
      <x:c r="B248" s="22" t="str">
        <x:v>权重±10%</x:v>
      </x:c>
      <x:c r="C248" s="22" t="str">
        <x:v>分组熵权型</x:v>
      </x:c>
      <x:c r="D248" s="22" t="str">
        <x:v>CTQ最高 ×1.1</x:v>
      </x:c>
      <x:c r="E248" s="24" t="n">
        <x:v>146</x:v>
      </x:c>
      <x:c r="F248" s="22" t="n">
        <x:v>0.9996179368978406</x:v>
      </x:c>
      <x:c r="G248" s="22" t="n">
        <x:v>0.9929091605979302</x:v>
      </x:c>
      <x:c r="H248" s="22" t="n">
        <x:v>1</x:v>
      </x:c>
      <x:c r="I248" s="22" t="n">
        <x:v>1</x:v>
      </x:c>
      <x:c r="J248" s="22" t="n">
        <x:v>1</x:v>
      </x:c>
      <x:c r="K248" s="22" t="n">
        <x:v>1</x:v>
      </x:c>
      <x:c r="L248" s="22" t="str">
        <x:v>NA</x:v>
      </x:c>
      <x:c r="M248" s="22" t="str">
        <x:v>扰动后重新归一化</x:v>
      </x:c>
    </x:row>
    <x:row r="249" ht="23" customHeight="1">
      <x:c r="A249" s="21" t="str">
        <x:v>严格基线调整</x:v>
      </x:c>
      <x:c r="B249" s="22" t="str">
        <x:v>权重±10%</x:v>
      </x:c>
      <x:c r="C249" s="22" t="str">
        <x:v>分组熵权型</x:v>
      </x:c>
      <x:c r="D249" s="22" t="str">
        <x:v>QAPro质量比例 ×0.9</x:v>
      </x:c>
      <x:c r="E249" s="24" t="n">
        <x:v>146</x:v>
      </x:c>
      <x:c r="F249" s="22" t="n">
        <x:v>0.9979932039078494</x:v>
      </x:c>
      <x:c r="G249" s="22" t="n">
        <x:v>0.9810272134917594</x:v>
      </x:c>
      <x:c r="H249" s="22" t="n">
        <x:v>1</x:v>
      </x:c>
      <x:c r="I249" s="22" t="n">
        <x:v>1</x:v>
      </x:c>
      <x:c r="J249" s="22" t="n">
        <x:v>1</x:v>
      </x:c>
      <x:c r="K249" s="22" t="n">
        <x:v>1</x:v>
      </x:c>
      <x:c r="L249" s="22" t="str">
        <x:v>NA</x:v>
      </x:c>
      <x:c r="M249" s="22" t="str">
        <x:v>扰动后重新归一化</x:v>
      </x:c>
    </x:row>
    <x:row r="250" ht="23" customHeight="1">
      <x:c r="A250" s="21" t="str">
        <x:v>严格基线调整</x:v>
      </x:c>
      <x:c r="B250" s="22" t="str">
        <x:v>权重±10%</x:v>
      </x:c>
      <x:c r="C250" s="22" t="str">
        <x:v>分组熵权型</x:v>
      </x:c>
      <x:c r="D250" s="22" t="str">
        <x:v>QAPro质量比例 ×1.1</x:v>
      </x:c>
      <x:c r="E250" s="24" t="n">
        <x:v>146</x:v>
      </x:c>
      <x:c r="F250" s="22" t="n">
        <x:v>0.9959478155831577</x:v>
      </x:c>
      <x:c r="G250" s="22" t="n">
        <x:v>0.9762361057876581</x:v>
      </x:c>
      <x:c r="H250" s="22" t="n">
        <x:v>0.8666666666666667</x:v>
      </x:c>
      <x:c r="I250" s="22" t="n">
        <x:v>0.8787878787878788</x:v>
      </x:c>
      <x:c r="J250" s="22" t="n">
        <x:v>0.9333333333333333</x:v>
      </x:c>
      <x:c r="K250" s="22" t="n">
        <x:v>0.9354838709677419</x:v>
      </x:c>
      <x:c r="L250" s="22" t="str">
        <x:v>NA</x:v>
      </x:c>
      <x:c r="M250" s="22" t="str">
        <x:v>扰动后重新归一化</x:v>
      </x:c>
    </x:row>
    <x:row r="251" ht="23" customHeight="1">
      <x:c r="A251" s="21" t="str">
        <x:v>严格基线调整</x:v>
      </x:c>
      <x:c r="B251" s="22" t="str">
        <x:v>删除指标</x:v>
      </x:c>
      <x:c r="C251" s="22" t="str">
        <x:v>均衡型</x:v>
      </x:c>
      <x:c r="D251" s="22" t="str">
        <x:v>CTQ合计</x:v>
      </x:c>
      <x:c r="E251" s="24" t="n">
        <x:v>146</x:v>
      </x:c>
      <x:c r="F251" s="22" t="n">
        <x:v>0.9989502912748751</x:v>
      </x:c>
      <x:c r="G251" s="22" t="n">
        <x:v>0.9890762744346493</x:v>
      </x:c>
      <x:c r="H251" s="22" t="n">
        <x:v>0.8387096774193549</x:v>
      </x:c>
      <x:c r="I251" s="22" t="n">
        <x:v>1</x:v>
      </x:c>
      <x:c r="J251" s="22" t="n">
        <x:v>0.9333333333333333</x:v>
      </x:c>
      <x:c r="K251" s="22" t="n">
        <x:v>0.9354838709677419</x:v>
      </x:c>
      <x:c r="L251" s="22" t="str">
        <x:v>NA</x:v>
      </x:c>
      <x:c r="M251" s="22" t="str">
        <x:v>删除后共同样本重算</x:v>
      </x:c>
    </x:row>
    <x:row r="252" ht="23" customHeight="1">
      <x:c r="A252" s="21" t="str">
        <x:v>严格基线调整</x:v>
      </x:c>
      <x:c r="B252" s="22" t="str">
        <x:v>删除指标</x:v>
      </x:c>
      <x:c r="C252" s="22" t="str">
        <x:v>均衡型</x:v>
      </x:c>
      <x:c r="D252" s="22" t="str">
        <x:v>CTQ均值</x:v>
      </x:c>
      <x:c r="E252" s="24" t="n">
        <x:v>146</x:v>
      </x:c>
      <x:c r="F252" s="22" t="n">
        <x:v>0.9761075488336463</x:v>
      </x:c>
      <x:c r="G252" s="22" t="n">
        <x:v>0.9296665389037946</x:v>
      </x:c>
      <x:c r="H252" s="22" t="n">
        <x:v>0.8666666666666667</x:v>
      </x:c>
      <x:c r="I252" s="22" t="n">
        <x:v>0.90625</x:v>
      </x:c>
      <x:c r="J252" s="22" t="n">
        <x:v>0.8709677419354839</x:v>
      </x:c>
      <x:c r="K252" s="22" t="n">
        <x:v>0.875</x:v>
      </x:c>
      <x:c r="L252" s="22" t="str">
        <x:v>NA</x:v>
      </x:c>
      <x:c r="M252" s="22" t="str">
        <x:v>删除后共同样本重算</x:v>
      </x:c>
    </x:row>
    <x:row r="253" ht="23" customHeight="1">
      <x:c r="A253" s="21" t="str">
        <x:v>严格基线调整</x:v>
      </x:c>
      <x:c r="B253" s="22" t="str">
        <x:v>删除指标</x:v>
      </x:c>
      <x:c r="C253" s="22" t="str">
        <x:v>均衡型</x:v>
      </x:c>
      <x:c r="D253" s="22" t="str">
        <x:v>CTQ最高</x:v>
      </x:c>
      <x:c r="E253" s="24" t="n">
        <x:v>146</x:v>
      </x:c>
      <x:c r="F253" s="22" t="n">
        <x:v>0.9820275973054903</x:v>
      </x:c>
      <x:c r="G253" s="22" t="n">
        <x:v>0.947872748179379</x:v>
      </x:c>
      <x:c r="H253" s="22" t="n">
        <x:v>1</x:v>
      </x:c>
      <x:c r="I253" s="22" t="n">
        <x:v>1</x:v>
      </x:c>
      <x:c r="J253" s="22" t="n">
        <x:v>0.8709677419354839</x:v>
      </x:c>
      <x:c r="K253" s="22" t="n">
        <x:v>0.875</x:v>
      </x:c>
      <x:c r="L253" s="22" t="str">
        <x:v>NA</x:v>
      </x:c>
      <x:c r="M253" s="22" t="str">
        <x:v>删除后共同样本重算</x:v>
      </x:c>
    </x:row>
    <x:row r="254" ht="23" customHeight="1">
      <x:c r="A254" s="21" t="str">
        <x:v>严格基线调整</x:v>
      </x:c>
      <x:c r="B254" s="22" t="str">
        <x:v>删除指标</x:v>
      </x:c>
      <x:c r="C254" s="22" t="str">
        <x:v>均衡型</x:v>
      </x:c>
      <x:c r="D254" s="22" t="str">
        <x:v>QAPro质量比例</x:v>
      </x:c>
      <x:c r="E254" s="24" t="n">
        <x:v>146</x:v>
      </x:c>
      <x:c r="F254" s="22" t="n">
        <x:v>0.48669543370238505</x:v>
      </x:c>
      <x:c r="G254" s="22" t="n">
        <x:v>0.45590677905476695</x:v>
      </x:c>
      <x:c r="H254" s="22" t="n">
        <x:v>0.375</x:v>
      </x:c>
      <x:c r="I254" s="22" t="n">
        <x:v>0.4318181818181818</x:v>
      </x:c>
      <x:c r="J254" s="22" t="n">
        <x:v>0.23404255319148937</x:v>
      </x:c>
      <x:c r="K254" s="22" t="n">
        <x:v>0.23636363636363636</x:v>
      </x:c>
      <x:c r="L254" s="22" t="str">
        <x:v>NA</x:v>
      </x:c>
      <x:c r="M254" s="22" t="str">
        <x:v>删除后共同样本重算</x:v>
      </x:c>
    </x:row>
    <x:row r="255" ht="23" customHeight="1">
      <x:c r="A255" s="21" t="str">
        <x:v>严格基线调整</x:v>
      </x:c>
      <x:c r="B255" s="22" t="str">
        <x:v>删除指标</x:v>
      </x:c>
      <x:c r="C255" s="22" t="str">
        <x:v>突破优先型</x:v>
      </x:c>
      <x:c r="D255" s="22" t="str">
        <x:v>CTQ合计</x:v>
      </x:c>
      <x:c r="E255" s="24" t="n">
        <x:v>146</x:v>
      </x:c>
      <x:c r="F255" s="22" t="n">
        <x:v>0.9998224757303099</x:v>
      </x:c>
      <x:c r="G255" s="22" t="n">
        <x:v>0.9973169796857033</x:v>
      </x:c>
      <x:c r="H255" s="22" t="n">
        <x:v>1</x:v>
      </x:c>
      <x:c r="I255" s="22" t="n">
        <x:v>1</x:v>
      </x:c>
      <x:c r="J255" s="22" t="n">
        <x:v>1</x:v>
      </x:c>
      <x:c r="K255" s="22" t="n">
        <x:v>1</x:v>
      </x:c>
      <x:c r="L255" s="22" t="str">
        <x:v>NA</x:v>
      </x:c>
      <x:c r="M255" s="22" t="str">
        <x:v>删除后共同样本重算</x:v>
      </x:c>
    </x:row>
    <x:row r="256" ht="23" customHeight="1">
      <x:c r="A256" s="21" t="str">
        <x:v>严格基线调整</x:v>
      </x:c>
      <x:c r="B256" s="22" t="str">
        <x:v>删除指标</x:v>
      </x:c>
      <x:c r="C256" s="22" t="str">
        <x:v>突破优先型</x:v>
      </x:c>
      <x:c r="D256" s="22" t="str">
        <x:v>CTQ均值</x:v>
      </x:c>
      <x:c r="E256" s="24" t="n">
        <x:v>146</x:v>
      </x:c>
      <x:c r="F256" s="22" t="n">
        <x:v>0.971634709082103</x:v>
      </x:c>
      <x:c r="G256" s="22" t="n">
        <x:v>0.9118436182445381</x:v>
      </x:c>
      <x:c r="H256" s="22" t="n">
        <x:v>0.8064516129032258</x:v>
      </x:c>
      <x:c r="I256" s="22" t="n">
        <x:v>0.8235294117647058</x:v>
      </x:c>
      <x:c r="J256" s="22" t="n">
        <x:v>0.9333333333333333</x:v>
      </x:c>
      <x:c r="K256" s="22" t="n">
        <x:v>0.9354838709677419</x:v>
      </x:c>
      <x:c r="L256" s="22" t="str">
        <x:v>NA</x:v>
      </x:c>
      <x:c r="M256" s="22" t="str">
        <x:v>删除后共同样本重算</x:v>
      </x:c>
    </x:row>
    <x:row r="257" ht="23" customHeight="1">
      <x:c r="A257" s="21" t="str">
        <x:v>严格基线调整</x:v>
      </x:c>
      <x:c r="B257" s="22" t="str">
        <x:v>删除指标</x:v>
      </x:c>
      <x:c r="C257" s="22" t="str">
        <x:v>突破优先型</x:v>
      </x:c>
      <x:c r="D257" s="22" t="str">
        <x:v>CTQ最高</x:v>
      </x:c>
      <x:c r="E257" s="24" t="n">
        <x:v>146</x:v>
      </x:c>
      <x:c r="F257" s="22" t="n">
        <x:v>0.894153083808822</x:v>
      </x:c>
      <x:c r="G257" s="22" t="n">
        <x:v>0.8075891146032963</x:v>
      </x:c>
      <x:c r="H257" s="22" t="n">
        <x:v>0.6764705882352942</x:v>
      </x:c>
      <x:c r="I257" s="22" t="n">
        <x:v>0.8235294117647058</x:v>
      </x:c>
      <x:c r="J257" s="22" t="n">
        <x:v>0.7575757575757576</x:v>
      </x:c>
      <x:c r="K257" s="22" t="n">
        <x:v>0.8181818181818182</x:v>
      </x:c>
      <x:c r="L257" s="22" t="str">
        <x:v>NA</x:v>
      </x:c>
      <x:c r="M257" s="22" t="str">
        <x:v>删除后共同样本重算</x:v>
      </x:c>
    </x:row>
    <x:row r="258" ht="23" customHeight="1">
      <x:c r="A258" s="21" t="str">
        <x:v>严格基线调整</x:v>
      </x:c>
      <x:c r="B258" s="22" t="str">
        <x:v>删除指标</x:v>
      </x:c>
      <x:c r="C258" s="22" t="str">
        <x:v>突破优先型</x:v>
      </x:c>
      <x:c r="D258" s="22" t="str">
        <x:v>QAPro质量比例</x:v>
      </x:c>
      <x:c r="E258" s="24" t="n">
        <x:v>146</x:v>
      </x:c>
      <x:c r="F258" s="22" t="n">
        <x:v>0.7183815822195041</x:v>
      </x:c>
      <x:c r="G258" s="22" t="n">
        <x:v>0.6169854715909566</x:v>
      </x:c>
      <x:c r="H258" s="22" t="n">
        <x:v>0.4864864864864865</x:v>
      </x:c>
      <x:c r="I258" s="22" t="n">
        <x:v>0.5238095238095238</x:v>
      </x:c>
      <x:c r="J258" s="22" t="n">
        <x:v>0.23404255319148937</x:v>
      </x:c>
      <x:c r="K258" s="22" t="n">
        <x:v>0.23636363636363636</x:v>
      </x:c>
      <x:c r="L258" s="22" t="str">
        <x:v>NA</x:v>
      </x:c>
      <x:c r="M258" s="22" t="str">
        <x:v>删除后共同样本重算</x:v>
      </x:c>
    </x:row>
    <x:row r="259" ht="23" customHeight="1">
      <x:c r="A259" s="21" t="str">
        <x:v>严格基线调整</x:v>
      </x:c>
      <x:c r="B259" s="22" t="str">
        <x:v>删除指标</x:v>
      </x:c>
      <x:c r="C259" s="22" t="str">
        <x:v>质量导向型（教学诊断对照）</x:v>
      </x:c>
      <x:c r="D259" s="22" t="str">
        <x:v>CTQ合计</x:v>
      </x:c>
      <x:c r="E259" s="24" t="n">
        <x:v>146</x:v>
      </x:c>
      <x:c r="F259" s="22" t="n">
        <x:v>0.9996333737908573</x:v>
      </x:c>
      <x:c r="G259" s="22" t="n">
        <x:v>0.9948256036795707</x:v>
      </x:c>
      <x:c r="H259" s="22" t="n">
        <x:v>0.8387096774193549</x:v>
      </x:c>
      <x:c r="I259" s="22" t="n">
        <x:v>1</x:v>
      </x:c>
      <x:c r="J259" s="22" t="n">
        <x:v>1</x:v>
      </x:c>
      <x:c r="K259" s="22" t="n">
        <x:v>1</x:v>
      </x:c>
      <x:c r="L259" s="22" t="str">
        <x:v>NA</x:v>
      </x:c>
      <x:c r="M259" s="22" t="str">
        <x:v>删除后共同样本重算</x:v>
      </x:c>
    </x:row>
    <x:row r="260" ht="23" customHeight="1">
      <x:c r="A260" s="21" t="str">
        <x:v>严格基线调整</x:v>
      </x:c>
      <x:c r="B260" s="22" t="str">
        <x:v>删除指标</x:v>
      </x:c>
      <x:c r="C260" s="22" t="str">
        <x:v>质量导向型（教学诊断对照）</x:v>
      </x:c>
      <x:c r="D260" s="22" t="str">
        <x:v>CTQ均值</x:v>
      </x:c>
      <x:c r="E260" s="24" t="n">
        <x:v>146</x:v>
      </x:c>
      <x:c r="F260" s="22" t="n">
        <x:v>0.9823401943890754</x:v>
      </x:c>
      <x:c r="G260" s="22" t="n">
        <x:v>0.943464929091606</x:v>
      </x:c>
      <x:c r="H260" s="22" t="n">
        <x:v>0.8666666666666667</x:v>
      </x:c>
      <x:c r="I260" s="22" t="n">
        <x:v>0.90625</x:v>
      </x:c>
      <x:c r="J260" s="22" t="n">
        <x:v>0.9333333333333333</x:v>
      </x:c>
      <x:c r="K260" s="22" t="n">
        <x:v>1</x:v>
      </x:c>
      <x:c r="L260" s="22" t="str">
        <x:v>NA</x:v>
      </x:c>
      <x:c r="M260" s="22" t="str">
        <x:v>删除后共同样本重算</x:v>
      </x:c>
    </x:row>
    <x:row r="261" ht="23" customHeight="1">
      <x:c r="A261" s="21" t="str">
        <x:v>严格基线调整</x:v>
      </x:c>
      <x:c r="B261" s="22" t="str">
        <x:v>删除指标</x:v>
      </x:c>
      <x:c r="C261" s="22" t="str">
        <x:v>质量导向型（教学诊断对照）</x:v>
      </x:c>
      <x:c r="D261" s="22" t="str">
        <x:v>CTQ最高</x:v>
      </x:c>
      <x:c r="E261" s="24" t="n">
        <x:v>146</x:v>
      </x:c>
      <x:c r="F261" s="22" t="n">
        <x:v>0.9908111894319032</x:v>
      </x:c>
      <x:c r="G261" s="22" t="n">
        <x:v>0.9701034879264085</x:v>
      </x:c>
      <x:c r="H261" s="22" t="n">
        <x:v>1</x:v>
      </x:c>
      <x:c r="I261" s="22" t="n">
        <x:v>1</x:v>
      </x:c>
      <x:c r="J261" s="22" t="n">
        <x:v>0.9333333333333333</x:v>
      </x:c>
      <x:c r="K261" s="22" t="n">
        <x:v>1</x:v>
      </x:c>
      <x:c r="L261" s="22" t="str">
        <x:v>NA</x:v>
      </x:c>
      <x:c r="M261" s="22" t="str">
        <x:v>删除后共同样本重算</x:v>
      </x:c>
    </x:row>
    <x:row r="262" ht="23" customHeight="1">
      <x:c r="A262" s="21" t="str">
        <x:v>严格基线调整</x:v>
      </x:c>
      <x:c r="B262" s="22" t="str">
        <x:v>删除指标</x:v>
      </x:c>
      <x:c r="C262" s="22" t="str">
        <x:v>质量导向型（教学诊断对照）</x:v>
      </x:c>
      <x:c r="D262" s="22" t="str">
        <x:v>QAPro质量比例</x:v>
      </x:c>
      <x:c r="E262" s="24" t="n">
        <x:v>146</x:v>
      </x:c>
      <x:c r="F262" s="22" t="n">
        <x:v>0.442175766864777</x:v>
      </x:c>
      <x:c r="G262" s="22" t="n">
        <x:v>0.4336956883573308</x:v>
      </x:c>
      <x:c r="H262" s="22" t="n">
        <x:v>0.375</x:v>
      </x:c>
      <x:c r="I262" s="22" t="n">
        <x:v>0.4318181818181818</x:v>
      </x:c>
      <x:c r="J262" s="22" t="n">
        <x:v>0.20833333333333334</x:v>
      </x:c>
      <x:c r="K262" s="22" t="n">
        <x:v>0.21428571428571427</x:v>
      </x:c>
      <x:c r="L262" s="22" t="str">
        <x:v>NA</x:v>
      </x:c>
      <x:c r="M262" s="22" t="str">
        <x:v>删除后共同样本重算</x:v>
      </x:c>
    </x:row>
    <x:row r="263" ht="23" customHeight="1">
      <x:c r="A263" s="21" t="str">
        <x:v>严格基线调整</x:v>
      </x:c>
      <x:c r="B263" s="22" t="str">
        <x:v>删除指标</x:v>
      </x:c>
      <x:c r="C263" s="22" t="str">
        <x:v>分组熵权型</x:v>
      </x:c>
      <x:c r="D263" s="22" t="str">
        <x:v>CTQ合计</x:v>
      </x:c>
      <x:c r="E263" s="24" t="n">
        <x:v>146</x:v>
      </x:c>
      <x:c r="F263" s="22" t="n">
        <x:v>1</x:v>
      </x:c>
      <x:c r="G263" s="22" t="n">
        <x:v>1</x:v>
      </x:c>
      <x:c r="H263" s="22" t="n">
        <x:v>1</x:v>
      </x:c>
      <x:c r="I263" s="22" t="n">
        <x:v>1</x:v>
      </x:c>
      <x:c r="J263" s="22" t="n">
        <x:v>1</x:v>
      </x:c>
      <x:c r="K263" s="22" t="n">
        <x:v>1</x:v>
      </x:c>
      <x:c r="L263" s="22" t="str">
        <x:v>NA</x:v>
      </x:c>
      <x:c r="M263" s="22" t="str">
        <x:v>删除后共同样本重算</x:v>
      </x:c>
    </x:row>
    <x:row r="264" ht="23" customHeight="1">
      <x:c r="A264" s="21" t="str">
        <x:v>严格基线调整</x:v>
      </x:c>
      <x:c r="B264" s="22" t="str">
        <x:v>删除指标</x:v>
      </x:c>
      <x:c r="C264" s="22" t="str">
        <x:v>分组熵权型</x:v>
      </x:c>
      <x:c r="D264" s="22" t="str">
        <x:v>CTQ均值</x:v>
      </x:c>
      <x:c r="E264" s="24" t="n">
        <x:v>146</x:v>
      </x:c>
      <x:c r="F264" s="22" t="n">
        <x:v>0.945457597749301</x:v>
      </x:c>
      <x:c r="G264" s="22" t="n">
        <x:v>0.8809888846301265</x:v>
      </x:c>
      <x:c r="H264" s="22" t="n">
        <x:v>0.8064516129032258</x:v>
      </x:c>
      <x:c r="I264" s="22" t="n">
        <x:v>0.8235294117647058</x:v>
      </x:c>
      <x:c r="J264" s="22" t="n">
        <x:v>0.8125</x:v>
      </x:c>
      <x:c r="K264" s="22" t="n">
        <x:v>0.8181818181818182</x:v>
      </x:c>
      <x:c r="L264" s="22" t="str">
        <x:v>NA</x:v>
      </x:c>
      <x:c r="M264" s="22" t="str">
        <x:v>删除后共同样本重算</x:v>
      </x:c>
    </x:row>
    <x:row r="265" ht="23" customHeight="1">
      <x:c r="A265" s="21" t="str">
        <x:v>严格基线调整</x:v>
      </x:c>
      <x:c r="B265" s="22" t="str">
        <x:v>删除指标</x:v>
      </x:c>
      <x:c r="C265" s="22" t="str">
        <x:v>分组熵权型</x:v>
      </x:c>
      <x:c r="D265" s="22" t="str">
        <x:v>CTQ最高</x:v>
      </x:c>
      <x:c r="E265" s="24" t="n">
        <x:v>146</x:v>
      </x:c>
      <x:c r="F265" s="22" t="n">
        <x:v>0.9473601948135899</x:v>
      </x:c>
      <x:c r="G265" s="22" t="n">
        <x:v>0.8859716366423916</x:v>
      </x:c>
      <x:c r="H265" s="22" t="n">
        <x:v>0.8333333333333334</x:v>
      </x:c>
      <x:c r="I265" s="22" t="n">
        <x:v>0.8484848484848485</x:v>
      </x:c>
      <x:c r="J265" s="22" t="n">
        <x:v>0.8125</x:v>
      </x:c>
      <x:c r="K265" s="22" t="n">
        <x:v>0.8181818181818182</x:v>
      </x:c>
      <x:c r="L265" s="22" t="str">
        <x:v>NA</x:v>
      </x:c>
      <x:c r="M265" s="22" t="str">
        <x:v>删除后共同样本重算</x:v>
      </x:c>
    </x:row>
    <x:row r="266" ht="23" customHeight="1">
      <x:c r="A266" s="21" t="str">
        <x:v>严格基线调整</x:v>
      </x:c>
      <x:c r="B266" s="22" t="str">
        <x:v>删除指标</x:v>
      </x:c>
      <x:c r="C266" s="22" t="str">
        <x:v>分组熵权型</x:v>
      </x:c>
      <x:c r="D266" s="22" t="str">
        <x:v>QAPro质量比例</x:v>
      </x:c>
      <x:c r="E266" s="24" t="n">
        <x:v>146</x:v>
      </x:c>
      <x:c r="F266" s="22" t="n">
        <x:v>0.6252879823855767</x:v>
      </x:c>
      <x:c r="G266" s="22" t="n">
        <x:v>0.5466825410355932</x:v>
      </x:c>
      <x:c r="H266" s="22" t="n">
        <x:v>0.4722222222222222</x:v>
      </x:c>
      <x:c r="I266" s="22" t="n">
        <x:v>0.5121951219512195</x:v>
      </x:c>
      <x:c r="J266" s="22" t="n">
        <x:v>0.23404255319148937</x:v>
      </x:c>
      <x:c r="K266" s="22" t="n">
        <x:v>0.23636363636363636</x:v>
      </x:c>
      <x:c r="L266" s="22" t="str">
        <x:v>NA</x:v>
      </x:c>
      <x:c r="M266" s="22" t="str">
        <x:v>删除后共同样本重算</x:v>
      </x:c>
    </x:row>
    <x:row r="267" ht="23" customHeight="1">
      <x:c r="A267" s="21" t="str">
        <x:v>严格基线调整</x:v>
      </x:c>
      <x:c r="B267" s="22" t="str">
        <x:v>边际递减</x:v>
      </x:c>
      <x:c r="C267" s="22" t="str">
        <x:v>均衡型</x:v>
      </x:c>
      <x:c r="D267" s="22" t="str">
        <x:v>固定凹函数</x:v>
      </x:c>
      <x:c r="E267" s="24" t="n">
        <x:v>146</x:v>
      </x:c>
      <x:c r="F267" s="22" t="n">
        <x:v>0.9795576944228436</x:v>
      </x:c>
      <x:c r="G267" s="22" t="n">
        <x:v>0.9402069758528172</x:v>
      </x:c>
      <x:c r="H267" s="22" t="n">
        <x:v>1</x:v>
      </x:c>
      <x:c r="I267" s="22" t="n">
        <x:v>1</x:v>
      </x:c>
      <x:c r="J267" s="22" t="n">
        <x:v>0.9333333333333333</x:v>
      </x:c>
      <x:c r="K267" s="22" t="n">
        <x:v>0.9354838709677419</x:v>
      </x:c>
      <x:c r="L267" s="22" t="str">
        <x:v>NA</x:v>
      </x:c>
      <x:c r="M267" s="22" t="str">
        <x:v>f(z)=(1-exp(-2z))/(1-exp(-2))</x:v>
      </x:c>
    </x:row>
    <x:row r="268" ht="23" customHeight="1">
      <x:c r="A268" s="21" t="str">
        <x:v>严格基线调整</x:v>
      </x:c>
      <x:c r="B268" s="22" t="str">
        <x:v>边际递减</x:v>
      </x:c>
      <x:c r="C268" s="22" t="str">
        <x:v>突破优先型</x:v>
      </x:c>
      <x:c r="D268" s="22" t="str">
        <x:v>固定凹函数</x:v>
      </x:c>
      <x:c r="E268" s="24" t="n">
        <x:v>146</x:v>
      </x:c>
      <x:c r="F268" s="22" t="n">
        <x:v>0.9683312139765631</x:v>
      </x:c>
      <x:c r="G268" s="22" t="n">
        <x:v>0.899003449597547</x:v>
      </x:c>
      <x:c r="H268" s="22" t="n">
        <x:v>0.8666666666666667</x:v>
      </x:c>
      <x:c r="I268" s="22" t="n">
        <x:v>0.8484848484848485</x:v>
      </x:c>
      <x:c r="J268" s="22" t="n">
        <x:v>0.7</x:v>
      </x:c>
      <x:c r="K268" s="22" t="n">
        <x:v>0.5</x:v>
      </x:c>
      <x:c r="L268" s="22" t="str">
        <x:v>NA</x:v>
      </x:c>
      <x:c r="M268" s="22" t="str">
        <x:v>f(z)=(1-exp(-2z))/(1-exp(-2))</x:v>
      </x:c>
    </x:row>
    <x:row r="269" ht="23" customHeight="1">
      <x:c r="A269" s="21" t="str">
        <x:v>严格基线调整</x:v>
      </x:c>
      <x:c r="B269" s="22" t="str">
        <x:v>边际递减</x:v>
      </x:c>
      <x:c r="C269" s="22" t="str">
        <x:v>质量导向型（教学诊断对照）</x:v>
      </x:c>
      <x:c r="D269" s="22" t="str">
        <x:v>固定凹函数</x:v>
      </x:c>
      <x:c r="E269" s="24" t="n">
        <x:v>146</x:v>
      </x:c>
      <x:c r="F269" s="22" t="n">
        <x:v>0.977975412888648</x:v>
      </x:c>
      <x:c r="G269" s="22" t="n">
        <x:v>0.943273284783442</x:v>
      </x:c>
      <x:c r="H269" s="22" t="n">
        <x:v>1</x:v>
      </x:c>
      <x:c r="I269" s="22" t="n">
        <x:v>1</x:v>
      </x:c>
      <x:c r="J269" s="22" t="n">
        <x:v>0.9333333333333333</x:v>
      </x:c>
      <x:c r="K269" s="22" t="n">
        <x:v>1</x:v>
      </x:c>
      <x:c r="L269" s="22" t="str">
        <x:v>NA</x:v>
      </x:c>
      <x:c r="M269" s="22" t="str">
        <x:v>f(z)=(1-exp(-2z))/(1-exp(-2))</x:v>
      </x:c>
    </x:row>
    <x:row r="270" ht="23" customHeight="1">
      <x:c r="A270" s="21" t="str">
        <x:v>严格基线调整</x:v>
      </x:c>
      <x:c r="B270" s="22" t="str">
        <x:v>边际递减</x:v>
      </x:c>
      <x:c r="C270" s="22" t="str">
        <x:v>分组熵权型</x:v>
      </x:c>
      <x:c r="D270" s="22" t="str">
        <x:v>固定凹函数</x:v>
      </x:c>
      <x:c r="E270" s="24" t="n">
        <x:v>146</x:v>
      </x:c>
      <x:c r="F270" s="22" t="n">
        <x:v>0.9689679858134954</x:v>
      </x:c>
      <x:c r="G270" s="22" t="n">
        <x:v>0.9133767727098505</x:v>
      </x:c>
      <x:c r="H270" s="22" t="n">
        <x:v>0.9642857142857143</x:v>
      </x:c>
      <x:c r="I270" s="22" t="n">
        <x:v>0.967741935483871</x:v>
      </x:c>
      <x:c r="J270" s="22" t="n">
        <x:v>0.8709677419354839</x:v>
      </x:c>
      <x:c r="K270" s="22" t="n">
        <x:v>0.9354838709677419</x:v>
      </x:c>
      <x:c r="L270" s="22" t="str">
        <x:v>NA</x:v>
      </x:c>
      <x:c r="M270" s="22" t="str">
        <x:v>f(z)=(1-exp(-2z))/(1-exp(-2))</x:v>
      </x:c>
    </x:row>
    <x:row r="271" ht="23" customHeight="1">
      <x:c r="A271" s="21" t="str">
        <x:v>严格基线调整</x:v>
      </x:c>
      <x:c r="B271" s="22" t="str">
        <x:v>指标相关</x:v>
      </x:c>
      <x:c r="C271" s="22" t="str">
        <x:v>CTQ合计</x:v>
      </x:c>
      <x:c r="D271" s="22" t="str">
        <x:v>CTQ均值</x:v>
      </x:c>
      <x:c r="E271" s="24" t="n">
        <x:v>146</x:v>
      </x:c>
      <x:c r="F271" s="22" t="n">
        <x:v>0.9914155455962136</x:v>
      </x:c>
      <x:c r="G271" s="22" t="str">
        <x:v>NA</x:v>
      </x:c>
      <x:c r="H271" s="22" t="str">
        <x:v>NA</x:v>
      </x:c>
      <x:c r="I271" s="22" t="str">
        <x:v>NA</x:v>
      </x:c>
      <x:c r="J271" s="22" t="str">
        <x:v>NA</x:v>
      </x:c>
      <x:c r="K271" s="22" t="str">
        <x:v>NA</x:v>
      </x:c>
      <x:c r="L271" s="22" t="n">
        <x:v>0.9893184152496255</x:v>
      </x:c>
      <x:c r="M271" s="22" t="str">
        <x:v>相关性不能单独证明重复计权</x:v>
      </x:c>
    </x:row>
    <x:row r="272" ht="23" customHeight="1">
      <x:c r="A272" s="21" t="str">
        <x:v>严格基线调整</x:v>
      </x:c>
      <x:c r="B272" s="22" t="str">
        <x:v>指标相关</x:v>
      </x:c>
      <x:c r="C272" s="22" t="str">
        <x:v>CTQ合计</x:v>
      </x:c>
      <x:c r="D272" s="22" t="str">
        <x:v>CTQ最高</x:v>
      </x:c>
      <x:c r="E272" s="24" t="n">
        <x:v>146</x:v>
      </x:c>
      <x:c r="F272" s="22" t="n">
        <x:v>0.978725955020537</x:v>
      </x:c>
      <x:c r="G272" s="22" t="str">
        <x:v>NA</x:v>
      </x:c>
      <x:c r="H272" s="22" t="str">
        <x:v>NA</x:v>
      </x:c>
      <x:c r="I272" s="22" t="str">
        <x:v>NA</x:v>
      </x:c>
      <x:c r="J272" s="22" t="str">
        <x:v>NA</x:v>
      </x:c>
      <x:c r="K272" s="22" t="str">
        <x:v>NA</x:v>
      </x:c>
      <x:c r="L272" s="22" t="n">
        <x:v>0.9817287667699804</x:v>
      </x:c>
      <x:c r="M272" s="22" t="str">
        <x:v>相关性不能单独证明重复计权</x:v>
      </x:c>
    </x:row>
    <x:row r="273" ht="23" customHeight="1">
      <x:c r="A273" s="21" t="str">
        <x:v>严格基线调整</x:v>
      </x:c>
      <x:c r="B273" s="22" t="str">
        <x:v>指标相关</x:v>
      </x:c>
      <x:c r="C273" s="22" t="str">
        <x:v>CTQ合计</x:v>
      </x:c>
      <x:c r="D273" s="22" t="str">
        <x:v>QAPro质量比例</x:v>
      </x:c>
      <x:c r="E273" s="24" t="n">
        <x:v>146</x:v>
      </x:c>
      <x:c r="F273" s="22" t="n">
        <x:v>-0.08409294402422804</x:v>
      </x:c>
      <x:c r="G273" s="22" t="str">
        <x:v>NA</x:v>
      </x:c>
      <x:c r="H273" s="22" t="str">
        <x:v>NA</x:v>
      </x:c>
      <x:c r="I273" s="22" t="str">
        <x:v>NA</x:v>
      </x:c>
      <x:c r="J273" s="22" t="str">
        <x:v>NA</x:v>
      </x:c>
      <x:c r="K273" s="22" t="str">
        <x:v>NA</x:v>
      </x:c>
      <x:c r="L273" s="22" t="n">
        <x:v>-0.0939541581989464</x:v>
      </x:c>
      <x:c r="M273" s="22" t="str">
        <x:v>相关性不能单独证明重复计权</x:v>
      </x:c>
    </x:row>
    <x:row r="274" ht="23" customHeight="1">
      <x:c r="A274" s="21" t="str">
        <x:v>严格基线调整</x:v>
      </x:c>
      <x:c r="B274" s="22" t="str">
        <x:v>指标相关</x:v>
      </x:c>
      <x:c r="C274" s="22" t="str">
        <x:v>CTQ均值</x:v>
      </x:c>
      <x:c r="D274" s="22" t="str">
        <x:v>CTQ最高</x:v>
      </x:c>
      <x:c r="E274" s="24" t="n">
        <x:v>146</x:v>
      </x:c>
      <x:c r="F274" s="22" t="n">
        <x:v>0.9855607955005796</x:v>
      </x:c>
      <x:c r="G274" s="22" t="str">
        <x:v>NA</x:v>
      </x:c>
      <x:c r="H274" s="22" t="str">
        <x:v>NA</x:v>
      </x:c>
      <x:c r="I274" s="22" t="str">
        <x:v>NA</x:v>
      </x:c>
      <x:c r="J274" s="22" t="str">
        <x:v>NA</x:v>
      </x:c>
      <x:c r="K274" s="22" t="str">
        <x:v>NA</x:v>
      </x:c>
      <x:c r="L274" s="22" t="n">
        <x:v>0.9854469424034191</x:v>
      </x:c>
      <x:c r="M274" s="22" t="str">
        <x:v>相关性不能单独证明重复计权</x:v>
      </x:c>
    </x:row>
    <x:row r="275" ht="23" customHeight="1">
      <x:c r="A275" s="21" t="str">
        <x:v>严格基线调整</x:v>
      </x:c>
      <x:c r="B275" s="22" t="str">
        <x:v>指标相关</x:v>
      </x:c>
      <x:c r="C275" s="22" t="str">
        <x:v>CTQ均值</x:v>
      </x:c>
      <x:c r="D275" s="22" t="str">
        <x:v>QAPro质量比例</x:v>
      </x:c>
      <x:c r="E275" s="24" t="n">
        <x:v>146</x:v>
      </x:c>
      <x:c r="F275" s="22" t="n">
        <x:v>-0.09357960570044478</x:v>
      </x:c>
      <x:c r="G275" s="22" t="str">
        <x:v>NA</x:v>
      </x:c>
      <x:c r="H275" s="22" t="str">
        <x:v>NA</x:v>
      </x:c>
      <x:c r="I275" s="22" t="str">
        <x:v>NA</x:v>
      </x:c>
      <x:c r="J275" s="22" t="str">
        <x:v>NA</x:v>
      </x:c>
      <x:c r="K275" s="22" t="str">
        <x:v>NA</x:v>
      </x:c>
      <x:c r="L275" s="22" t="n">
        <x:v>-0.11385613386081175</x:v>
      </x:c>
      <x:c r="M275" s="22" t="str">
        <x:v>相关性不能单独证明重复计权</x:v>
      </x:c>
    </x:row>
    <x:row r="276" ht="23" customHeight="1">
      <x:c r="A276" s="21" t="str">
        <x:v>严格基线调整</x:v>
      </x:c>
      <x:c r="B276" s="22" t="str">
        <x:v>指标相关</x:v>
      </x:c>
      <x:c r="C276" s="22" t="str">
        <x:v>CTQ最高</x:v>
      </x:c>
      <x:c r="D276" s="22" t="str">
        <x:v>QAPro质量比例</x:v>
      </x:c>
      <x:c r="E276" s="24" t="n">
        <x:v>146</x:v>
      </x:c>
      <x:c r="F276" s="22" t="n">
        <x:v>-0.09418587623614862</x:v>
      </x:c>
      <x:c r="G276" s="22" t="str">
        <x:v>NA</x:v>
      </x:c>
      <x:c r="H276" s="22" t="str">
        <x:v>NA</x:v>
      </x:c>
      <x:c r="I276" s="22" t="str">
        <x:v>NA</x:v>
      </x:c>
      <x:c r="J276" s="22" t="str">
        <x:v>NA</x:v>
      </x:c>
      <x:c r="K276" s="22" t="str">
        <x:v>NA</x:v>
      </x:c>
      <x:c r="L276" s="22" t="n">
        <x:v>-0.11283344781596662</x:v>
      </x:c>
      <x:c r="M276" s="22" t="str">
        <x:v>相关性不能单独证明重复计权</x:v>
      </x:c>
    </x:row>
    <x:row r="277" ht="23" customHeight="1">
      <x:c r="A277" s="21" t="str">
        <x:v>严格基线调整</x:v>
      </x:c>
      <x:c r="B277" s="22" t="str">
        <x:v>前后20%边界</x:v>
      </x:c>
      <x:c r="C277" s="22" t="str">
        <x:v>均衡型</x:v>
      </x:c>
      <x:c r="D277" s="22" t="str">
        <x:v>人数</x:v>
      </x:c>
      <x:c r="E277" s="24" t="n">
        <x:v>146</x:v>
      </x:c>
      <x:c r="F277" s="22" t="str">
        <x:v>NA</x:v>
      </x:c>
      <x:c r="G277" s="22" t="str">
        <x:v>NA</x:v>
      </x:c>
      <x:c r="H277" s="22" t="str">
        <x:v>NA</x:v>
      </x:c>
      <x:c r="I277" s="22" t="str">
        <x:v>NA</x:v>
      </x:c>
      <x:c r="J277" s="22" t="str">
        <x:v>NA</x:v>
      </x:c>
      <x:c r="K277" s="22" t="str">
        <x:v>NA</x:v>
      </x:c>
      <x:c r="L277" s="22" t="str">
        <x:v>NA</x:v>
      </x:c>
      <x:c r="M277" s="22" t="str">
        <x:v>目标30；前严格/边界/含边界=29/2/31；后=29/1/30</x:v>
      </x:c>
    </x:row>
    <x:row r="278" ht="23" customHeight="1">
      <x:c r="A278" s="21" t="str">
        <x:v>严格基线调整</x:v>
      </x:c>
      <x:c r="B278" s="22" t="str">
        <x:v>前后20%边界</x:v>
      </x:c>
      <x:c r="C278" s="22" t="str">
        <x:v>突破优先型</x:v>
      </x:c>
      <x:c r="D278" s="22" t="str">
        <x:v>人数</x:v>
      </x:c>
      <x:c r="E278" s="24" t="n">
        <x:v>146</x:v>
      </x:c>
      <x:c r="F278" s="22" t="str">
        <x:v>NA</x:v>
      </x:c>
      <x:c r="G278" s="22" t="str">
        <x:v>NA</x:v>
      </x:c>
      <x:c r="H278" s="22" t="str">
        <x:v>NA</x:v>
      </x:c>
      <x:c r="I278" s="22" t="str">
        <x:v>NA</x:v>
      </x:c>
      <x:c r="J278" s="22" t="str">
        <x:v>NA</x:v>
      </x:c>
      <x:c r="K278" s="22" t="str">
        <x:v>NA</x:v>
      </x:c>
      <x:c r="L278" s="22" t="str">
        <x:v>NA</x:v>
      </x:c>
      <x:c r="M278" s="22" t="str">
        <x:v>目标30；前严格/边界/含边界=28/3/31；后=29/1/30</x:v>
      </x:c>
    </x:row>
    <x:row r="279" ht="23" customHeight="1">
      <x:c r="A279" s="21" t="str">
        <x:v>严格基线调整</x:v>
      </x:c>
      <x:c r="B279" s="22" t="str">
        <x:v>前后20%边界</x:v>
      </x:c>
      <x:c r="C279" s="22" t="str">
        <x:v>质量导向型（教学诊断对照）</x:v>
      </x:c>
      <x:c r="D279" s="22" t="str">
        <x:v>人数</x:v>
      </x:c>
      <x:c r="E279" s="24" t="n">
        <x:v>146</x:v>
      </x:c>
      <x:c r="F279" s="22" t="str">
        <x:v>NA</x:v>
      </x:c>
      <x:c r="G279" s="22" t="str">
        <x:v>NA</x:v>
      </x:c>
      <x:c r="H279" s="22" t="str">
        <x:v>NA</x:v>
      </x:c>
      <x:c r="I279" s="22" t="str">
        <x:v>NA</x:v>
      </x:c>
      <x:c r="J279" s="22" t="str">
        <x:v>NA</x:v>
      </x:c>
      <x:c r="K279" s="22" t="str">
        <x:v>NA</x:v>
      </x:c>
      <x:c r="L279" s="22" t="str">
        <x:v>NA</x:v>
      </x:c>
      <x:c r="M279" s="22" t="str">
        <x:v>目标30；前严格/边界/含边界=29/2/31；后=29/1/30</x:v>
      </x:c>
    </x:row>
    <x:row r="280" ht="23" customHeight="1">
      <x:c r="A280" s="21" t="str">
        <x:v>严格基线调整</x:v>
      </x:c>
      <x:c r="B280" s="22" t="str">
        <x:v>前后20%边界</x:v>
      </x:c>
      <x:c r="C280" s="22" t="str">
        <x:v>分组熵权型</x:v>
      </x:c>
      <x:c r="D280" s="22" t="str">
        <x:v>人数</x:v>
      </x:c>
      <x:c r="E280" s="24" t="n">
        <x:v>146</x:v>
      </x:c>
      <x:c r="F280" s="22" t="str">
        <x:v>NA</x:v>
      </x:c>
      <x:c r="G280" s="22" t="str">
        <x:v>NA</x:v>
      </x:c>
      <x:c r="H280" s="22" t="str">
        <x:v>NA</x:v>
      </x:c>
      <x:c r="I280" s="22" t="str">
        <x:v>NA</x:v>
      </x:c>
      <x:c r="J280" s="22" t="str">
        <x:v>NA</x:v>
      </x:c>
      <x:c r="K280" s="22" t="str">
        <x:v>NA</x:v>
      </x:c>
      <x:c r="L280" s="22" t="str">
        <x:v>NA</x:v>
      </x:c>
      <x:c r="M280" s="22" t="str">
        <x:v>目标30；前严格/边界/含边界=27/3/30；后=29/1/30</x:v>
      </x:c>
    </x:row>
    <x:row r="281" ht="23" customHeight="1">
      <x:c r="A281" s="21" t="str">
        <x:v>严格基线调整</x:v>
      </x:c>
      <x:c r="B281" s="22" t="str">
        <x:v>前后20%边界</x:v>
      </x:c>
      <x:c r="C281" s="22" t="str">
        <x:v>四项原始熵权对照</x:v>
      </x:c>
      <x:c r="D281" s="22" t="str">
        <x:v>人数</x:v>
      </x:c>
      <x:c r="E281" s="24" t="n">
        <x:v>146</x:v>
      </x:c>
      <x:c r="F281" s="22" t="str">
        <x:v>NA</x:v>
      </x:c>
      <x:c r="G281" s="22" t="str">
        <x:v>NA</x:v>
      </x:c>
      <x:c r="H281" s="22" t="str">
        <x:v>NA</x:v>
      </x:c>
      <x:c r="I281" s="22" t="str">
        <x:v>NA</x:v>
      </x:c>
      <x:c r="J281" s="22" t="str">
        <x:v>NA</x:v>
      </x:c>
      <x:c r="K281" s="22" t="str">
        <x:v>NA</x:v>
      </x:c>
      <x:c r="L281" s="22" t="str">
        <x:v>NA</x:v>
      </x:c>
      <x:c r="M281" s="22" t="str">
        <x:v>目标30；前严格/边界/含边界=28/3/31；后=29/1/30</x:v>
      </x:c>
    </x:row>
    <x:row r="282" ht="23" customHeight="1">
      <x:c r="A282" s="21" t="str">
        <x:v>严格基线调整</x:v>
      </x:c>
      <x:c r="B282" s="22" t="str">
        <x:v>q23与q48</x:v>
      </x:c>
      <x:c r="C282" s="22" t="str">
        <x:v>均衡型</x:v>
      </x:c>
      <x:c r="D282" s="22" t="str">
        <x:v>固定q23权重</x:v>
      </x:c>
      <x:c r="E282" s="24" t="n">
        <x:v>146</x:v>
      </x:c>
      <x:c r="F282" s="22" t="n">
        <x:v>0.9954576942298824</x:v>
      </x:c>
      <x:c r="G282" s="22" t="n">
        <x:v>0.9649290916059792</x:v>
      </x:c>
      <x:c r="H282" s="22" t="n">
        <x:v>0.6764705882352942</x:v>
      </x:c>
      <x:c r="I282" s="22" t="n">
        <x:v>0.8235294117647058</x:v>
      </x:c>
      <x:c r="J282" s="22" t="n">
        <x:v>1</x:v>
      </x:c>
      <x:c r="K282" s="22" t="n">
        <x:v>0.9354838709677419</x:v>
      </x:c>
      <x:c r="L282" s="22" t="str">
        <x:v>NA</x:v>
      </x:c>
      <x:c r="M282" s="22" t="str">
        <x:v>同一共同样本；固定主情景权重</x:v>
      </x:c>
    </x:row>
    <x:row r="283" ht="23" customHeight="1">
      <x:c r="A283" s="21" t="str">
        <x:v>严格基线调整</x:v>
      </x:c>
      <x:c r="B283" s="22" t="str">
        <x:v>q23与q48</x:v>
      </x:c>
      <x:c r="C283" s="22" t="str">
        <x:v>突破优先型</x:v>
      </x:c>
      <x:c r="D283" s="22" t="str">
        <x:v>固定q23权重</x:v>
      </x:c>
      <x:c r="E283" s="24" t="n">
        <x:v>146</x:v>
      </x:c>
      <x:c r="F283" s="22" t="n">
        <x:v>0.9911816748643001</x:v>
      </x:c>
      <x:c r="G283" s="22" t="n">
        <x:v>0.9425067075507857</x:v>
      </x:c>
      <x:c r="H283" s="22" t="n">
        <x:v>0.8387096774193549</x:v>
      </x:c>
      <x:c r="I283" s="22" t="n">
        <x:v>0.8235294117647058</x:v>
      </x:c>
      <x:c r="J283" s="22" t="n">
        <x:v>0.8125</x:v>
      </x:c>
      <x:c r="K283" s="22" t="n">
        <x:v>0.8181818181818182</x:v>
      </x:c>
      <x:c r="L283" s="22" t="str">
        <x:v>NA</x:v>
      </x:c>
      <x:c r="M283" s="22" t="str">
        <x:v>同一共同样本；固定主情景权重</x:v>
      </x:c>
    </x:row>
    <x:row r="284" ht="23" customHeight="1">
      <x:c r="A284" s="21" t="str">
        <x:v>严格基线调整</x:v>
      </x:c>
      <x:c r="B284" s="22" t="str">
        <x:v>q23与q48</x:v>
      </x:c>
      <x:c r="C284" s="22" t="str">
        <x:v>质量导向型（教学诊断对照）</x:v>
      </x:c>
      <x:c r="D284" s="22" t="str">
        <x:v>固定q23权重</x:v>
      </x:c>
      <x:c r="E284" s="24" t="n">
        <x:v>146</x:v>
      </x:c>
      <x:c r="F284" s="22" t="n">
        <x:v>0.9958551942250584</x:v>
      </x:c>
      <x:c r="G284" s="22" t="n">
        <x:v>0.967612111920276</x:v>
      </x:c>
      <x:c r="H284" s="22" t="n">
        <x:v>0.6764705882352942</x:v>
      </x:c>
      <x:c r="I284" s="22" t="n">
        <x:v>0.8235294117647058</x:v>
      </x:c>
      <x:c r="J284" s="22" t="n">
        <x:v>1</x:v>
      </x:c>
      <x:c r="K284" s="22" t="n">
        <x:v>1</x:v>
      </x:c>
      <x:c r="L284" s="22" t="str">
        <x:v>NA</x:v>
      </x:c>
      <x:c r="M284" s="22" t="str">
        <x:v>同一共同样本；固定主情景权重</x:v>
      </x:c>
    </x:row>
    <x:row r="285" ht="23" customHeight="1">
      <x:c r="A285" s="21" t="str">
        <x:v>严格基线调整</x:v>
      </x:c>
      <x:c r="B285" s="22" t="str">
        <x:v>q23与q48</x:v>
      </x:c>
      <x:c r="C285" s="22" t="str">
        <x:v>分组熵权型</x:v>
      </x:c>
      <x:c r="D285" s="22" t="str">
        <x:v>固定q23权重</x:v>
      </x:c>
      <x:c r="E285" s="24" t="n">
        <x:v>146</x:v>
      </x:c>
      <x:c r="F285" s="22" t="n">
        <x:v>0.9936940292027425</x:v>
      </x:c>
      <x:c r="G285" s="22" t="n">
        <x:v>0.9555385205059409</x:v>
      </x:c>
      <x:c r="H285" s="22" t="n">
        <x:v>0.8064516129032258</x:v>
      </x:c>
      <x:c r="I285" s="22" t="n">
        <x:v>0.7941176470588235</x:v>
      </x:c>
      <x:c r="J285" s="22" t="n">
        <x:v>0.8125</x:v>
      </x:c>
      <x:c r="K285" s="22" t="n">
        <x:v>0.875</x:v>
      </x:c>
      <x:c r="L285" s="22" t="str">
        <x:v>NA</x:v>
      </x:c>
      <x:c r="M285" s="22" t="str">
        <x:v>同一共同样本；固定主情景权重</x:v>
      </x:c>
    </x:row>
    <x:row r="286" ht="23" customHeight="1">
      <x:c r="A286" s="21" t="str">
        <x:v>严格基线调整</x:v>
      </x:c>
      <x:c r="B286" s="22" t="str">
        <x:v>q23与q48</x:v>
      </x:c>
      <x:c r="C286" s="22" t="str">
        <x:v>四项原始熵权对照</x:v>
      </x:c>
      <x:c r="D286" s="22" t="str">
        <x:v>固定q23权重</x:v>
      </x:c>
      <x:c r="E286" s="24" t="n">
        <x:v>146</x:v>
      </x:c>
      <x:c r="F286" s="22" t="n">
        <x:v>0.9967042233409682</x:v>
      </x:c>
      <x:c r="G286" s="22" t="n">
        <x:v>0.9727865082407051</x:v>
      </x:c>
      <x:c r="H286" s="22" t="n">
        <x:v>0.78125</x:v>
      </x:c>
      <x:c r="I286" s="22" t="n">
        <x:v>0.8</x:v>
      </x:c>
      <x:c r="J286" s="22" t="n">
        <x:v>1</x:v>
      </x:c>
      <x:c r="K286" s="22" t="n">
        <x:v>1</x:v>
      </x:c>
      <x:c r="L286" s="22" t="str">
        <x:v>NA</x:v>
      </x:c>
      <x:c r="M286" s="22" t="str">
        <x:v>同一共同样本；固定主情景权重</x:v>
      </x:c>
    </x:row>
    <x:row r="287" ht="23" customHeight="1">
      <x:c r="A287" s="21" t="str">
        <x:v>全量观察(探索)</x:v>
      </x:c>
      <x:c r="B287" s="22" t="str">
        <x:v>MAB 0%与5%</x:v>
      </x:c>
      <x:c r="C287" s="22" t="str">
        <x:v>同名单核心比例固定</x:v>
      </x:c>
      <x:c r="D287" s="22" t="str">
        <x:v>增加MAB 5%</x:v>
      </x:c>
      <x:c r="E287" s="24" t="n">
        <x:v>137</x:v>
      </x:c>
      <x:c r="F287" s="22" t="n">
        <x:v>0.9782925562793351</x:v>
      </x:c>
      <x:c r="G287" s="22" t="n">
        <x:v>0.9226378698708272</x:v>
      </x:c>
      <x:c r="H287" s="22" t="n">
        <x:v>0.7333333333333333</x:v>
      </x:c>
      <x:c r="I287" s="22" t="n">
        <x:v>0.6470588235294118</x:v>
      </x:c>
      <x:c r="J287" s="22" t="n">
        <x:v>0.9285714285714286</x:v>
      </x:c>
      <x:c r="K287" s="22" t="n">
        <x:v>0.9310344827586207</x:v>
      </x:c>
      <x:c r="L287" s="22" t="str">
        <x:v>NA</x:v>
      </x:c>
      <x:c r="M287" s="22" t="str">
        <x:v>MAB主权重0；最大绝对秩差23.5</x:v>
      </x:c>
    </x:row>
    <x:row r="288" ht="23" customHeight="1">
      <x:c r="A288" s="21" t="str">
        <x:v>严格基线调整</x:v>
      </x:c>
      <x:c r="B288" s="22" t="str">
        <x:v>MAB 0%与5%</x:v>
      </x:c>
      <x:c r="C288" s="22" t="str">
        <x:v>同名单核心比例固定</x:v>
      </x:c>
      <x:c r="D288" s="22" t="str">
        <x:v>增加MAB 5%</x:v>
      </x:c>
      <x:c r="E288" s="24" t="n">
        <x:v>115</x:v>
      </x:c>
      <x:c r="F288" s="22" t="n">
        <x:v>0.9564785548560606</x:v>
      </x:c>
      <x:c r="G288" s="22" t="n">
        <x:v>0.8591847911481127</x:v>
      </x:c>
      <x:c r="H288" s="22" t="n">
        <x:v>0.5172413793103449</x:v>
      </x:c>
      <x:c r="I288" s="22" t="n">
        <x:v>0.5161290322580645</x:v>
      </x:c>
      <x:c r="J288" s="22" t="n">
        <x:v>1</x:v>
      </x:c>
      <x:c r="K288" s="22" t="n">
        <x:v>1</x:v>
      </x:c>
      <x:c r="L288" s="22" t="str">
        <x:v>NA</x:v>
      </x:c>
      <x:c r="M288" s="22" t="str">
        <x:v>MAB主权重0；最大绝对秩差20</x:v>
      </x:c>
    </x:row>
    <x:row r="289" ht="23" customHeight="1">
      <x:c r="A289" s="21" t="str">
        <x:v>DHI s3</x:v>
      </x:c>
      <x:c r="B289" s="22" t="str">
        <x:v>DHI相关诊断</x:v>
      </x:c>
      <x:c r="C289" s="22" t="str">
        <x:v>非对称DHI变化</x:v>
      </x:c>
      <x:c r="D289" s="22" t="str">
        <x:v>mab_saturated</x:v>
      </x:c>
      <x:c r="E289" s="24" t="n">
        <x:v>131</x:v>
      </x:c>
      <x:c r="F289" s="22" t="n">
        <x:v>-0.145881</x:v>
      </x:c>
      <x:c r="G289" s="22" t="str">
        <x:v>NA</x:v>
      </x:c>
      <x:c r="H289" s="22" t="str">
        <x:v>NA</x:v>
      </x:c>
      <x:c r="I289" s="22" t="str">
        <x:v>NA</x:v>
      </x:c>
      <x:c r="J289" s="22" t="str">
        <x:v>NA</x:v>
      </x:c>
      <x:c r="K289" s="22" t="str">
        <x:v>NA</x:v>
      </x:c>
      <x:c r="L289" s="22" t="n">
        <x:v>-0.155202</x:v>
      </x:c>
      <x:c r="M289" s="22" t="str">
        <x:v>观察样本；低证据人数161/164，主权重0</x:v>
      </x:c>
    </x:row>
    <x:row r="290" ht="23" customHeight="1">
      <x:c r="A290" s="21" t="str">
        <x:v>DHI s3</x:v>
      </x:c>
      <x:c r="B290" s="22" t="str">
        <x:v>DHI相关诊断</x:v>
      </x:c>
      <x:c r="C290" s="22" t="str">
        <x:v>非对称DHI变化</x:v>
      </x:c>
      <x:c r="D290" s="22" t="str">
        <x:v>observed_ctq_mean_equal</x:v>
      </x:c>
      <x:c r="E290" s="24" t="n">
        <x:v>164</x:v>
      </x:c>
      <x:c r="F290" s="22" t="n">
        <x:v>-0.16058</x:v>
      </x:c>
      <x:c r="G290" s="22" t="str">
        <x:v>NA</x:v>
      </x:c>
      <x:c r="H290" s="22" t="str">
        <x:v>NA</x:v>
      </x:c>
      <x:c r="I290" s="22" t="str">
        <x:v>NA</x:v>
      </x:c>
      <x:c r="J290" s="22" t="str">
        <x:v>NA</x:v>
      </x:c>
      <x:c r="K290" s="22" t="str">
        <x:v>NA</x:v>
      </x:c>
      <x:c r="L290" s="22" t="n">
        <x:v>0.152202</x:v>
      </x:c>
      <x:c r="M290" s="22" t="str">
        <x:v>观察样本；低证据人数161/164，主权重0</x:v>
      </x:c>
    </x:row>
    <x:row r="291" ht="23" customHeight="1">
      <x:c r="A291" s="21" t="str">
        <x:v>DHI s3</x:v>
      </x:c>
      <x:c r="B291" s="22" t="str">
        <x:v>DHI相关诊断</x:v>
      </x:c>
      <x:c r="C291" s="22" t="str">
        <x:v>非对称DHI变化</x:v>
      </x:c>
      <x:c r="D291" s="22" t="str">
        <x:v>observed_ctq_peak</x:v>
      </x:c>
      <x:c r="E291" s="24" t="n">
        <x:v>164</x:v>
      </x:c>
      <x:c r="F291" s="22" t="n">
        <x:v>-0.151447</x:v>
      </x:c>
      <x:c r="G291" s="22" t="str">
        <x:v>NA</x:v>
      </x:c>
      <x:c r="H291" s="22" t="str">
        <x:v>NA</x:v>
      </x:c>
      <x:c r="I291" s="22" t="str">
        <x:v>NA</x:v>
      </x:c>
      <x:c r="J291" s="22" t="str">
        <x:v>NA</x:v>
      </x:c>
      <x:c r="K291" s="22" t="str">
        <x:v>NA</x:v>
      </x:c>
      <x:c r="L291" s="22" t="n">
        <x:v>0.136984</x:v>
      </x:c>
      <x:c r="M291" s="22" t="str">
        <x:v>观察样本；低证据人数161/164，主权重0</x:v>
      </x:c>
    </x:row>
    <x:row r="292" ht="23" customHeight="1">
      <x:c r="A292" s="21" t="str">
        <x:v>DHI s3</x:v>
      </x:c>
      <x:c r="B292" s="22" t="str">
        <x:v>DHI相关诊断</x:v>
      </x:c>
      <x:c r="C292" s="22" t="str">
        <x:v>非对称DHI变化</x:v>
      </x:c>
      <x:c r="D292" s="22" t="str">
        <x:v>quality_ratio</x:v>
      </x:c>
      <x:c r="E292" s="24" t="n">
        <x:v>164</x:v>
      </x:c>
      <x:c r="F292" s="22" t="n">
        <x:v>0.072588</x:v>
      </x:c>
      <x:c r="G292" s="22" t="str">
        <x:v>NA</x:v>
      </x:c>
      <x:c r="H292" s="22" t="str">
        <x:v>NA</x:v>
      </x:c>
      <x:c r="I292" s="22" t="str">
        <x:v>NA</x:v>
      </x:c>
      <x:c r="J292" s="22" t="str">
        <x:v>NA</x:v>
      </x:c>
      <x:c r="K292" s="22" t="str">
        <x:v>NA</x:v>
      </x:c>
      <x:c r="L292" s="22" t="n">
        <x:v>0.042155</x:v>
      </x:c>
      <x:c r="M292" s="22" t="str">
        <x:v>观察样本；低证据人数161/164，主权重0</x:v>
      </x:c>
    </x:row>
    <x:row r="293" ht="23" customHeight="1">
      <x:c r="A293" s="21" t="str">
        <x:v>DHI s3</x:v>
      </x:c>
      <x:c r="B293" s="22" t="str">
        <x:v>DHI相关诊断</x:v>
      </x:c>
      <x:c r="C293" s="22" t="str">
        <x:v>非对称DHI变化</x:v>
      </x:c>
      <x:c r="D293" s="22" t="str">
        <x:v>strict_ctq_mean_weighted</x:v>
      </x:c>
      <x:c r="E293" s="24" t="n">
        <x:v>138</x:v>
      </x:c>
      <x:c r="F293" s="22" t="n">
        <x:v>-0.148555</x:v>
      </x:c>
      <x:c r="G293" s="22" t="str">
        <x:v>NA</x:v>
      </x:c>
      <x:c r="H293" s="22" t="str">
        <x:v>NA</x:v>
      </x:c>
      <x:c r="I293" s="22" t="str">
        <x:v>NA</x:v>
      </x:c>
      <x:c r="J293" s="22" t="str">
        <x:v>NA</x:v>
      </x:c>
      <x:c r="K293" s="22" t="str">
        <x:v>NA</x:v>
      </x:c>
      <x:c r="L293" s="22" t="n">
        <x:v>0.154963</x:v>
      </x:c>
      <x:c r="M293" s="22" t="str">
        <x:v>基线样本；低证据人数161/164，主权重0</x:v>
      </x:c>
    </x:row>
    <x:row r="294" ht="23" customHeight="1">
      <x:c r="A294" s="21" t="str">
        <x:v>DHI s3</x:v>
      </x:c>
      <x:c r="B294" s="22" t="str">
        <x:v>DHI相关诊断</x:v>
      </x:c>
      <x:c r="C294" s="22" t="str">
        <x:v>非对称DHI变化</x:v>
      </x:c>
      <x:c r="D294" s="22" t="str">
        <x:v>strict_net_mean</x:v>
      </x:c>
      <x:c r="E294" s="24" t="n">
        <x:v>138</x:v>
      </x:c>
      <x:c r="F294" s="22" t="n">
        <x:v>-0.141434</x:v>
      </x:c>
      <x:c r="G294" s="22" t="str">
        <x:v>NA</x:v>
      </x:c>
      <x:c r="H294" s="22" t="str">
        <x:v>NA</x:v>
      </x:c>
      <x:c r="I294" s="22" t="str">
        <x:v>NA</x:v>
      </x:c>
      <x:c r="J294" s="22" t="str">
        <x:v>NA</x:v>
      </x:c>
      <x:c r="K294" s="22" t="str">
        <x:v>NA</x:v>
      </x:c>
      <x:c r="L294" s="22" t="n">
        <x:v>0.14928</x:v>
      </x:c>
      <x:c r="M294" s="22" t="str">
        <x:v>基线样本；低证据人数161/164，主权重0</x:v>
      </x:c>
    </x:row>
    <x:row r="295" ht="23" customHeight="1">
      <x:c r="A295" s="21" t="str">
        <x:v>DHI s3</x:v>
      </x:c>
      <x:c r="B295" s="22" t="str">
        <x:v>DHI相关诊断</x:v>
      </x:c>
      <x:c r="C295" s="22" t="str">
        <x:v>对称DHI变化</x:v>
      </x:c>
      <x:c r="D295" s="22" t="str">
        <x:v>mab_saturated</x:v>
      </x:c>
      <x:c r="E295" s="24" t="n">
        <x:v>131</x:v>
      </x:c>
      <x:c r="F295" s="22" t="n">
        <x:v>-0.126802</x:v>
      </x:c>
      <x:c r="G295" s="22" t="str">
        <x:v>NA</x:v>
      </x:c>
      <x:c r="H295" s="22" t="str">
        <x:v>NA</x:v>
      </x:c>
      <x:c r="I295" s="22" t="str">
        <x:v>NA</x:v>
      </x:c>
      <x:c r="J295" s="22" t="str">
        <x:v>NA</x:v>
      </x:c>
      <x:c r="K295" s="22" t="str">
        <x:v>NA</x:v>
      </x:c>
      <x:c r="L295" s="22" t="n">
        <x:v>-0.137246</x:v>
      </x:c>
      <x:c r="M295" s="22" t="str">
        <x:v>观察样本；低证据人数161/164，主权重0</x:v>
      </x:c>
    </x:row>
    <x:row r="296" ht="23" customHeight="1">
      <x:c r="A296" s="21" t="str">
        <x:v>DHI s3</x:v>
      </x:c>
      <x:c r="B296" s="22" t="str">
        <x:v>DHI相关诊断</x:v>
      </x:c>
      <x:c r="C296" s="22" t="str">
        <x:v>对称DHI变化</x:v>
      </x:c>
      <x:c r="D296" s="22" t="str">
        <x:v>observed_ctq_mean_equal</x:v>
      </x:c>
      <x:c r="E296" s="24" t="n">
        <x:v>164</x:v>
      </x:c>
      <x:c r="F296" s="22" t="n">
        <x:v>-0.206513</x:v>
      </x:c>
      <x:c r="G296" s="22" t="str">
        <x:v>NA</x:v>
      </x:c>
      <x:c r="H296" s="22" t="str">
        <x:v>NA</x:v>
      </x:c>
      <x:c r="I296" s="22" t="str">
        <x:v>NA</x:v>
      </x:c>
      <x:c r="J296" s="22" t="str">
        <x:v>NA</x:v>
      </x:c>
      <x:c r="K296" s="22" t="str">
        <x:v>NA</x:v>
      </x:c>
      <x:c r="L296" s="22" t="n">
        <x:v>-0.377946</x:v>
      </x:c>
      <x:c r="M296" s="22" t="str">
        <x:v>观察样本；低证据人数161/164，主权重0</x:v>
      </x:c>
    </x:row>
    <x:row r="297" ht="23" customHeight="1">
      <x:c r="A297" s="21" t="str">
        <x:v>DHI s3</x:v>
      </x:c>
      <x:c r="B297" s="22" t="str">
        <x:v>DHI相关诊断</x:v>
      </x:c>
      <x:c r="C297" s="22" t="str">
        <x:v>对称DHI变化</x:v>
      </x:c>
      <x:c r="D297" s="22" t="str">
        <x:v>observed_ctq_peak</x:v>
      </x:c>
      <x:c r="E297" s="24" t="n">
        <x:v>164</x:v>
      </x:c>
      <x:c r="F297" s="22" t="n">
        <x:v>-0.193699</x:v>
      </x:c>
      <x:c r="G297" s="22" t="str">
        <x:v>NA</x:v>
      </x:c>
      <x:c r="H297" s="22" t="str">
        <x:v>NA</x:v>
      </x:c>
      <x:c r="I297" s="22" t="str">
        <x:v>NA</x:v>
      </x:c>
      <x:c r="J297" s="22" t="str">
        <x:v>NA</x:v>
      </x:c>
      <x:c r="K297" s="22" t="str">
        <x:v>NA</x:v>
      </x:c>
      <x:c r="L297" s="22" t="n">
        <x:v>-0.387938</x:v>
      </x:c>
      <x:c r="M297" s="22" t="str">
        <x:v>观察样本；低证据人数161/164，主权重0</x:v>
      </x:c>
    </x:row>
    <x:row r="298" ht="23" customHeight="1">
      <x:c r="A298" s="21" t="str">
        <x:v>DHI s3</x:v>
      </x:c>
      <x:c r="B298" s="22" t="str">
        <x:v>DHI相关诊断</x:v>
      </x:c>
      <x:c r="C298" s="22" t="str">
        <x:v>对称DHI变化</x:v>
      </x:c>
      <x:c r="D298" s="22" t="str">
        <x:v>quality_ratio</x:v>
      </x:c>
      <x:c r="E298" s="24" t="n">
        <x:v>164</x:v>
      </x:c>
      <x:c r="F298" s="22" t="n">
        <x:v>0.067192</x:v>
      </x:c>
      <x:c r="G298" s="22" t="str">
        <x:v>NA</x:v>
      </x:c>
      <x:c r="H298" s="22" t="str">
        <x:v>NA</x:v>
      </x:c>
      <x:c r="I298" s="22" t="str">
        <x:v>NA</x:v>
      </x:c>
      <x:c r="J298" s="22" t="str">
        <x:v>NA</x:v>
      </x:c>
      <x:c r="K298" s="22" t="str">
        <x:v>NA</x:v>
      </x:c>
      <x:c r="L298" s="22" t="n">
        <x:v>0.044095</x:v>
      </x:c>
      <x:c r="M298" s="22" t="str">
        <x:v>观察样本；低证据人数161/164，主权重0</x:v>
      </x:c>
    </x:row>
    <x:row r="299" ht="23" customHeight="1">
      <x:c r="A299" s="21" t="str">
        <x:v>DHI s3</x:v>
      </x:c>
      <x:c r="B299" s="22" t="str">
        <x:v>DHI相关诊断</x:v>
      </x:c>
      <x:c r="C299" s="22" t="str">
        <x:v>对称DHI变化</x:v>
      </x:c>
      <x:c r="D299" s="22" t="str">
        <x:v>strict_ctq_mean_weighted</x:v>
      </x:c>
      <x:c r="E299" s="24" t="n">
        <x:v>138</x:v>
      </x:c>
      <x:c r="F299" s="22" t="n">
        <x:v>-0.195036</x:v>
      </x:c>
      <x:c r="G299" s="22" t="str">
        <x:v>NA</x:v>
      </x:c>
      <x:c r="H299" s="22" t="str">
        <x:v>NA</x:v>
      </x:c>
      <x:c r="I299" s="22" t="str">
        <x:v>NA</x:v>
      </x:c>
      <x:c r="J299" s="22" t="str">
        <x:v>NA</x:v>
      </x:c>
      <x:c r="K299" s="22" t="str">
        <x:v>NA</x:v>
      </x:c>
      <x:c r="L299" s="22" t="n">
        <x:v>-0.36576</x:v>
      </x:c>
      <x:c r="M299" s="22" t="str">
        <x:v>基线样本；低证据人数161/164，主权重0</x:v>
      </x:c>
    </x:row>
    <x:row r="300" ht="23" customHeight="1">
      <x:c r="A300" s="21" t="str">
        <x:v>DHI s3</x:v>
      </x:c>
      <x:c r="B300" s="22" t="str">
        <x:v>DHI相关诊断</x:v>
      </x:c>
      <x:c r="C300" s="22" t="str">
        <x:v>对称DHI变化</x:v>
      </x:c>
      <x:c r="D300" s="22" t="str">
        <x:v>strict_net_mean</x:v>
      </x:c>
      <x:c r="E300" s="24" t="n">
        <x:v>138</x:v>
      </x:c>
      <x:c r="F300" s="22" t="n">
        <x:v>-0.187015</x:v>
      </x:c>
      <x:c r="G300" s="22" t="str">
        <x:v>NA</x:v>
      </x:c>
      <x:c r="H300" s="22" t="str">
        <x:v>NA</x:v>
      </x:c>
      <x:c r="I300" s="22" t="str">
        <x:v>NA</x:v>
      </x:c>
      <x:c r="J300" s="22" t="str">
        <x:v>NA</x:v>
      </x:c>
      <x:c r="K300" s="22" t="str">
        <x:v>NA</x:v>
      </x:c>
      <x:c r="L300" s="22" t="n">
        <x:v>-0.374061</x:v>
      </x:c>
      <x:c r="M300" s="22" t="str">
        <x:v>基线样本；低证据人数161/164，主权重0</x:v>
      </x:c>
    </x:row>
    <x:row r="301" ht="23" customHeight="1">
      <x:c r="A301" s="21" t="str">
        <x:v>DHI s6</x:v>
      </x:c>
      <x:c r="B301" s="22" t="str">
        <x:v>DHI相关诊断</x:v>
      </x:c>
      <x:c r="C301" s="22" t="str">
        <x:v>非对称DHI变化</x:v>
      </x:c>
      <x:c r="D301" s="22" t="str">
        <x:v>mab_saturated</x:v>
      </x:c>
      <x:c r="E301" s="24" t="n">
        <x:v>6</x:v>
      </x:c>
      <x:c r="F301" s="22" t="n">
        <x:v>0.654654</x:v>
      </x:c>
      <x:c r="G301" s="22" t="str">
        <x:v>NA</x:v>
      </x:c>
      <x:c r="H301" s="22" t="str">
        <x:v>NA</x:v>
      </x:c>
      <x:c r="I301" s="22" t="str">
        <x:v>NA</x:v>
      </x:c>
      <x:c r="J301" s="22" t="str">
        <x:v>NA</x:v>
      </x:c>
      <x:c r="K301" s="22" t="str">
        <x:v>NA</x:v>
      </x:c>
      <x:c r="L301" s="22" t="n">
        <x:v>0.729286</x:v>
      </x:c>
      <x:c r="M301" s="22" t="str">
        <x:v>观察样本；低证据人数9/9，主权重0</x:v>
      </x:c>
    </x:row>
    <x:row r="302" ht="23" customHeight="1">
      <x:c r="A302" s="21" t="str">
        <x:v>DHI s6</x:v>
      </x:c>
      <x:c r="B302" s="22" t="str">
        <x:v>DHI相关诊断</x:v>
      </x:c>
      <x:c r="C302" s="22" t="str">
        <x:v>非对称DHI变化</x:v>
      </x:c>
      <x:c r="D302" s="22" t="str">
        <x:v>observed_ctq_mean_equal</x:v>
      </x:c>
      <x:c r="E302" s="24" t="n">
        <x:v>9</x:v>
      </x:c>
      <x:c r="F302" s="22" t="n">
        <x:v>0.838436</x:v>
      </x:c>
      <x:c r="G302" s="22" t="str">
        <x:v>NA</x:v>
      </x:c>
      <x:c r="H302" s="22" t="str">
        <x:v>NA</x:v>
      </x:c>
      <x:c r="I302" s="22" t="str">
        <x:v>NA</x:v>
      </x:c>
      <x:c r="J302" s="22" t="str">
        <x:v>NA</x:v>
      </x:c>
      <x:c r="K302" s="22" t="str">
        <x:v>NA</x:v>
      </x:c>
      <x:c r="L302" s="22" t="n">
        <x:v>0.771347</x:v>
      </x:c>
      <x:c r="M302" s="22" t="str">
        <x:v>观察样本；低证据人数9/9，主权重0</x:v>
      </x:c>
    </x:row>
    <x:row r="303" ht="23" customHeight="1">
      <x:c r="A303" s="21" t="str">
        <x:v>DHI s6</x:v>
      </x:c>
      <x:c r="B303" s="22" t="str">
        <x:v>DHI相关诊断</x:v>
      </x:c>
      <x:c r="C303" s="22" t="str">
        <x:v>非对称DHI变化</x:v>
      </x:c>
      <x:c r="D303" s="22" t="str">
        <x:v>observed_ctq_peak</x:v>
      </x:c>
      <x:c r="E303" s="24" t="n">
        <x:v>9</x:v>
      </x:c>
      <x:c r="F303" s="22" t="n">
        <x:v>0.838436</x:v>
      </x:c>
      <x:c r="G303" s="22" t="str">
        <x:v>NA</x:v>
      </x:c>
      <x:c r="H303" s="22" t="str">
        <x:v>NA</x:v>
      </x:c>
      <x:c r="I303" s="22" t="str">
        <x:v>NA</x:v>
      </x:c>
      <x:c r="J303" s="22" t="str">
        <x:v>NA</x:v>
      </x:c>
      <x:c r="K303" s="22" t="str">
        <x:v>NA</x:v>
      </x:c>
      <x:c r="L303" s="22" t="n">
        <x:v>0.771347</x:v>
      </x:c>
      <x:c r="M303" s="22" t="str">
        <x:v>观察样本；低证据人数9/9，主权重0</x:v>
      </x:c>
    </x:row>
    <x:row r="304" ht="23" customHeight="1">
      <x:c r="A304" s="21" t="str">
        <x:v>DHI s6</x:v>
      </x:c>
      <x:c r="B304" s="22" t="str">
        <x:v>DHI相关诊断</x:v>
      </x:c>
      <x:c r="C304" s="22" t="str">
        <x:v>非对称DHI变化</x:v>
      </x:c>
      <x:c r="D304" s="22" t="str">
        <x:v>quality_ratio</x:v>
      </x:c>
      <x:c r="E304" s="24" t="n">
        <x:v>9</x:v>
      </x:c>
      <x:c r="F304" s="22" t="n">
        <x:v>-0.504419</x:v>
      </x:c>
      <x:c r="G304" s="22" t="str">
        <x:v>NA</x:v>
      </x:c>
      <x:c r="H304" s="22" t="str">
        <x:v>NA</x:v>
      </x:c>
      <x:c r="I304" s="22" t="str">
        <x:v>NA</x:v>
      </x:c>
      <x:c r="J304" s="22" t="str">
        <x:v>NA</x:v>
      </x:c>
      <x:c r="K304" s="22" t="str">
        <x:v>NA</x:v>
      </x:c>
      <x:c r="L304" s="22" t="n">
        <x:v>-0.393787</x:v>
      </x:c>
      <x:c r="M304" s="22" t="str">
        <x:v>观察样本；低证据人数9/9，主权重0</x:v>
      </x:c>
    </x:row>
    <x:row r="305" ht="23" customHeight="1">
      <x:c r="A305" s="21" t="str">
        <x:v>DHI s6</x:v>
      </x:c>
      <x:c r="B305" s="22" t="str">
        <x:v>DHI相关诊断</x:v>
      </x:c>
      <x:c r="C305" s="22" t="str">
        <x:v>非对称DHI变化</x:v>
      </x:c>
      <x:c r="D305" s="22" t="str">
        <x:v>strict_ctq_mean_weighted</x:v>
      </x:c>
      <x:c r="E305" s="24" t="n">
        <x:v>8</x:v>
      </x:c>
      <x:c r="F305" s="22" t="n">
        <x:v>0.9</x:v>
      </x:c>
      <x:c r="G305" s="22" t="str">
        <x:v>NA</x:v>
      </x:c>
      <x:c r="H305" s="22" t="str">
        <x:v>NA</x:v>
      </x:c>
      <x:c r="I305" s="22" t="str">
        <x:v>NA</x:v>
      </x:c>
      <x:c r="J305" s="22" t="str">
        <x:v>NA</x:v>
      </x:c>
      <x:c r="K305" s="22" t="str">
        <x:v>NA</x:v>
      </x:c>
      <x:c r="L305" s="22" t="n">
        <x:v>0.80397</x:v>
      </x:c>
      <x:c r="M305" s="22" t="str">
        <x:v>基线样本；低证据人数9/9，主权重0</x:v>
      </x:c>
    </x:row>
    <x:row r="306" ht="23" customHeight="1">
      <x:c r="A306" s="21" t="str">
        <x:v>DHI s6</x:v>
      </x:c>
      <x:c r="B306" s="22" t="str">
        <x:v>DHI相关诊断</x:v>
      </x:c>
      <x:c r="C306" s="22" t="str">
        <x:v>非对称DHI变化</x:v>
      </x:c>
      <x:c r="D306" s="22" t="str">
        <x:v>strict_net_mean</x:v>
      </x:c>
      <x:c r="E306" s="24" t="n">
        <x:v>8</x:v>
      </x:c>
      <x:c r="F306" s="22" t="n">
        <x:v>0.9</x:v>
      </x:c>
      <x:c r="G306" s="22" t="str">
        <x:v>NA</x:v>
      </x:c>
      <x:c r="H306" s="22" t="str">
        <x:v>NA</x:v>
      </x:c>
      <x:c r="I306" s="22" t="str">
        <x:v>NA</x:v>
      </x:c>
      <x:c r="J306" s="22" t="str">
        <x:v>NA</x:v>
      </x:c>
      <x:c r="K306" s="22" t="str">
        <x:v>NA</x:v>
      </x:c>
      <x:c r="L306" s="22" t="n">
        <x:v>0.813592</x:v>
      </x:c>
      <x:c r="M306" s="22" t="str">
        <x:v>基线样本；低证据人数9/9，主权重0</x:v>
      </x:c>
    </x:row>
    <x:row r="307" ht="23" customHeight="1">
      <x:c r="A307" s="21" t="str">
        <x:v>DHI s6</x:v>
      </x:c>
      <x:c r="B307" s="22" t="str">
        <x:v>DHI相关诊断</x:v>
      </x:c>
      <x:c r="C307" s="22" t="str">
        <x:v>对称DHI变化</x:v>
      </x:c>
      <x:c r="D307" s="22" t="str">
        <x:v>mab_saturated</x:v>
      </x:c>
      <x:c r="E307" s="24" t="n">
        <x:v>6</x:v>
      </x:c>
      <x:c r="F307" s="22" t="n">
        <x:v>0.392792</x:v>
      </x:c>
      <x:c r="G307" s="22" t="str">
        <x:v>NA</x:v>
      </x:c>
      <x:c r="H307" s="22" t="str">
        <x:v>NA</x:v>
      </x:c>
      <x:c r="I307" s="22" t="str">
        <x:v>NA</x:v>
      </x:c>
      <x:c r="J307" s="22" t="str">
        <x:v>NA</x:v>
      </x:c>
      <x:c r="K307" s="22" t="str">
        <x:v>NA</x:v>
      </x:c>
      <x:c r="L307" s="22" t="n">
        <x:v>0.309839</x:v>
      </x:c>
      <x:c r="M307" s="22" t="str">
        <x:v>观察样本；低证据人数9/9，主权重0</x:v>
      </x:c>
    </x:row>
    <x:row r="308" ht="23" customHeight="1">
      <x:c r="A308" s="21" t="str">
        <x:v>DHI s6</x:v>
      </x:c>
      <x:c r="B308" s="22" t="str">
        <x:v>DHI相关诊断</x:v>
      </x:c>
      <x:c r="C308" s="22" t="str">
        <x:v>对称DHI变化</x:v>
      </x:c>
      <x:c r="D308" s="22" t="str">
        <x:v>observed_ctq_mean_equal</x:v>
      </x:c>
      <x:c r="E308" s="24" t="n">
        <x:v>9</x:v>
      </x:c>
      <x:c r="F308" s="22" t="n">
        <x:v>0.288212</x:v>
      </x:c>
      <x:c r="G308" s="22" t="str">
        <x:v>NA</x:v>
      </x:c>
      <x:c r="H308" s="22" t="str">
        <x:v>NA</x:v>
      </x:c>
      <x:c r="I308" s="22" t="str">
        <x:v>NA</x:v>
      </x:c>
      <x:c r="J308" s="22" t="str">
        <x:v>NA</x:v>
      </x:c>
      <x:c r="K308" s="22" t="str">
        <x:v>NA</x:v>
      </x:c>
      <x:c r="L308" s="22" t="n">
        <x:v>0.052479</x:v>
      </x:c>
      <x:c r="M308" s="22" t="str">
        <x:v>观察样本；低证据人数9/9，主权重0</x:v>
      </x:c>
    </x:row>
    <x:row r="309" ht="23" customHeight="1">
      <x:c r="A309" s="21" t="str">
        <x:v>DHI s6</x:v>
      </x:c>
      <x:c r="B309" s="22" t="str">
        <x:v>DHI相关诊断</x:v>
      </x:c>
      <x:c r="C309" s="22" t="str">
        <x:v>对称DHI变化</x:v>
      </x:c>
      <x:c r="D309" s="22" t="str">
        <x:v>observed_ctq_peak</x:v>
      </x:c>
      <x:c r="E309" s="24" t="n">
        <x:v>9</x:v>
      </x:c>
      <x:c r="F309" s="22" t="n">
        <x:v>0.288212</x:v>
      </x:c>
      <x:c r="G309" s="22" t="str">
        <x:v>NA</x:v>
      </x:c>
      <x:c r="H309" s="22" t="str">
        <x:v>NA</x:v>
      </x:c>
      <x:c r="I309" s="22" t="str">
        <x:v>NA</x:v>
      </x:c>
      <x:c r="J309" s="22" t="str">
        <x:v>NA</x:v>
      </x:c>
      <x:c r="K309" s="22" t="str">
        <x:v>NA</x:v>
      </x:c>
      <x:c r="L309" s="22" t="n">
        <x:v>0.052479</x:v>
      </x:c>
      <x:c r="M309" s="22" t="str">
        <x:v>观察样本；低证据人数9/9，主权重0</x:v>
      </x:c>
    </x:row>
    <x:row r="310" ht="23" customHeight="1">
      <x:c r="A310" s="21" t="str">
        <x:v>DHI s6</x:v>
      </x:c>
      <x:c r="B310" s="22" t="str">
        <x:v>DHI相关诊断</x:v>
      </x:c>
      <x:c r="C310" s="22" t="str">
        <x:v>对称DHI变化</x:v>
      </x:c>
      <x:c r="D310" s="22" t="str">
        <x:v>quality_ratio</x:v>
      </x:c>
      <x:c r="E310" s="24" t="n">
        <x:v>9</x:v>
      </x:c>
      <x:c r="F310" s="22" t="n">
        <x:v>-0.447315</x:v>
      </x:c>
      <x:c r="G310" s="22" t="str">
        <x:v>NA</x:v>
      </x:c>
      <x:c r="H310" s="22" t="str">
        <x:v>NA</x:v>
      </x:c>
      <x:c r="I310" s="22" t="str">
        <x:v>NA</x:v>
      </x:c>
      <x:c r="J310" s="22" t="str">
        <x:v>NA</x:v>
      </x:c>
      <x:c r="K310" s="22" t="str">
        <x:v>NA</x:v>
      </x:c>
      <x:c r="L310" s="22" t="n">
        <x:v>-0.420762</x:v>
      </x:c>
      <x:c r="M310" s="22" t="str">
        <x:v>观察样本；低证据人数9/9，主权重0</x:v>
      </x:c>
    </x:row>
    <x:row r="311" ht="23" customHeight="1">
      <x:c r="A311" s="21" t="str">
        <x:v>DHI s6</x:v>
      </x:c>
      <x:c r="B311" s="22" t="str">
        <x:v>DHI相关诊断</x:v>
      </x:c>
      <x:c r="C311" s="22" t="str">
        <x:v>对称DHI变化</x:v>
      </x:c>
      <x:c r="D311" s="22" t="str">
        <x:v>strict_ctq_mean_weighted</x:v>
      </x:c>
      <x:c r="E311" s="24" t="n">
        <x:v>8</x:v>
      </x:c>
      <x:c r="F311" s="22" t="n">
        <x:v>0.4</x:v>
      </x:c>
      <x:c r="G311" s="22" t="str">
        <x:v>NA</x:v>
      </x:c>
      <x:c r="H311" s="22" t="str">
        <x:v>NA</x:v>
      </x:c>
      <x:c r="I311" s="22" t="str">
        <x:v>NA</x:v>
      </x:c>
      <x:c r="J311" s="22" t="str">
        <x:v>NA</x:v>
      </x:c>
      <x:c r="K311" s="22" t="str">
        <x:v>NA</x:v>
      </x:c>
      <x:c r="L311" s="22" t="n">
        <x:v>0.121988</x:v>
      </x:c>
      <x:c r="M311" s="22" t="str">
        <x:v>基线样本；低证据人数9/9，主权重0</x:v>
      </x:c>
    </x:row>
    <x:row r="312" ht="23" customHeight="1">
      <x:c r="A312" s="21" t="str">
        <x:v>DHI s6</x:v>
      </x:c>
      <x:c r="B312" s="22" t="str">
        <x:v>DHI相关诊断</x:v>
      </x:c>
      <x:c r="C312" s="22" t="str">
        <x:v>对称DHI变化</x:v>
      </x:c>
      <x:c r="D312" s="22" t="str">
        <x:v>strict_net_mean</x:v>
      </x:c>
      <x:c r="E312" s="24" t="n">
        <x:v>8</x:v>
      </x:c>
      <x:c r="F312" s="22" t="n">
        <x:v>0.4</x:v>
      </x:c>
      <x:c r="G312" s="22" t="str">
        <x:v>NA</x:v>
      </x:c>
      <x:c r="H312" s="22" t="str">
        <x:v>NA</x:v>
      </x:c>
      <x:c r="I312" s="22" t="str">
        <x:v>NA</x:v>
      </x:c>
      <x:c r="J312" s="22" t="str">
        <x:v>NA</x:v>
      </x:c>
      <x:c r="K312" s="22" t="str">
        <x:v>NA</x:v>
      </x:c>
      <x:c r="L312" s="22" t="n">
        <x:v>0.138335</x:v>
      </x:c>
      <x:c r="M312" s="22" t="str">
        <x:v>基线样本；低证据人数9/9，主权重0</x:v>
      </x:c>
    </x:row>
  </x:sheetData>
  <x:pageMargins left="0.7" right="0.7" top="0.75" bottom="0.75" header="0.3" footer="0.3"/>
  <x:tableParts count="1">
    <x:tablePart xmlns:r="http://schemas.openxmlformats.org/officeDocument/2006/relationships" r:id="R6309899247ec4a3d"/>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28" hidden="0" customWidth="1"/>
    <x:col min="3" max="3" width="13" hidden="0" customWidth="1"/>
    <x:col min="4" max="4" width="16" hidden="0" customWidth="1"/>
    <x:col min="5" max="5" width="22" hidden="0" customWidth="1"/>
    <x:col min="6" max="6" width="12" hidden="0" customWidth="1"/>
    <x:col min="7" max="7" width="12" hidden="0" customWidth="1"/>
    <x:col min="8" max="8" width="14" hidden="0" customWidth="1"/>
    <x:col min="9" max="9" width="12" hidden="0" customWidth="1"/>
    <x:col min="10" max="10" width="12" hidden="0" customWidth="1"/>
    <x:col min="11" max="11" width="12" hidden="0" customWidth="1"/>
    <x:col min="12" max="12" width="17" hidden="0" customWidth="1"/>
    <x:col min="13" max="13" width="17" hidden="0" customWidth="1"/>
    <x:col min="14" max="14" width="17" hidden="0" customWidth="1"/>
    <x:col min="15" max="15" width="15" hidden="0" customWidth="1"/>
    <x:col min="16" max="16" width="22" hidden="0" customWidth="1"/>
    <x:col min="17" max="17" width="40" hidden="0" customWidth="1"/>
    <x:col min="18" max="18" width="70" hidden="0" customWidth="1"/>
    <x:col min="19" max="19" width="95" hidden="0" customWidth="1"/>
  </x:cols>
  <x:sheetData>
    <x:row r="1">
      <x:c r="A1" s="1"/>
      <x:c r="B1" s="1"/>
      <x:c r="C1" s="1"/>
      <x:c r="D1" s="1"/>
      <x:c r="E1" s="1"/>
      <x:c r="F1" s="1"/>
      <x:c r="G1" s="1"/>
      <x:c r="H1" s="1"/>
      <x:c r="I1" s="1"/>
      <x:c r="J1" s="1"/>
      <x:c r="K1" s="1"/>
      <x:c r="L1" s="1"/>
    </x:row>
    <x:row r="2">
      <x:c r="A2" s="2" t="str">
        <x:v>前后20%学生证据复核</x:v>
      </x:c>
      <x:c r="B2" s="1"/>
      <x:c r="C2" s="1"/>
      <x:c r="D2" s="1"/>
      <x:c r="E2" s="1"/>
      <x:c r="F2" s="1"/>
      <x:c r="G2" s="1"/>
      <x:c r="H2" s="1"/>
      <x:c r="I2" s="1"/>
      <x:c r="J2" s="1"/>
      <x:c r="K2" s="1"/>
      <x:c r="L2" s="1"/>
    </x:row>
    <x:row r="3">
      <x:c r="A3" s="3" t="str">
        <x:v>当前五方案权重快照。含边界同分；检查指标贡献、证据覆盖、量尺与方案稳定性，不等同验证排名准确。</x:v>
      </x:c>
      <x:c r="B3" s="1"/>
      <x:c r="C3" s="1"/>
      <x:c r="D3" s="1"/>
      <x:c r="E3" s="1"/>
      <x:c r="F3" s="1"/>
      <x:c r="G3" s="1"/>
      <x:c r="H3" s="1"/>
      <x:c r="I3" s="1"/>
      <x:c r="J3" s="1"/>
      <x:c r="K3" s="1"/>
      <x:c r="L3" s="1"/>
    </x:row>
    <x:row r="5" ht="42" customHeight="1">
      <x:c r="A5" s="9" t="str">
        <x:v>范围</x:v>
      </x:c>
      <x:c r="B5" s="9" t="str">
        <x:v>方案</x:v>
      </x:c>
      <x:c r="C5" s="9" t="str">
        <x:v>组别</x:v>
      </x:c>
      <x:c r="D5" s="9" t="str">
        <x:v>边界状态</x:v>
      </x:c>
      <x:c r="E5" s="9" t="str">
        <x:v>学生ID</x:v>
      </x:c>
      <x:c r="F5" s="9" t="str">
        <x:v>量尺</x:v>
      </x:c>
      <x:c r="G5" s="9" t="str">
        <x:v>平均秩</x:v>
      </x:c>
      <x:c r="H5" s="9" t="str">
        <x:v>分数</x:v>
      </x:c>
      <x:c r="I5" s="9" t="str">
        <x:v>有效对话</x:v>
      </x:c>
      <x:c r="J5" s="9" t="str">
        <x:v>概念数</x:v>
      </x:c>
      <x:c r="K5" s="9" t="str">
        <x:v>基线完整</x:v>
      </x:c>
      <x:c r="L5" s="9" t="str">
        <x:v>CTQ合计贡献</x:v>
      </x:c>
      <x:c r="M5" s="9" t="str">
        <x:v>CTQ均值贡献</x:v>
      </x:c>
      <x:c r="N5" s="9" t="str">
        <x:v>CTQ最高贡献</x:v>
      </x:c>
      <x:c r="O5" s="9" t="str">
        <x:v>质量贡献</x:v>
      </x:c>
      <x:c r="P5" s="9" t="str">
        <x:v>四主方案保留次数</x:v>
      </x:c>
      <x:c r="Q5" s="9" t="str">
        <x:v>有效对话JSON</x:v>
      </x:c>
      <x:c r="R5" s="9" t="str">
        <x:v>证据JSONL定位</x:v>
      </x:c>
      <x:c r="S5" s="9" t="str">
        <x:v>证据提示（含6例目的性复核）</x:v>
      </x:c>
    </x:row>
    <x:row r="6" ht="48" customHeight="1">
      <x:c r="A6" s="21" t="str">
        <x:v>全量观察(探索)</x:v>
      </x:c>
      <x:c r="B6" s="22" t="str">
        <x:v>均衡型</x:v>
      </x:c>
      <x:c r="C6" s="22" t="str">
        <x:v>前20%</x:v>
      </x:c>
      <x:c r="D6" s="22" t="str">
        <x:v>严格进入</x:v>
      </x:c>
      <x:c r="E6" s="22" t="str">
        <x:v>2025秋:259329</x:v>
      </x:c>
      <x:c r="F6" s="22" t="str">
        <x:v>s6</x:v>
      </x:c>
      <x:c r="G6" s="26" t="n">
        <x:v>1</x:v>
      </x:c>
      <x:c r="H6" s="25" t="n">
        <x:v>63.99999999999999</x:v>
      </x:c>
      <x:c r="I6" s="24" t="n">
        <x:v>1</x:v>
      </x:c>
      <x:c r="J6" s="24" t="n">
        <x:v>1</x:v>
      </x:c>
      <x:c r="K6" s="22" t="str">
        <x:v>是</x:v>
      </x:c>
      <x:c r="L6" s="22" t="n">
        <x:v>2</x:v>
      </x:c>
      <x:c r="M6" s="22" t="n">
        <x:v>20</x:v>
      </x:c>
      <x:c r="N6" s="22" t="n">
        <x:v>12</x:v>
      </x:c>
      <x:c r="O6" s="22" t="n">
        <x:v>30</x:v>
      </x:c>
      <x:c r="P6" s="24" t="n">
        <x:v>4</x:v>
      </x:c>
      <x:c r="Q6" s="22" t="str">
        <x:v>["S0112"]</x:v>
      </x:c>
      <x:c r="R6" s="22" t="str">
        <x:v>evidence/student_evidence.jsonl；student_key=2025秋:259329</x:v>
      </x:c>
      <x:c r="S6" s="27" t="str">
        <x:v>S0112库存案例为文字框架，未见完整方程、求解及验证；L6构造要求需复核。</x:v>
      </x:c>
    </x:row>
    <x:row r="7" ht="48" customHeight="1">
      <x:c r="A7" s="21" t="str">
        <x:v>全量观察(探索)</x:v>
      </x:c>
      <x:c r="B7" s="22" t="str">
        <x:v>均衡型</x:v>
      </x:c>
      <x:c r="C7" s="22" t="str">
        <x:v>前20%</x:v>
      </x:c>
      <x:c r="D7" s="22" t="str">
        <x:v>严格进入</x:v>
      </x:c>
      <x:c r="E7" s="22" t="str">
        <x:v>2025秋:259869</x:v>
      </x:c>
      <x:c r="F7" s="22" t="str">
        <x:v>s6</x:v>
      </x:c>
      <x:c r="G7" s="26" t="n">
        <x:v>2</x:v>
      </x:c>
      <x:c r="H7" s="25" t="n">
        <x:v>57.50000000000001</x:v>
      </x:c>
      <x:c r="I7" s="24" t="n">
        <x:v>1</x:v>
      </x:c>
      <x:c r="J7" s="24" t="n">
        <x:v>1</x:v>
      </x:c>
      <x:c r="K7" s="22" t="str">
        <x:v>是</x:v>
      </x:c>
      <x:c r="L7" s="22" t="n">
        <x:v>2.4999999999999996</x:v>
      </x:c>
      <x:c r="M7" s="22" t="n">
        <x:v>25</x:v>
      </x:c>
      <x:c r="N7" s="22" t="n">
        <x:v>15</x:v>
      </x:c>
      <x:c r="O7" s="22" t="n">
        <x:v>15</x:v>
      </x:c>
      <x:c r="P7" s="24" t="n">
        <x:v>4</x:v>
      </x:c>
      <x:c r="Q7" s="22" t="str">
        <x:v>["S0220"]</x:v>
      </x:c>
      <x:c r="R7" s="22" t="str">
        <x:v>evidence/student_evidence.jsonl；student_key=2025秋:259869</x:v>
      </x:c>
      <x:c r="S7" s="27" t="str">
        <x:v>S0220 L1→L6。高点为无人机局部方案，未见独立求解及最优性验证；L6充分性待复核。</x:v>
      </x:c>
    </x:row>
    <x:row r="8" ht="23" customHeight="1">
      <x:c r="A8" s="21" t="str">
        <x:v>全量观察(探索)</x:v>
      </x:c>
      <x:c r="B8" s="22" t="str">
        <x:v>均衡型</x:v>
      </x:c>
      <x:c r="C8" s="22" t="str">
        <x:v>前20%</x:v>
      </x:c>
      <x:c r="D8" s="22" t="str">
        <x:v>严格进入</x:v>
      </x:c>
      <x:c r="E8" s="22" t="str">
        <x:v>2025秋:258902</x:v>
      </x:c>
      <x:c r="F8" s="22" t="str">
        <x:v>s3</x:v>
      </x:c>
      <x:c r="G8" s="26" t="n">
        <x:v>3.5</x:v>
      </x:c>
      <x:c r="H8" s="25" t="n">
        <x:v>51.36508569299553</x:v>
      </x:c>
      <x:c r="I8" s="24" t="n">
        <x:v>1</x:v>
      </x:c>
      <x:c r="J8" s="24" t="n">
        <x:v>1</x:v>
      </x:c>
      <x:c r="K8" s="22" t="str">
        <x:v>是</x:v>
      </x:c>
      <x:c r="L8" s="22" t="n">
        <x:v>1.256769746646796</x:v>
      </x:c>
      <x:c r="M8" s="22" t="n">
        <x:v>12.567697466467958</x:v>
      </x:c>
      <x:c r="N8" s="22" t="n">
        <x:v>7.5406184798807745</x:v>
      </x:c>
      <x:c r="O8" s="22" t="n">
        <x:v>30</x:v>
      </x:c>
      <x:c r="P8" s="24" t="n">
        <x:v>4</x:v>
      </x:c>
      <x:c r="Q8" s="22" t="str">
        <x:v>["S0149"]</x:v>
      </x:c>
      <x:c r="R8" s="22" t="str">
        <x:v>evidence/student_evidence.jsonl；student_key=2025秋:258902</x:v>
      </x:c>
      <x:c r="S8" s="27" t="str"/>
    </x:row>
    <x:row r="9" ht="23" customHeight="1">
      <x:c r="A9" s="21" t="str">
        <x:v>全量观察(探索)</x:v>
      </x:c>
      <x:c r="B9" s="22" t="str">
        <x:v>均衡型</x:v>
      </x:c>
      <x:c r="C9" s="22" t="str">
        <x:v>前20%</x:v>
      </x:c>
      <x:c r="D9" s="22" t="str">
        <x:v>严格进入</x:v>
      </x:c>
      <x:c r="E9" s="22" t="str">
        <x:v>2025秋:259407</x:v>
      </x:c>
      <x:c r="F9" s="22" t="str">
        <x:v>s3</x:v>
      </x:c>
      <x:c r="G9" s="26" t="n">
        <x:v>3.5</x:v>
      </x:c>
      <x:c r="H9" s="25" t="n">
        <x:v>51.36508569299553</x:v>
      </x:c>
      <x:c r="I9" s="24" t="n">
        <x:v>1</x:v>
      </x:c>
      <x:c r="J9" s="24" t="n">
        <x:v>1</x:v>
      </x:c>
      <x:c r="K9" s="22" t="str">
        <x:v>是</x:v>
      </x:c>
      <x:c r="L9" s="22" t="n">
        <x:v>1.256769746646796</x:v>
      </x:c>
      <x:c r="M9" s="22" t="n">
        <x:v>12.567697466467958</x:v>
      </x:c>
      <x:c r="N9" s="22" t="n">
        <x:v>7.5406184798807745</x:v>
      </x:c>
      <x:c r="O9" s="22" t="n">
        <x:v>30</x:v>
      </x:c>
      <x:c r="P9" s="24" t="n">
        <x:v>4</x:v>
      </x:c>
      <x:c r="Q9" s="22" t="str">
        <x:v>["S0036"]</x:v>
      </x:c>
      <x:c r="R9" s="22" t="str">
        <x:v>evidence/student_evidence.jsonl；student_key=2025秋:259407</x:v>
      </x:c>
      <x:c r="S9" s="27" t="str"/>
    </x:row>
    <x:row r="10" ht="23" customHeight="1">
      <x:c r="A10" s="21" t="str">
        <x:v>全量观察(探索)</x:v>
      </x:c>
      <x:c r="B10" s="22" t="str">
        <x:v>均衡型</x:v>
      </x:c>
      <x:c r="C10" s="22" t="str">
        <x:v>前20%</x:v>
      </x:c>
      <x:c r="D10" s="22" t="str">
        <x:v>严格进入</x:v>
      </x:c>
      <x:c r="E10" s="22" t="str">
        <x:v>2025秋:259021</x:v>
      </x:c>
      <x:c r="F10" s="22" t="str">
        <x:v>s3</x:v>
      </x:c>
      <x:c r="G10" s="26" t="n">
        <x:v>5.5</x:v>
      </x:c>
      <x:c r="H10" s="25" t="n">
        <x:v>51.086180312006</x:v>
      </x:c>
      <x:c r="I10" s="24" t="n">
        <x:v>1</x:v>
      </x:c>
      <x:c r="J10" s="24" t="n">
        <x:v>1</x:v>
      </x:c>
      <x:c r="K10" s="22" t="str">
        <x:v>是</x:v>
      </x:c>
      <x:c r="L10" s="22" t="n">
        <x:v>1.2403635477650594</x:v>
      </x:c>
      <x:c r="M10" s="22" t="n">
        <x:v>12.403635477650594</x:v>
      </x:c>
      <x:c r="N10" s="22" t="n">
        <x:v>7.4421812865903565</x:v>
      </x:c>
      <x:c r="O10" s="22" t="n">
        <x:v>30</x:v>
      </x:c>
      <x:c r="P10" s="24" t="n">
        <x:v>4</x:v>
      </x:c>
      <x:c r="Q10" s="22" t="str">
        <x:v>["S0464"]</x:v>
      </x:c>
      <x:c r="R10" s="22" t="str">
        <x:v>evidence/student_evidence.jsonl；student_key=2025秋:259021</x:v>
      </x:c>
      <x:c r="S10" s="27" t="str"/>
    </x:row>
    <x:row r="11" ht="23" customHeight="1">
      <x:c r="A11" s="21" t="str">
        <x:v>全量观察(探索)</x:v>
      </x:c>
      <x:c r="B11" s="22" t="str">
        <x:v>均衡型</x:v>
      </x:c>
      <x:c r="C11" s="22" t="str">
        <x:v>前20%</x:v>
      </x:c>
      <x:c r="D11" s="22" t="str">
        <x:v>严格进入</x:v>
      </x:c>
      <x:c r="E11" s="22" t="str">
        <x:v>2025秋:25A081</x:v>
      </x:c>
      <x:c r="F11" s="22" t="str">
        <x:v>s3</x:v>
      </x:c>
      <x:c r="G11" s="26" t="n">
        <x:v>5.5</x:v>
      </x:c>
      <x:c r="H11" s="25" t="n">
        <x:v>51.086180312006</x:v>
      </x:c>
      <x:c r="I11" s="24" t="n">
        <x:v>1</x:v>
      </x:c>
      <x:c r="J11" s="24" t="n">
        <x:v>1</x:v>
      </x:c>
      <x:c r="K11" s="22" t="str">
        <x:v>是</x:v>
      </x:c>
      <x:c r="L11" s="22" t="n">
        <x:v>1.2403635477650594</x:v>
      </x:c>
      <x:c r="M11" s="22" t="n">
        <x:v>12.403635477650594</x:v>
      </x:c>
      <x:c r="N11" s="22" t="n">
        <x:v>7.4421812865903565</x:v>
      </x:c>
      <x:c r="O11" s="22" t="n">
        <x:v>30</x:v>
      </x:c>
      <x:c r="P11" s="24" t="n">
        <x:v>4</x:v>
      </x:c>
      <x:c r="Q11" s="22" t="str">
        <x:v>["S0411"]</x:v>
      </x:c>
      <x:c r="R11" s="22" t="str">
        <x:v>evidence/student_evidence.jsonl；student_key=2025秋:25A081</x:v>
      </x:c>
      <x:c r="S11" s="27" t="str"/>
    </x:row>
    <x:row r="12" ht="23" customHeight="1">
      <x:c r="A12" s="21" t="str">
        <x:v>全量观察(探索)</x:v>
      </x:c>
      <x:c r="B12" s="22" t="str">
        <x:v>均衡型</x:v>
      </x:c>
      <x:c r="C12" s="22" t="str">
        <x:v>前20%</x:v>
      </x:c>
      <x:c r="D12" s="22" t="str">
        <x:v>严格进入</x:v>
      </x:c>
      <x:c r="E12" s="22" t="str">
        <x:v>2025秋:259401</x:v>
      </x:c>
      <x:c r="F12" s="22" t="str">
        <x:v>s3</x:v>
      </x:c>
      <x:c r="G12" s="26" t="n">
        <x:v>7.5</x:v>
      </x:c>
      <x:c r="H12" s="25" t="n">
        <x:v>50.957185142096236</x:v>
      </x:c>
      <x:c r="I12" s="24" t="n">
        <x:v>1</x:v>
      </x:c>
      <x:c r="J12" s="24" t="n">
        <x:v>1</x:v>
      </x:c>
      <x:c r="K12" s="22" t="str">
        <x:v>否</x:v>
      </x:c>
      <x:c r="L12" s="22" t="n">
        <x:v>1.2327755965938967</x:v>
      </x:c>
      <x:c r="M12" s="22" t="n">
        <x:v>12.327755965938966</x:v>
      </x:c>
      <x:c r="N12" s="22" t="n">
        <x:v>7.396653579563379</x:v>
      </x:c>
      <x:c r="O12" s="22" t="n">
        <x:v>30</x:v>
      </x:c>
      <x:c r="P12" s="24" t="n">
        <x:v>4</x:v>
      </x:c>
      <x:c r="Q12" s="22" t="str">
        <x:v>["S0378"]</x:v>
      </x:c>
      <x:c r="R12" s="22" t="str">
        <x:v>evidence/student_evidence.jsonl；student_key=2025秋:259401</x:v>
      </x:c>
      <x:c r="S12" s="27" t="str"/>
    </x:row>
    <x:row r="13" ht="23" customHeight="1">
      <x:c r="A13" s="21" t="str">
        <x:v>全量观察(探索)</x:v>
      </x:c>
      <x:c r="B13" s="22" t="str">
        <x:v>均衡型</x:v>
      </x:c>
      <x:c r="C13" s="22" t="str">
        <x:v>前20%</x:v>
      </x:c>
      <x:c r="D13" s="22" t="str">
        <x:v>严格进入</x:v>
      </x:c>
      <x:c r="E13" s="22" t="str">
        <x:v>2025秋:259961</x:v>
      </x:c>
      <x:c r="F13" s="22" t="str">
        <x:v>s3</x:v>
      </x:c>
      <x:c r="G13" s="26" t="n">
        <x:v>7.5</x:v>
      </x:c>
      <x:c r="H13" s="25" t="n">
        <x:v>50.957185142096236</x:v>
      </x:c>
      <x:c r="I13" s="24" t="n">
        <x:v>1</x:v>
      </x:c>
      <x:c r="J13" s="24" t="n">
        <x:v>1</x:v>
      </x:c>
      <x:c r="K13" s="22" t="str">
        <x:v>是</x:v>
      </x:c>
      <x:c r="L13" s="22" t="n">
        <x:v>1.2327755965938967</x:v>
      </x:c>
      <x:c r="M13" s="22" t="n">
        <x:v>12.327755965938966</x:v>
      </x:c>
      <x:c r="N13" s="22" t="n">
        <x:v>7.396653579563379</x:v>
      </x:c>
      <x:c r="O13" s="22" t="n">
        <x:v>30</x:v>
      </x:c>
      <x:c r="P13" s="24" t="n">
        <x:v>4</x:v>
      </x:c>
      <x:c r="Q13" s="22" t="str">
        <x:v>["S0296"]</x:v>
      </x:c>
      <x:c r="R13" s="22" t="str">
        <x:v>evidence/student_evidence.jsonl；student_key=2025秋:259961</x:v>
      </x:c>
      <x:c r="S13" s="27" t="str"/>
    </x:row>
    <x:row r="14" ht="23" customHeight="1">
      <x:c r="A14" s="21" t="str">
        <x:v>全量观察(探索)</x:v>
      </x:c>
      <x:c r="B14" s="22" t="str">
        <x:v>均衡型</x:v>
      </x:c>
      <x:c r="C14" s="22" t="str">
        <x:v>前20%</x:v>
      </x:c>
      <x:c r="D14" s="22" t="str">
        <x:v>严格进入</x:v>
      </x:c>
      <x:c r="E14" s="22" t="str">
        <x:v>2025秋:25A134</x:v>
      </x:c>
      <x:c r="F14" s="22" t="str">
        <x:v>s3</x:v>
      </x:c>
      <x:c r="G14" s="26" t="n">
        <x:v>9</x:v>
      </x:c>
      <x:c r="H14" s="25" t="n">
        <x:v>50.726205034221906</x:v>
      </x:c>
      <x:c r="I14" s="24" t="n">
        <x:v>1</x:v>
      </x:c>
      <x:c r="J14" s="24" t="n">
        <x:v>1</x:v>
      </x:c>
      <x:c r="K14" s="22" t="str">
        <x:v>是</x:v>
      </x:c>
      <x:c r="L14" s="22" t="n">
        <x:v>1.219188531424818</x:v>
      </x:c>
      <x:c r="M14" s="22" t="n">
        <x:v>12.191885314248182</x:v>
      </x:c>
      <x:c r="N14" s="22" t="n">
        <x:v>7.315131188548909</x:v>
      </x:c>
      <x:c r="O14" s="22" t="n">
        <x:v>30</x:v>
      </x:c>
      <x:c r="P14" s="24" t="n">
        <x:v>4</x:v>
      </x:c>
      <x:c r="Q14" s="22" t="str">
        <x:v>["S0311"]</x:v>
      </x:c>
      <x:c r="R14" s="22" t="str">
        <x:v>evidence/student_evidence.jsonl；student_key=2025秋:25A134</x:v>
      </x:c>
      <x:c r="S14" s="27" t="str"/>
    </x:row>
    <x:row r="15" ht="23" customHeight="1">
      <x:c r="A15" s="21" t="str">
        <x:v>全量观察(探索)</x:v>
      </x:c>
      <x:c r="B15" s="22" t="str">
        <x:v>均衡型</x:v>
      </x:c>
      <x:c r="C15" s="22" t="str">
        <x:v>前20%</x:v>
      </x:c>
      <x:c r="D15" s="22" t="str">
        <x:v>严格进入</x:v>
      </x:c>
      <x:c r="E15" s="22" t="str">
        <x:v>2025秋:258878</x:v>
      </x:c>
      <x:c r="F15" s="22" t="str">
        <x:v>s3</x:v>
      </x:c>
      <x:c r="G15" s="26" t="n">
        <x:v>10.5</x:v>
      </x:c>
      <x:c r="H15" s="25" t="n">
        <x:v>50.69857711498222</x:v>
      </x:c>
      <x:c r="I15" s="24" t="n">
        <x:v>1</x:v>
      </x:c>
      <x:c r="J15" s="24" t="n">
        <x:v>1</x:v>
      </x:c>
      <x:c r="K15" s="22" t="str">
        <x:v>是</x:v>
      </x:c>
      <x:c r="L15" s="22" t="n">
        <x:v>1.2175633597048372</x:v>
      </x:c>
      <x:c r="M15" s="22" t="n">
        <x:v>12.175633597048371</x:v>
      </x:c>
      <x:c r="N15" s="22" t="n">
        <x:v>7.305380158229022</x:v>
      </x:c>
      <x:c r="O15" s="22" t="n">
        <x:v>30</x:v>
      </x:c>
      <x:c r="P15" s="24" t="n">
        <x:v>4</x:v>
      </x:c>
      <x:c r="Q15" s="22" t="str">
        <x:v>["S0364"]</x:v>
      </x:c>
      <x:c r="R15" s="22" t="str">
        <x:v>evidence/student_evidence.jsonl；student_key=2025秋:258878</x:v>
      </x:c>
      <x:c r="S15" s="27" t="str"/>
    </x:row>
    <x:row r="16" ht="23" customHeight="1">
      <x:c r="A16" s="21" t="str">
        <x:v>全量观察(探索)</x:v>
      </x:c>
      <x:c r="B16" s="22" t="str">
        <x:v>均衡型</x:v>
      </x:c>
      <x:c r="C16" s="22" t="str">
        <x:v>前20%</x:v>
      </x:c>
      <x:c r="D16" s="22" t="str">
        <x:v>严格进入</x:v>
      </x:c>
      <x:c r="E16" s="22" t="str">
        <x:v>2025秋:258888</x:v>
      </x:c>
      <x:c r="F16" s="22" t="str">
        <x:v>s3</x:v>
      </x:c>
      <x:c r="G16" s="26" t="n">
        <x:v>10.5</x:v>
      </x:c>
      <x:c r="H16" s="25" t="n">
        <x:v>50.69857711498222</x:v>
      </x:c>
      <x:c r="I16" s="24" t="n">
        <x:v>2</x:v>
      </x:c>
      <x:c r="J16" s="24" t="n">
        <x:v>1</x:v>
      </x:c>
      <x:c r="K16" s="22" t="str">
        <x:v>是</x:v>
      </x:c>
      <x:c r="L16" s="22" t="n">
        <x:v>1.2175633597048372</x:v>
      </x:c>
      <x:c r="M16" s="22" t="n">
        <x:v>12.175633597048371</x:v>
      </x:c>
      <x:c r="N16" s="22" t="n">
        <x:v>7.305380158229022</x:v>
      </x:c>
      <x:c r="O16" s="22" t="n">
        <x:v>30</x:v>
      </x:c>
      <x:c r="P16" s="24" t="n">
        <x:v>4</x:v>
      </x:c>
      <x:c r="Q16" s="22" t="str">
        <x:v>["S0190","S0365"]</x:v>
      </x:c>
      <x:c r="R16" s="22" t="str">
        <x:v>evidence/student_evidence.jsonl；student_key=2025秋:258888</x:v>
      </x:c>
      <x:c r="S16" s="27" t="str"/>
    </x:row>
    <x:row r="17" ht="23" customHeight="1">
      <x:c r="A17" s="21" t="str">
        <x:v>全量观察(探索)</x:v>
      </x:c>
      <x:c r="B17" s="22" t="str">
        <x:v>均衡型</x:v>
      </x:c>
      <x:c r="C17" s="22" t="str">
        <x:v>前20%</x:v>
      </x:c>
      <x:c r="D17" s="22" t="str">
        <x:v>严格进入</x:v>
      </x:c>
      <x:c r="E17" s="22" t="str">
        <x:v>2025秋:258988</x:v>
      </x:c>
      <x:c r="F17" s="22" t="str">
        <x:v>s3</x:v>
      </x:c>
      <x:c r="G17" s="26" t="n">
        <x:v>12</x:v>
      </x:c>
      <x:c r="H17" s="25" t="n">
        <x:v>50.534855972713245</x:v>
      </x:c>
      <x:c r="I17" s="24" t="n">
        <x:v>1</x:v>
      </x:c>
      <x:c r="J17" s="24" t="n">
        <x:v>1</x:v>
      </x:c>
      <x:c r="K17" s="22" t="str">
        <x:v>是</x:v>
      </x:c>
      <x:c r="L17" s="22" t="n">
        <x:v>1.2079327042772496</x:v>
      </x:c>
      <x:c r="M17" s="22" t="n">
        <x:v>12.079327042772496</x:v>
      </x:c>
      <x:c r="N17" s="22" t="n">
        <x:v>7.247596225663497</x:v>
      </x:c>
      <x:c r="O17" s="22" t="n">
        <x:v>30</x:v>
      </x:c>
      <x:c r="P17" s="24" t="n">
        <x:v>4</x:v>
      </x:c>
      <x:c r="Q17" s="22" t="str">
        <x:v>["S0315"]</x:v>
      </x:c>
      <x:c r="R17" s="22" t="str">
        <x:v>evidence/student_evidence.jsonl；student_key=2025秋:258988</x:v>
      </x:c>
      <x:c r="S17" s="27" t="str"/>
    </x:row>
    <x:row r="18" ht="23" customHeight="1">
      <x:c r="A18" s="21" t="str">
        <x:v>全量观察(探索)</x:v>
      </x:c>
      <x:c r="B18" s="22" t="str">
        <x:v>均衡型</x:v>
      </x:c>
      <x:c r="C18" s="22" t="str">
        <x:v>前20%</x:v>
      </x:c>
      <x:c r="D18" s="22" t="str">
        <x:v>严格进入</x:v>
      </x:c>
      <x:c r="E18" s="22" t="str">
        <x:v>2025秋:259044</x:v>
      </x:c>
      <x:c r="F18" s="22" t="str">
        <x:v>s3</x:v>
      </x:c>
      <x:c r="G18" s="26" t="n">
        <x:v>13</x:v>
      </x:c>
      <x:c r="H18" s="25" t="n">
        <x:v>50.46306169104464</x:v>
      </x:c>
      <x:c r="I18" s="24" t="n">
        <x:v>1</x:v>
      </x:c>
      <x:c r="J18" s="24" t="n">
        <x:v>1</x:v>
      </x:c>
      <x:c r="K18" s="22" t="str">
        <x:v>是</x:v>
      </x:c>
      <x:c r="L18" s="22" t="n">
        <x:v>1.2037095112379201</x:v>
      </x:c>
      <x:c r="M18" s="22" t="n">
        <x:v>12.037095112379204</x:v>
      </x:c>
      <x:c r="N18" s="22" t="n">
        <x:v>7.222257067427522</x:v>
      </x:c>
      <x:c r="O18" s="22" t="n">
        <x:v>30</x:v>
      </x:c>
      <x:c r="P18" s="24" t="n">
        <x:v>4</x:v>
      </x:c>
      <x:c r="Q18" s="22" t="str">
        <x:v>["S0074"]</x:v>
      </x:c>
      <x:c r="R18" s="22" t="str">
        <x:v>evidence/student_evidence.jsonl；student_key=2025秋:259044</x:v>
      </x:c>
      <x:c r="S18" s="27" t="str"/>
    </x:row>
    <x:row r="19" ht="48" customHeight="1">
      <x:c r="A19" s="21" t="str">
        <x:v>全量观察(探索)</x:v>
      </x:c>
      <x:c r="B19" s="22" t="str">
        <x:v>均衡型</x:v>
      </x:c>
      <x:c r="C19" s="22" t="str">
        <x:v>前20%</x:v>
      </x:c>
      <x:c r="D19" s="22" t="str">
        <x:v>严格进入</x:v>
      </x:c>
      <x:c r="E19" s="22" t="str">
        <x:v>2025秋:258524</x:v>
      </x:c>
      <x:c r="F19" s="22" t="str">
        <x:v>s6</x:v>
      </x:c>
      <x:c r="G19" s="26" t="n">
        <x:v>14</x:v>
      </x:c>
      <x:c r="H19" s="25" t="n">
        <x:v>49</x:v>
      </x:c>
      <x:c r="I19" s="24" t="n">
        <x:v>1</x:v>
      </x:c>
      <x:c r="J19" s="24" t="n">
        <x:v>1</x:v>
      </x:c>
      <x:c r="K19" s="22" t="str">
        <x:v>是</x:v>
      </x:c>
      <x:c r="L19" s="22" t="n">
        <x:v>2</x:v>
      </x:c>
      <x:c r="M19" s="22" t="n">
        <x:v>20</x:v>
      </x:c>
      <x:c r="N19" s="22" t="n">
        <x:v>12</x:v>
      </x:c>
      <x:c r="O19" s="22" t="n">
        <x:v>15</x:v>
      </x:c>
      <x:c r="P19" s="24" t="n">
        <x:v>4</x:v>
      </x:c>
      <x:c r="Q19" s="22" t="str">
        <x:v>["S0041"]</x:v>
      </x:c>
      <x:c r="R19" s="22" t="str">
        <x:v>evidence/student_evidence.jsonl；student_key=2025秋:258524</x:v>
      </x:c>
      <x:c r="S19" s="27" t="str">
        <x:v>S0041低起点仅“长得漂亮”，大增量对L1起点敏感；末端为概念解释，知识基础及独立掌握待核。</x:v>
      </x:c>
    </x:row>
    <x:row r="20" ht="23" customHeight="1">
      <x:c r="A20" s="21" t="str">
        <x:v>全量观察(探索)</x:v>
      </x:c>
      <x:c r="B20" s="22" t="str">
        <x:v>均衡型</x:v>
      </x:c>
      <x:c r="C20" s="22" t="str">
        <x:v>前20%</x:v>
      </x:c>
      <x:c r="D20" s="22" t="str">
        <x:v>严格进入</x:v>
      </x:c>
      <x:c r="E20" s="22" t="str">
        <x:v>2025秋:258430</x:v>
      </x:c>
      <x:c r="F20" s="22" t="str">
        <x:v>s3</x:v>
      </x:c>
      <x:c r="G20" s="26" t="n">
        <x:v>15</x:v>
      </x:c>
      <x:c r="H20" s="25" t="n">
        <x:v>48.31700146986771</x:v>
      </x:c>
      <x:c r="I20" s="24" t="n">
        <x:v>1</x:v>
      </x:c>
      <x:c r="J20" s="24" t="n">
        <x:v>1</x:v>
      </x:c>
      <x:c r="K20" s="22" t="str">
        <x:v>是</x:v>
      </x:c>
      <x:c r="L20" s="22" t="n">
        <x:v>1.0774706746981009</x:v>
      </x:c>
      <x:c r="M20" s="22" t="n">
        <x:v>10.774706746981009</x:v>
      </x:c>
      <x:c r="N20" s="22" t="n">
        <x:v>6.464824048188605</x:v>
      </x:c>
      <x:c r="O20" s="22" t="n">
        <x:v>30</x:v>
      </x:c>
      <x:c r="P20" s="24" t="n">
        <x:v>4</x:v>
      </x:c>
      <x:c r="Q20" s="22" t="str">
        <x:v>["S0052"]</x:v>
      </x:c>
      <x:c r="R20" s="22" t="str">
        <x:v>evidence/student_evidence.jsonl；student_key=2025秋:258430</x:v>
      </x:c>
      <x:c r="S20" s="27" t="str"/>
    </x:row>
    <x:row r="21" ht="23" customHeight="1">
      <x:c r="A21" s="21" t="str">
        <x:v>全量观察(探索)</x:v>
      </x:c>
      <x:c r="B21" s="22" t="str">
        <x:v>均衡型</x:v>
      </x:c>
      <x:c r="C21" s="22" t="str">
        <x:v>前20%</x:v>
      </x:c>
      <x:c r="D21" s="22" t="str">
        <x:v>严格进入</x:v>
      </x:c>
      <x:c r="E21" s="22" t="str">
        <x:v>2025秋:258858</x:v>
      </x:c>
      <x:c r="F21" s="22" t="str">
        <x:v>s3</x:v>
      </x:c>
      <x:c r="G21" s="26" t="n">
        <x:v>16</x:v>
      </x:c>
      <x:c r="H21" s="25" t="n">
        <x:v>47.612038392760326</x:v>
      </x:c>
      <x:c r="I21" s="24" t="n">
        <x:v>2</x:v>
      </x:c>
      <x:c r="J21" s="24" t="n">
        <x:v>2</x:v>
      </x:c>
      <x:c r="K21" s="22" t="str">
        <x:v>是</x:v>
      </x:c>
      <x:c r="L21" s="22" t="n">
        <x:v>1.9424323965835626</x:v>
      </x:c>
      <x:c r="M21" s="22" t="n">
        <x:v>9.712161982917813</x:v>
      </x:c>
      <x:c r="N21" s="22" t="n">
        <x:v>5.957444013258952</x:v>
      </x:c>
      <x:c r="O21" s="22" t="n">
        <x:v>30</x:v>
      </x:c>
      <x:c r="P21" s="24" t="n">
        <x:v>4</x:v>
      </x:c>
      <x:c r="Q21" s="22" t="str">
        <x:v>["S0103","S0232"]</x:v>
      </x:c>
      <x:c r="R21" s="22" t="str">
        <x:v>evidence/student_evidence.jsonl；student_key=2025秋:258858</x:v>
      </x:c>
      <x:c r="S21" s="27" t="str"/>
    </x:row>
    <x:row r="22" ht="23" customHeight="1">
      <x:c r="A22" s="21" t="str">
        <x:v>全量观察(探索)</x:v>
      </x:c>
      <x:c r="B22" s="22" t="str">
        <x:v>均衡型</x:v>
      </x:c>
      <x:c r="C22" s="22" t="str">
        <x:v>前20%</x:v>
      </x:c>
      <x:c r="D22" s="22" t="str">
        <x:v>严格进入</x:v>
      </x:c>
      <x:c r="E22" s="22" t="str">
        <x:v>2025秋:259112</x:v>
      </x:c>
      <x:c r="F22" s="22" t="str">
        <x:v>s3</x:v>
      </x:c>
      <x:c r="G22" s="26" t="n">
        <x:v>18</x:v>
      </x:c>
      <x:c r="H22" s="25" t="n">
        <x:v>46.23008598708549</x:v>
      </x:c>
      <x:c r="I22" s="24" t="n">
        <x:v>1</x:v>
      </x:c>
      <x:c r="J22" s="24" t="n">
        <x:v>1</x:v>
      </x:c>
      <x:c r="K22" s="22" t="str">
        <x:v>是</x:v>
      </x:c>
      <x:c r="L22" s="22" t="n">
        <x:v>0.9547109404167937</x:v>
      </x:c>
      <x:c r="M22" s="22" t="n">
        <x:v>9.547109404167937</x:v>
      </x:c>
      <x:c r="N22" s="22" t="n">
        <x:v>5.728265642500762</x:v>
      </x:c>
      <x:c r="O22" s="22" t="n">
        <x:v>30</x:v>
      </x:c>
      <x:c r="P22" s="24" t="n">
        <x:v>4</x:v>
      </x:c>
      <x:c r="Q22" s="22" t="str">
        <x:v>["S0204"]</x:v>
      </x:c>
      <x:c r="R22" s="22" t="str">
        <x:v>evidence/student_evidence.jsonl；student_key=2025秋:259112</x:v>
      </x:c>
      <x:c r="S22" s="27" t="str"/>
    </x:row>
    <x:row r="23" ht="23" customHeight="1">
      <x:c r="A23" s="21" t="str">
        <x:v>全量观察(探索)</x:v>
      </x:c>
      <x:c r="B23" s="22" t="str">
        <x:v>均衡型</x:v>
      </x:c>
      <x:c r="C23" s="22" t="str">
        <x:v>前20%</x:v>
      </x:c>
      <x:c r="D23" s="22" t="str">
        <x:v>严格进入</x:v>
      </x:c>
      <x:c r="E23" s="22" t="str">
        <x:v>2025秋:259952</x:v>
      </x:c>
      <x:c r="F23" s="22" t="str">
        <x:v>s3</x:v>
      </x:c>
      <x:c r="G23" s="26" t="n">
        <x:v>18</x:v>
      </x:c>
      <x:c r="H23" s="25" t="n">
        <x:v>46.23008598708549</x:v>
      </x:c>
      <x:c r="I23" s="24" t="n">
        <x:v>1</x:v>
      </x:c>
      <x:c r="J23" s="24" t="n">
        <x:v>1</x:v>
      </x:c>
      <x:c r="K23" s="22" t="str">
        <x:v>否</x:v>
      </x:c>
      <x:c r="L23" s="22" t="n">
        <x:v>0.9547109404167937</x:v>
      </x:c>
      <x:c r="M23" s="22" t="n">
        <x:v>9.547109404167937</x:v>
      </x:c>
      <x:c r="N23" s="22" t="n">
        <x:v>5.728265642500762</x:v>
      </x:c>
      <x:c r="O23" s="22" t="n">
        <x:v>30</x:v>
      </x:c>
      <x:c r="P23" s="24" t="n">
        <x:v>4</x:v>
      </x:c>
      <x:c r="Q23" s="22" t="str">
        <x:v>["S0277"]</x:v>
      </x:c>
      <x:c r="R23" s="22" t="str">
        <x:v>evidence/student_evidence.jsonl；student_key=2025秋:259952</x:v>
      </x:c>
      <x:c r="S23" s="27" t="str"/>
    </x:row>
    <x:row r="24" ht="23" customHeight="1">
      <x:c r="A24" s="21" t="str">
        <x:v>全量观察(探索)</x:v>
      </x:c>
      <x:c r="B24" s="22" t="str">
        <x:v>均衡型</x:v>
      </x:c>
      <x:c r="C24" s="22" t="str">
        <x:v>前20%</x:v>
      </x:c>
      <x:c r="D24" s="22" t="str">
        <x:v>严格进入</x:v>
      </x:c>
      <x:c r="E24" s="22" t="str">
        <x:v>2026春:268183</x:v>
      </x:c>
      <x:c r="F24" s="22" t="str">
        <x:v>s3</x:v>
      </x:c>
      <x:c r="G24" s="26" t="n">
        <x:v>18</x:v>
      </x:c>
      <x:c r="H24" s="25" t="n">
        <x:v>46.23008598708549</x:v>
      </x:c>
      <x:c r="I24" s="24" t="n">
        <x:v>1</x:v>
      </x:c>
      <x:c r="J24" s="24" t="n">
        <x:v>1</x:v>
      </x:c>
      <x:c r="K24" s="22" t="str">
        <x:v>是</x:v>
      </x:c>
      <x:c r="L24" s="22" t="n">
        <x:v>0.9547109404167937</x:v>
      </x:c>
      <x:c r="M24" s="22" t="n">
        <x:v>9.547109404167937</x:v>
      </x:c>
      <x:c r="N24" s="22" t="n">
        <x:v>5.728265642500762</x:v>
      </x:c>
      <x:c r="O24" s="22" t="n">
        <x:v>30</x:v>
      </x:c>
      <x:c r="P24" s="24" t="n">
        <x:v>4</x:v>
      </x:c>
      <x:c r="Q24" s="22" t="str">
        <x:v>["S1051"]</x:v>
      </x:c>
      <x:c r="R24" s="22" t="str">
        <x:v>evidence/student_evidence.jsonl；student_key=2026春:268183</x:v>
      </x:c>
      <x:c r="S24" s="27" t="str"/>
    </x:row>
    <x:row r="25" ht="23" customHeight="1">
      <x:c r="A25" s="21" t="str">
        <x:v>全量观察(探索)</x:v>
      </x:c>
      <x:c r="B25" s="22" t="str">
        <x:v>均衡型</x:v>
      </x:c>
      <x:c r="C25" s="22" t="str">
        <x:v>前20%</x:v>
      </x:c>
      <x:c r="D25" s="22" t="str">
        <x:v>严格进入</x:v>
      </x:c>
      <x:c r="E25" s="22" t="str">
        <x:v>2025秋:258428</x:v>
      </x:c>
      <x:c r="F25" s="22" t="str">
        <x:v>s3</x:v>
      </x:c>
      <x:c r="G25" s="26" t="n">
        <x:v>21.5</x:v>
      </x:c>
      <x:c r="H25" s="25" t="n">
        <x:v>46.19251762097093</x:v>
      </x:c>
      <x:c r="I25" s="24" t="n">
        <x:v>1</x:v>
      </x:c>
      <x:c r="J25" s="24" t="n">
        <x:v>1</x:v>
      </x:c>
      <x:c r="K25" s="22" t="str">
        <x:v>是</x:v>
      </x:c>
      <x:c r="L25" s="22" t="n">
        <x:v>0.952501036527702</x:v>
      </x:c>
      <x:c r="M25" s="22" t="n">
        <x:v>9.52501036527702</x:v>
      </x:c>
      <x:c r="N25" s="22" t="n">
        <x:v>5.715006219166211</x:v>
      </x:c>
      <x:c r="O25" s="22" t="n">
        <x:v>30</x:v>
      </x:c>
      <x:c r="P25" s="24" t="n">
        <x:v>4</x:v>
      </x:c>
      <x:c r="Q25" s="22" t="str">
        <x:v>["S0096"]</x:v>
      </x:c>
      <x:c r="R25" s="22" t="str">
        <x:v>evidence/student_evidence.jsonl；student_key=2025秋:258428</x:v>
      </x:c>
      <x:c r="S25" s="27" t="str"/>
    </x:row>
    <x:row r="26" ht="23" customHeight="1">
      <x:c r="A26" s="21" t="str">
        <x:v>全量观察(探索)</x:v>
      </x:c>
      <x:c r="B26" s="22" t="str">
        <x:v>均衡型</x:v>
      </x:c>
      <x:c r="C26" s="22" t="str">
        <x:v>前20%</x:v>
      </x:c>
      <x:c r="D26" s="22" t="str">
        <x:v>严格进入</x:v>
      </x:c>
      <x:c r="E26" s="22" t="str">
        <x:v>2025秋:258922</x:v>
      </x:c>
      <x:c r="F26" s="22" t="str">
        <x:v>s3</x:v>
      </x:c>
      <x:c r="G26" s="26" t="n">
        <x:v>21.5</x:v>
      </x:c>
      <x:c r="H26" s="25" t="n">
        <x:v>46.19251762097093</x:v>
      </x:c>
      <x:c r="I26" s="24" t="n">
        <x:v>1</x:v>
      </x:c>
      <x:c r="J26" s="24" t="n">
        <x:v>1</x:v>
      </x:c>
      <x:c r="K26" s="22" t="str">
        <x:v>是</x:v>
      </x:c>
      <x:c r="L26" s="22" t="n">
        <x:v>0.952501036527702</x:v>
      </x:c>
      <x:c r="M26" s="22" t="n">
        <x:v>9.52501036527702</x:v>
      </x:c>
      <x:c r="N26" s="22" t="n">
        <x:v>5.715006219166211</x:v>
      </x:c>
      <x:c r="O26" s="22" t="n">
        <x:v>30</x:v>
      </x:c>
      <x:c r="P26" s="24" t="n">
        <x:v>4</x:v>
      </x:c>
      <x:c r="Q26" s="22" t="str">
        <x:v>["S0351"]</x:v>
      </x:c>
      <x:c r="R26" s="22" t="str">
        <x:v>evidence/student_evidence.jsonl；student_key=2025秋:258922</x:v>
      </x:c>
      <x:c r="S26" s="27" t="str"/>
    </x:row>
    <x:row r="27" ht="23" customHeight="1">
      <x:c r="A27" s="21" t="str">
        <x:v>全量观察(探索)</x:v>
      </x:c>
      <x:c r="B27" s="22" t="str">
        <x:v>均衡型</x:v>
      </x:c>
      <x:c r="C27" s="22" t="str">
        <x:v>前20%</x:v>
      </x:c>
      <x:c r="D27" s="22" t="str">
        <x:v>严格进入</x:v>
      </x:c>
      <x:c r="E27" s="22" t="str">
        <x:v>2025秋:259895</x:v>
      </x:c>
      <x:c r="F27" s="22" t="str">
        <x:v>s3</x:v>
      </x:c>
      <x:c r="G27" s="26" t="n">
        <x:v>21.5</x:v>
      </x:c>
      <x:c r="H27" s="25" t="n">
        <x:v>46.19251762097093</x:v>
      </x:c>
      <x:c r="I27" s="24" t="n">
        <x:v>1</x:v>
      </x:c>
      <x:c r="J27" s="24" t="n">
        <x:v>1</x:v>
      </x:c>
      <x:c r="K27" s="22" t="str">
        <x:v>是</x:v>
      </x:c>
      <x:c r="L27" s="22" t="n">
        <x:v>0.952501036527702</x:v>
      </x:c>
      <x:c r="M27" s="22" t="n">
        <x:v>9.52501036527702</x:v>
      </x:c>
      <x:c r="N27" s="22" t="n">
        <x:v>5.715006219166211</x:v>
      </x:c>
      <x:c r="O27" s="22" t="n">
        <x:v>30</x:v>
      </x:c>
      <x:c r="P27" s="24" t="n">
        <x:v>4</x:v>
      </x:c>
      <x:c r="Q27" s="22" t="str">
        <x:v>["S0407"]</x:v>
      </x:c>
      <x:c r="R27" s="22" t="str">
        <x:v>evidence/student_evidence.jsonl；student_key=2025秋:259895</x:v>
      </x:c>
      <x:c r="S27" s="27" t="str"/>
    </x:row>
    <x:row r="28" ht="23" customHeight="1">
      <x:c r="A28" s="21" t="str">
        <x:v>全量观察(探索)</x:v>
      </x:c>
      <x:c r="B28" s="22" t="str">
        <x:v>均衡型</x:v>
      </x:c>
      <x:c r="C28" s="22" t="str">
        <x:v>前20%</x:v>
      </x:c>
      <x:c r="D28" s="22" t="str">
        <x:v>严格进入</x:v>
      </x:c>
      <x:c r="E28" s="22" t="str">
        <x:v>2026春:259443</x:v>
      </x:c>
      <x:c r="F28" s="22" t="str">
        <x:v>s3</x:v>
      </x:c>
      <x:c r="G28" s="26" t="n">
        <x:v>21.5</x:v>
      </x:c>
      <x:c r="H28" s="25" t="n">
        <x:v>46.19251762097093</x:v>
      </x:c>
      <x:c r="I28" s="24" t="n">
        <x:v>1</x:v>
      </x:c>
      <x:c r="J28" s="24" t="n">
        <x:v>1</x:v>
      </x:c>
      <x:c r="K28" s="22" t="str">
        <x:v>是</x:v>
      </x:c>
      <x:c r="L28" s="22" t="n">
        <x:v>0.952501036527702</x:v>
      </x:c>
      <x:c r="M28" s="22" t="n">
        <x:v>9.52501036527702</x:v>
      </x:c>
      <x:c r="N28" s="22" t="n">
        <x:v>5.715006219166211</x:v>
      </x:c>
      <x:c r="O28" s="22" t="n">
        <x:v>30</x:v>
      </x:c>
      <x:c r="P28" s="24" t="n">
        <x:v>4</x:v>
      </x:c>
      <x:c r="Q28" s="22" t="str">
        <x:v>["S0850"]</x:v>
      </x:c>
      <x:c r="R28" s="22" t="str">
        <x:v>evidence/student_evidence.jsonl；student_key=2026春:259443</x:v>
      </x:c>
      <x:c r="S28" s="27" t="str"/>
    </x:row>
    <x:row r="29" ht="23" customHeight="1">
      <x:c r="A29" s="21" t="str">
        <x:v>全量观察(探索)</x:v>
      </x:c>
      <x:c r="B29" s="22" t="str">
        <x:v>均衡型</x:v>
      </x:c>
      <x:c r="C29" s="22" t="str">
        <x:v>前20%</x:v>
      </x:c>
      <x:c r="D29" s="22" t="str">
        <x:v>严格进入</x:v>
      </x:c>
      <x:c r="E29" s="22" t="str">
        <x:v>2025秋:25P025</x:v>
      </x:c>
      <x:c r="F29" s="22" t="str">
        <x:v>s3</x:v>
      </x:c>
      <x:c r="G29" s="26" t="n">
        <x:v>24</x:v>
      </x:c>
      <x:c r="H29" s="25" t="n">
        <x:v>46.14192603768687</x:v>
      </x:c>
      <x:c r="I29" s="24" t="n">
        <x:v>1</x:v>
      </x:c>
      <x:c r="J29" s="24" t="n">
        <x:v>1</x:v>
      </x:c>
      <x:c r="K29" s="22" t="str">
        <x:v>是</x:v>
      </x:c>
      <x:c r="L29" s="22" t="n">
        <x:v>0.9495250610404042</x:v>
      </x:c>
      <x:c r="M29" s="22" t="n">
        <x:v>9.495250610404042</x:v>
      </x:c>
      <x:c r="N29" s="22" t="n">
        <x:v>5.697150366242425</x:v>
      </x:c>
      <x:c r="O29" s="22" t="n">
        <x:v>30</x:v>
      </x:c>
      <x:c r="P29" s="24" t="n">
        <x:v>4</x:v>
      </x:c>
      <x:c r="Q29" s="22" t="str">
        <x:v>["S0130"]</x:v>
      </x:c>
      <x:c r="R29" s="22" t="str">
        <x:v>evidence/student_evidence.jsonl；student_key=2025秋:25P025</x:v>
      </x:c>
      <x:c r="S29" s="27" t="str"/>
    </x:row>
    <x:row r="30" ht="23" customHeight="1">
      <x:c r="A30" s="21" t="str">
        <x:v>全量观察(探索)</x:v>
      </x:c>
      <x:c r="B30" s="22" t="str">
        <x:v>均衡型</x:v>
      </x:c>
      <x:c r="C30" s="22" t="str">
        <x:v>前20%</x:v>
      </x:c>
      <x:c r="D30" s="22" t="str">
        <x:v>严格进入</x:v>
      </x:c>
      <x:c r="E30" s="22" t="str">
        <x:v>2025秋:25A148</x:v>
      </x:c>
      <x:c r="F30" s="22" t="str">
        <x:v>s3</x:v>
      </x:c>
      <x:c r="G30" s="26" t="n">
        <x:v>25.5</x:v>
      </x:c>
      <x:c r="H30" s="25" t="n">
        <x:v>45.41626502264868</x:v>
      </x:c>
      <x:c r="I30" s="24" t="n">
        <x:v>1</x:v>
      </x:c>
      <x:c r="J30" s="24" t="n">
        <x:v>1</x:v>
      </x:c>
      <x:c r="K30" s="22" t="str">
        <x:v>是</x:v>
      </x:c>
      <x:c r="L30" s="22" t="n">
        <x:v>0.9068391189793346</x:v>
      </x:c>
      <x:c r="M30" s="22" t="n">
        <x:v>9.068391189793346</x:v>
      </x:c>
      <x:c r="N30" s="22" t="n">
        <x:v>5.441034713876007</x:v>
      </x:c>
      <x:c r="O30" s="22" t="n">
        <x:v>30</x:v>
      </x:c>
      <x:c r="P30" s="24" t="n">
        <x:v>4</x:v>
      </x:c>
      <x:c r="Q30" s="22" t="str">
        <x:v>["S0067"]</x:v>
      </x:c>
      <x:c r="R30" s="22" t="str">
        <x:v>evidence/student_evidence.jsonl；student_key=2025秋:25A148</x:v>
      </x:c>
      <x:c r="S30" s="27" t="str"/>
    </x:row>
    <x:row r="31" ht="23" customHeight="1">
      <x:c r="A31" s="21" t="str">
        <x:v>全量观察(探索)</x:v>
      </x:c>
      <x:c r="B31" s="22" t="str">
        <x:v>均衡型</x:v>
      </x:c>
      <x:c r="C31" s="22" t="str">
        <x:v>前20%</x:v>
      </x:c>
      <x:c r="D31" s="22" t="str">
        <x:v>严格进入</x:v>
      </x:c>
      <x:c r="E31" s="22" t="str">
        <x:v>2026春:268184</x:v>
      </x:c>
      <x:c r="F31" s="22" t="str">
        <x:v>s3</x:v>
      </x:c>
      <x:c r="G31" s="26" t="n">
        <x:v>25.5</x:v>
      </x:c>
      <x:c r="H31" s="25" t="n">
        <x:v>45.41626502264868</x:v>
      </x:c>
      <x:c r="I31" s="24" t="n">
        <x:v>1</x:v>
      </x:c>
      <x:c r="J31" s="24" t="n">
        <x:v>1</x:v>
      </x:c>
      <x:c r="K31" s="22" t="str">
        <x:v>是</x:v>
      </x:c>
      <x:c r="L31" s="22" t="n">
        <x:v>0.9068391189793346</x:v>
      </x:c>
      <x:c r="M31" s="22" t="n">
        <x:v>9.068391189793346</x:v>
      </x:c>
      <x:c r="N31" s="22" t="n">
        <x:v>5.441034713876007</x:v>
      </x:c>
      <x:c r="O31" s="22" t="n">
        <x:v>30</x:v>
      </x:c>
      <x:c r="P31" s="24" t="n">
        <x:v>4</x:v>
      </x:c>
      <x:c r="Q31" s="22" t="str">
        <x:v>["S1054"]</x:v>
      </x:c>
      <x:c r="R31" s="22" t="str">
        <x:v>evidence/student_evidence.jsonl；student_key=2026春:268184</x:v>
      </x:c>
      <x:c r="S31" s="27" t="str"/>
    </x:row>
    <x:row r="32" ht="23" customHeight="1">
      <x:c r="A32" s="21" t="str">
        <x:v>全量观察(探索)</x:v>
      </x:c>
      <x:c r="B32" s="22" t="str">
        <x:v>均衡型</x:v>
      </x:c>
      <x:c r="C32" s="22" t="str">
        <x:v>前20%</x:v>
      </x:c>
      <x:c r="D32" s="22" t="str">
        <x:v>严格进入</x:v>
      </x:c>
      <x:c r="E32" s="22" t="str">
        <x:v>2025秋:240957</x:v>
      </x:c>
      <x:c r="F32" s="22" t="str">
        <x:v>s3</x:v>
      </x:c>
      <x:c r="G32" s="26" t="n">
        <x:v>28</x:v>
      </x:c>
      <x:c r="H32" s="25" t="n">
        <x:v>45.23045517018352</x:v>
      </x:c>
      <x:c r="I32" s="24" t="n">
        <x:v>1</x:v>
      </x:c>
      <x:c r="J32" s="24" t="n">
        <x:v>1</x:v>
      </x:c>
      <x:c r="K32" s="22" t="str">
        <x:v>是</x:v>
      </x:c>
      <x:c r="L32" s="22" t="n">
        <x:v>0.8959091276578542</x:v>
      </x:c>
      <x:c r="M32" s="22" t="n">
        <x:v>8.959091276578542</x:v>
      </x:c>
      <x:c r="N32" s="22" t="n">
        <x:v>5.375454765947125</x:v>
      </x:c>
      <x:c r="O32" s="22" t="n">
        <x:v>30</x:v>
      </x:c>
      <x:c r="P32" s="24" t="n">
        <x:v>4</x:v>
      </x:c>
      <x:c r="Q32" s="22" t="str">
        <x:v>["S0440"]</x:v>
      </x:c>
      <x:c r="R32" s="22" t="str">
        <x:v>evidence/student_evidence.jsonl；student_key=2025秋:240957</x:v>
      </x:c>
      <x:c r="S32" s="27" t="str"/>
    </x:row>
    <x:row r="33" ht="23" customHeight="1">
      <x:c r="A33" s="21" t="str">
        <x:v>全量观察(探索)</x:v>
      </x:c>
      <x:c r="B33" s="22" t="str">
        <x:v>均衡型</x:v>
      </x:c>
      <x:c r="C33" s="22" t="str">
        <x:v>前20%</x:v>
      </x:c>
      <x:c r="D33" s="22" t="str">
        <x:v>严格进入</x:v>
      </x:c>
      <x:c r="E33" s="22" t="str">
        <x:v>2025秋:259425</x:v>
      </x:c>
      <x:c r="F33" s="22" t="str">
        <x:v>s3</x:v>
      </x:c>
      <x:c r="G33" s="26" t="n">
        <x:v>28</x:v>
      </x:c>
      <x:c r="H33" s="25" t="n">
        <x:v>45.23045517018352</x:v>
      </x:c>
      <x:c r="I33" s="24" t="n">
        <x:v>1</x:v>
      </x:c>
      <x:c r="J33" s="24" t="n">
        <x:v>1</x:v>
      </x:c>
      <x:c r="K33" s="22" t="str">
        <x:v>是</x:v>
      </x:c>
      <x:c r="L33" s="22" t="n">
        <x:v>0.8959091276578542</x:v>
      </x:c>
      <x:c r="M33" s="22" t="n">
        <x:v>8.959091276578542</x:v>
      </x:c>
      <x:c r="N33" s="22" t="n">
        <x:v>5.375454765947125</x:v>
      </x:c>
      <x:c r="O33" s="22" t="n">
        <x:v>30</x:v>
      </x:c>
      <x:c r="P33" s="24" t="n">
        <x:v>4</x:v>
      </x:c>
      <x:c r="Q33" s="22" t="str">
        <x:v>["S0037"]</x:v>
      </x:c>
      <x:c r="R33" s="22" t="str">
        <x:v>evidence/student_evidence.jsonl；student_key=2025秋:259425</x:v>
      </x:c>
      <x:c r="S33" s="27" t="str"/>
    </x:row>
    <x:row r="34" ht="23" customHeight="1">
      <x:c r="A34" s="21" t="str">
        <x:v>全量观察(探索)</x:v>
      </x:c>
      <x:c r="B34" s="22" t="str">
        <x:v>均衡型</x:v>
      </x:c>
      <x:c r="C34" s="22" t="str">
        <x:v>前20%</x:v>
      </x:c>
      <x:c r="D34" s="22" t="str">
        <x:v>严格进入</x:v>
      </x:c>
      <x:c r="E34" s="22" t="str">
        <x:v>2026春:268502</x:v>
      </x:c>
      <x:c r="F34" s="22" t="str">
        <x:v>s3</x:v>
      </x:c>
      <x:c r="G34" s="26" t="n">
        <x:v>28</x:v>
      </x:c>
      <x:c r="H34" s="25" t="n">
        <x:v>45.23045517018352</x:v>
      </x:c>
      <x:c r="I34" s="24" t="n">
        <x:v>1</x:v>
      </x:c>
      <x:c r="J34" s="24" t="n">
        <x:v>1</x:v>
      </x:c>
      <x:c r="K34" s="22" t="str">
        <x:v>是</x:v>
      </x:c>
      <x:c r="L34" s="22" t="n">
        <x:v>0.8959091276578542</x:v>
      </x:c>
      <x:c r="M34" s="22" t="n">
        <x:v>8.959091276578542</x:v>
      </x:c>
      <x:c r="N34" s="22" t="n">
        <x:v>5.375454765947125</x:v>
      </x:c>
      <x:c r="O34" s="22" t="n">
        <x:v>30</x:v>
      </x:c>
      <x:c r="P34" s="24" t="n">
        <x:v>4</x:v>
      </x:c>
      <x:c r="Q34" s="22" t="str">
        <x:v>["S1220"]</x:v>
      </x:c>
      <x:c r="R34" s="22" t="str">
        <x:v>evidence/student_evidence.jsonl；student_key=2026春:268502</x:v>
      </x:c>
      <x:c r="S34" s="27" t="str"/>
    </x:row>
    <x:row r="35" ht="48" customHeight="1">
      <x:c r="A35" s="21" t="str">
        <x:v>全量观察(探索)</x:v>
      </x:c>
      <x:c r="B35" s="22" t="str">
        <x:v>均衡型</x:v>
      </x:c>
      <x:c r="C35" s="22" t="str">
        <x:v>前20%</x:v>
      </x:c>
      <x:c r="D35" s="22" t="str">
        <x:v>严格进入</x:v>
      </x:c>
      <x:c r="E35" s="22" t="str">
        <x:v>2025秋:258431</x:v>
      </x:c>
      <x:c r="F35" s="22" t="str">
        <x:v>s3</x:v>
      </x:c>
      <x:c r="G35" s="26" t="n">
        <x:v>31.5</x:v>
      </x:c>
      <x:c r="H35" s="25" t="n">
        <x:v>45.22441029614325</x:v>
      </x:c>
      <x:c r="I35" s="24" t="n">
        <x:v>2</x:v>
      </x:c>
      <x:c r="J35" s="24" t="n">
        <x:v>1</x:v>
      </x:c>
      <x:c r="K35" s="22" t="str">
        <x:v>是</x:v>
      </x:c>
      <x:c r="L35" s="22" t="n">
        <x:v>0.8955535468319558</x:v>
      </x:c>
      <x:c r="M35" s="22" t="n">
        <x:v>8.955535468319557</x:v>
      </x:c>
      <x:c r="N35" s="22" t="n">
        <x:v>5.373321280991734</x:v>
      </x:c>
      <x:c r="O35" s="22" t="n">
        <x:v>30</x:v>
      </x:c>
      <x:c r="P35" s="24" t="n">
        <x:v>4</x:v>
      </x:c>
      <x:c r="Q35" s="22" t="str">
        <x:v>["S0444","S0667"]</x:v>
      </x:c>
      <x:c r="R35" s="22" t="str">
        <x:v>evidence/student_evidence.jsonl；student_key=2025秋:258431</x:v>
      </x:c>
      <x:c r="S35" s="27" t="str">
        <x:v>同一锚点起止1条：未形成独立重复测量。</x:v>
      </x:c>
    </x:row>
    <x:row r="36" ht="23" customHeight="1">
      <x:c r="A36" s="21" t="str">
        <x:v>全量观察(探索)</x:v>
      </x:c>
      <x:c r="B36" s="22" t="str">
        <x:v>均衡型</x:v>
      </x:c>
      <x:c r="C36" s="22" t="str">
        <x:v>前20%</x:v>
      </x:c>
      <x:c r="D36" s="22" t="str">
        <x:v>严格进入</x:v>
      </x:c>
      <x:c r="E36" s="22" t="str">
        <x:v>2025秋:259050</x:v>
      </x:c>
      <x:c r="F36" s="22" t="str">
        <x:v>s3</x:v>
      </x:c>
      <x:c r="G36" s="26" t="n">
        <x:v>31.5</x:v>
      </x:c>
      <x:c r="H36" s="25" t="n">
        <x:v>45.22441029614325</x:v>
      </x:c>
      <x:c r="I36" s="24" t="n">
        <x:v>1</x:v>
      </x:c>
      <x:c r="J36" s="24" t="n">
        <x:v>1</x:v>
      </x:c>
      <x:c r="K36" s="22" t="str">
        <x:v>否</x:v>
      </x:c>
      <x:c r="L36" s="22" t="n">
        <x:v>0.8955535468319558</x:v>
      </x:c>
      <x:c r="M36" s="22" t="n">
        <x:v>8.955535468319557</x:v>
      </x:c>
      <x:c r="N36" s="22" t="n">
        <x:v>5.373321280991734</x:v>
      </x:c>
      <x:c r="O36" s="22" t="n">
        <x:v>30</x:v>
      </x:c>
      <x:c r="P36" s="24" t="n">
        <x:v>4</x:v>
      </x:c>
      <x:c r="Q36" s="22" t="str">
        <x:v>["S0455"]</x:v>
      </x:c>
      <x:c r="R36" s="22" t="str">
        <x:v>evidence/student_evidence.jsonl；student_key=2025秋:259050</x:v>
      </x:c>
      <x:c r="S36" s="27" t="str"/>
    </x:row>
    <x:row r="37" ht="23" customHeight="1">
      <x:c r="A37" s="21" t="str">
        <x:v>全量观察(探索)</x:v>
      </x:c>
      <x:c r="B37" s="22" t="str">
        <x:v>均衡型</x:v>
      </x:c>
      <x:c r="C37" s="22" t="str">
        <x:v>前20%</x:v>
      </x:c>
      <x:c r="D37" s="22" t="str">
        <x:v>严格进入</x:v>
      </x:c>
      <x:c r="E37" s="22" t="str">
        <x:v>2025秋:259326</x:v>
      </x:c>
      <x:c r="F37" s="22" t="str">
        <x:v>s3</x:v>
      </x:c>
      <x:c r="G37" s="26" t="n">
        <x:v>31.5</x:v>
      </x:c>
      <x:c r="H37" s="25" t="n">
        <x:v>45.22441029614325</x:v>
      </x:c>
      <x:c r="I37" s="24" t="n">
        <x:v>1</x:v>
      </x:c>
      <x:c r="J37" s="24" t="n">
        <x:v>1</x:v>
      </x:c>
      <x:c r="K37" s="22" t="str">
        <x:v>是</x:v>
      </x:c>
      <x:c r="L37" s="22" t="n">
        <x:v>0.8955535468319558</x:v>
      </x:c>
      <x:c r="M37" s="22" t="n">
        <x:v>8.955535468319557</x:v>
      </x:c>
      <x:c r="N37" s="22" t="n">
        <x:v>5.373321280991734</x:v>
      </x:c>
      <x:c r="O37" s="22" t="n">
        <x:v>30</x:v>
      </x:c>
      <x:c r="P37" s="24" t="n">
        <x:v>4</x:v>
      </x:c>
      <x:c r="Q37" s="22" t="str">
        <x:v>["S0496"]</x:v>
      </x:c>
      <x:c r="R37" s="22" t="str">
        <x:v>evidence/student_evidence.jsonl；student_key=2025秋:259326</x:v>
      </x:c>
      <x:c r="S37" s="27" t="str"/>
    </x:row>
    <x:row r="38" ht="23" customHeight="1">
      <x:c r="A38" s="21" t="str">
        <x:v>全量观察(探索)</x:v>
      </x:c>
      <x:c r="B38" s="22" t="str">
        <x:v>均衡型</x:v>
      </x:c>
      <x:c r="C38" s="22" t="str">
        <x:v>前20%</x:v>
      </x:c>
      <x:c r="D38" s="22" t="str">
        <x:v>严格进入</x:v>
      </x:c>
      <x:c r="E38" s="22" t="str">
        <x:v>2026春:268174</x:v>
      </x:c>
      <x:c r="F38" s="22" t="str">
        <x:v>s3</x:v>
      </x:c>
      <x:c r="G38" s="26" t="n">
        <x:v>31.5</x:v>
      </x:c>
      <x:c r="H38" s="25" t="n">
        <x:v>45.22441029614325</x:v>
      </x:c>
      <x:c r="I38" s="24" t="n">
        <x:v>1</x:v>
      </x:c>
      <x:c r="J38" s="24" t="n">
        <x:v>1</x:v>
      </x:c>
      <x:c r="K38" s="22" t="str">
        <x:v>是</x:v>
      </x:c>
      <x:c r="L38" s="22" t="n">
        <x:v>0.8955535468319558</x:v>
      </x:c>
      <x:c r="M38" s="22" t="n">
        <x:v>8.955535468319557</x:v>
      </x:c>
      <x:c r="N38" s="22" t="n">
        <x:v>5.373321280991734</x:v>
      </x:c>
      <x:c r="O38" s="22" t="n">
        <x:v>30</x:v>
      </x:c>
      <x:c r="P38" s="24" t="n">
        <x:v>4</x:v>
      </x:c>
      <x:c r="Q38" s="22" t="str">
        <x:v>["S1044"]</x:v>
      </x:c>
      <x:c r="R38" s="22" t="str">
        <x:v>evidence/student_evidence.jsonl；student_key=2026春:268174</x:v>
      </x:c>
      <x:c r="S38" s="27" t="str"/>
    </x:row>
    <x:row r="39" ht="23" customHeight="1">
      <x:c r="A39" s="21" t="str">
        <x:v>全量观察(探索)</x:v>
      </x:c>
      <x:c r="B39" s="22" t="str">
        <x:v>均衡型</x:v>
      </x:c>
      <x:c r="C39" s="22" t="str">
        <x:v>前20%</x:v>
      </x:c>
      <x:c r="D39" s="22" t="str">
        <x:v>边界同分</x:v>
      </x:c>
      <x:c r="E39" s="22" t="str">
        <x:v>2025秋:258924</x:v>
      </x:c>
      <x:c r="F39" s="22" t="str">
        <x:v>s3</x:v>
      </x:c>
      <x:c r="G39" s="26" t="n">
        <x:v>34.5</x:v>
      </x:c>
      <x:c r="H39" s="25" t="n">
        <x:v>44.976246657101306</x:v>
      </x:c>
      <x:c r="I39" s="24" t="n">
        <x:v>1</x:v>
      </x:c>
      <x:c r="J39" s="24" t="n">
        <x:v>1</x:v>
      </x:c>
      <x:c r="K39" s="22" t="str">
        <x:v>是</x:v>
      </x:c>
      <x:c r="L39" s="22" t="n">
        <x:v>0.8809556857118418</x:v>
      </x:c>
      <x:c r="M39" s="22" t="n">
        <x:v>8.809556857118416</x:v>
      </x:c>
      <x:c r="N39" s="22" t="n">
        <x:v>5.285734114271049</x:v>
      </x:c>
      <x:c r="O39" s="22" t="n">
        <x:v>30</x:v>
      </x:c>
      <x:c r="P39" s="24" t="n">
        <x:v>3</x:v>
      </x:c>
      <x:c r="Q39" s="22" t="str">
        <x:v>["S0075"]</x:v>
      </x:c>
      <x:c r="R39" s="22" t="str">
        <x:v>evidence/student_evidence.jsonl；student_key=2025秋:258924</x:v>
      </x:c>
      <x:c r="S39" s="27" t="str"/>
    </x:row>
    <x:row r="40" ht="23" customHeight="1">
      <x:c r="A40" s="21" t="str">
        <x:v>全量观察(探索)</x:v>
      </x:c>
      <x:c r="B40" s="22" t="str">
        <x:v>均衡型</x:v>
      </x:c>
      <x:c r="C40" s="22" t="str">
        <x:v>前20%</x:v>
      </x:c>
      <x:c r="D40" s="22" t="str">
        <x:v>边界同分</x:v>
      </x:c>
      <x:c r="E40" s="22" t="str">
        <x:v>2025秋:259334</x:v>
      </x:c>
      <x:c r="F40" s="22" t="str">
        <x:v>s3</x:v>
      </x:c>
      <x:c r="G40" s="26" t="n">
        <x:v>34.5</x:v>
      </x:c>
      <x:c r="H40" s="25" t="n">
        <x:v>44.976246657101306</x:v>
      </x:c>
      <x:c r="I40" s="24" t="n">
        <x:v>1</x:v>
      </x:c>
      <x:c r="J40" s="24" t="n">
        <x:v>1</x:v>
      </x:c>
      <x:c r="K40" s="22" t="str">
        <x:v>是</x:v>
      </x:c>
      <x:c r="L40" s="22" t="n">
        <x:v>0.8809556857118418</x:v>
      </x:c>
      <x:c r="M40" s="22" t="n">
        <x:v>8.809556857118416</x:v>
      </x:c>
      <x:c r="N40" s="22" t="n">
        <x:v>5.285734114271049</x:v>
      </x:c>
      <x:c r="O40" s="22" t="n">
        <x:v>30</x:v>
      </x:c>
      <x:c r="P40" s="24" t="n">
        <x:v>3</x:v>
      </x:c>
      <x:c r="Q40" s="22" t="str">
        <x:v>["S0399"]</x:v>
      </x:c>
      <x:c r="R40" s="22" t="str">
        <x:v>evidence/student_evidence.jsonl；student_key=2025秋:259334</x:v>
      </x:c>
      <x:c r="S40" s="27" t="str"/>
    </x:row>
    <x:row r="41" ht="23" customHeight="1">
      <x:c r="A41" s="21" t="str">
        <x:v>全量观察(探索)</x:v>
      </x:c>
      <x:c r="B41" s="22" t="str">
        <x:v>均衡型</x:v>
      </x:c>
      <x:c r="C41" s="22" t="str">
        <x:v>后20%</x:v>
      </x:c>
      <x:c r="D41" s="22" t="str">
        <x:v>边界同分</x:v>
      </x:c>
      <x:c r="E41" s="22" t="str">
        <x:v>2025秋:259854</x:v>
      </x:c>
      <x:c r="F41" s="22" t="str">
        <x:v>s3</x:v>
      </x:c>
      <x:c r="G41" s="26" t="n">
        <x:v>140</x:v>
      </x:c>
      <x:c r="H41" s="25" t="n">
        <x:v>21.629037629037626</x:v>
      </x:c>
      <x:c r="I41" s="24" t="n">
        <x:v>1</x:v>
      </x:c>
      <x:c r="J41" s="24" t="n">
        <x:v>1</x:v>
      </x:c>
      <x:c r="K41" s="22" t="str">
        <x:v>否</x:v>
      </x:c>
      <x:c r="L41" s="22" t="n">
        <x:v>0.3899433899433898</x:v>
      </x:c>
      <x:c r="M41" s="22" t="n">
        <x:v>3.899433899433898</x:v>
      </x:c>
      <x:c r="N41" s="22" t="n">
        <x:v>2.339660339660339</x:v>
      </x:c>
      <x:c r="O41" s="22" t="n">
        <x:v>15</x:v>
      </x:c>
      <x:c r="P41" s="24" t="n">
        <x:v>3</x:v>
      </x:c>
      <x:c r="Q41" s="22" t="str">
        <x:v>["S0274"]</x:v>
      </x:c>
      <x:c r="R41" s="22" t="str">
        <x:v>evidence/student_evidence.jsonl；student_key=2025秋:259854</x:v>
      </x:c>
      <x:c r="S41" s="27" t="str"/>
    </x:row>
    <x:row r="42" ht="23" customHeight="1">
      <x:c r="A42" s="21" t="str">
        <x:v>全量观察(探索)</x:v>
      </x:c>
      <x:c r="B42" s="22" t="str">
        <x:v>均衡型</x:v>
      </x:c>
      <x:c r="C42" s="22" t="str">
        <x:v>后20%</x:v>
      </x:c>
      <x:c r="D42" s="22" t="str">
        <x:v>严格进入</x:v>
      </x:c>
      <x:c r="E42" s="22" t="str">
        <x:v>2026春:268135</x:v>
      </x:c>
      <x:c r="F42" s="22" t="str">
        <x:v>s3</x:v>
      </x:c>
      <x:c r="G42" s="26" t="n">
        <x:v>141</x:v>
      </x:c>
      <x:c r="H42" s="25" t="n">
        <x:v>21.094136794726246</x:v>
      </x:c>
      <x:c r="I42" s="24" t="n">
        <x:v>1</x:v>
      </x:c>
      <x:c r="J42" s="24" t="n">
        <x:v>1</x:v>
      </x:c>
      <x:c r="K42" s="22" t="str">
        <x:v>是</x:v>
      </x:c>
      <x:c r="L42" s="22" t="n">
        <x:v>0.799655105572132</x:v>
      </x:c>
      <x:c r="M42" s="22" t="n">
        <x:v>7.996551055721321</x:v>
      </x:c>
      <x:c r="N42" s="22" t="n">
        <x:v>4.7979306334327925</x:v>
      </x:c>
      <x:c r="O42" s="22" t="n">
        <x:v>7.5</x:v>
      </x:c>
      <x:c r="P42" s="24" t="n">
        <x:v>2</x:v>
      </x:c>
      <x:c r="Q42" s="22" t="str">
        <x:v>["S0948"]</x:v>
      </x:c>
      <x:c r="R42" s="22" t="str">
        <x:v>evidence/student_evidence.jsonl；student_key=2026春:268135</x:v>
      </x:c>
      <x:c r="S42" s="27" t="str"/>
    </x:row>
    <x:row r="43" ht="23" customHeight="1">
      <x:c r="A43" s="21" t="str">
        <x:v>全量观察(探索)</x:v>
      </x:c>
      <x:c r="B43" s="22" t="str">
        <x:v>均衡型</x:v>
      </x:c>
      <x:c r="C43" s="22" t="str">
        <x:v>后20%</x:v>
      </x:c>
      <x:c r="D43" s="22" t="str">
        <x:v>严格进入</x:v>
      </x:c>
      <x:c r="E43" s="22" t="str">
        <x:v>2025秋:259452</x:v>
      </x:c>
      <x:c r="F43" s="22" t="str">
        <x:v>s3</x:v>
      </x:c>
      <x:c r="G43" s="26" t="n">
        <x:v>142</x:v>
      </x:c>
      <x:c r="H43" s="25" t="n">
        <x:v>20.942942334169558</x:v>
      </x:c>
      <x:c r="I43" s="24" t="n">
        <x:v>1</x:v>
      </x:c>
      <x:c r="J43" s="24" t="n">
        <x:v>1</x:v>
      </x:c>
      <x:c r="K43" s="22" t="str">
        <x:v>是</x:v>
      </x:c>
      <x:c r="L43" s="22" t="n">
        <x:v>0.34958484318644456</x:v>
      </x:c>
      <x:c r="M43" s="22" t="n">
        <x:v>3.4958484318644456</x:v>
      </x:c>
      <x:c r="N43" s="22" t="n">
        <x:v>2.0975090591186674</x:v>
      </x:c>
      <x:c r="O43" s="22" t="n">
        <x:v>15</x:v>
      </x:c>
      <x:c r="P43" s="24" t="n">
        <x:v>4</x:v>
      </x:c>
      <x:c r="Q43" s="22" t="str">
        <x:v>["S0501"]</x:v>
      </x:c>
      <x:c r="R43" s="22" t="str">
        <x:v>evidence/student_evidence.jsonl；student_key=2025秋:259452</x:v>
      </x:c>
      <x:c r="S43" s="27" t="str"/>
    </x:row>
    <x:row r="44" ht="23" customHeight="1">
      <x:c r="A44" s="21" t="str">
        <x:v>全量观察(探索)</x:v>
      </x:c>
      <x:c r="B44" s="22" t="str">
        <x:v>均衡型</x:v>
      </x:c>
      <x:c r="C44" s="22" t="str">
        <x:v>后20%</x:v>
      </x:c>
      <x:c r="D44" s="22" t="str">
        <x:v>严格进入</x:v>
      </x:c>
      <x:c r="E44" s="22" t="str">
        <x:v>2025秋:259321</x:v>
      </x:c>
      <x:c r="F44" s="22" t="str">
        <x:v>s3</x:v>
      </x:c>
      <x:c r="G44" s="26" t="n">
        <x:v>143</x:v>
      </x:c>
      <x:c r="H44" s="25" t="n">
        <x:v>20.586465401837234</x:v>
      </x:c>
      <x:c r="I44" s="24" t="n">
        <x:v>1</x:v>
      </x:c>
      <x:c r="J44" s="24" t="n">
        <x:v>1</x:v>
      </x:c>
      <x:c r="K44" s="22" t="str">
        <x:v>是</x:v>
      </x:c>
      <x:c r="L44" s="22" t="n">
        <x:v>0.3286156118727784</x:v>
      </x:c>
      <x:c r="M44" s="22" t="n">
        <x:v>3.286156118727784</x:v>
      </x:c>
      <x:c r="N44" s="22" t="n">
        <x:v>1.9716936712366704</x:v>
      </x:c>
      <x:c r="O44" s="22" t="n">
        <x:v>15</x:v>
      </x:c>
      <x:c r="P44" s="24" t="n">
        <x:v>4</x:v>
      </x:c>
      <x:c r="Q44" s="22" t="str">
        <x:v>["S0288"]</x:v>
      </x:c>
      <x:c r="R44" s="22" t="str">
        <x:v>evidence/student_evidence.jsonl；student_key=2025秋:259321</x:v>
      </x:c>
      <x:c r="S44" s="27" t="str"/>
    </x:row>
    <x:row r="45" ht="48" customHeight="1">
      <x:c r="A45" s="21" t="str">
        <x:v>全量观察(探索)</x:v>
      </x:c>
      <x:c r="B45" s="22" t="str">
        <x:v>均衡型</x:v>
      </x:c>
      <x:c r="C45" s="22" t="str">
        <x:v>后20%</x:v>
      </x:c>
      <x:c r="D45" s="22" t="str">
        <x:v>严格进入</x:v>
      </x:c>
      <x:c r="E45" s="22" t="str">
        <x:v>2025秋:259325</x:v>
      </x:c>
      <x:c r="F45" s="22" t="str">
        <x:v>s3</x:v>
      </x:c>
      <x:c r="G45" s="26" t="n">
        <x:v>145</x:v>
      </x:c>
      <x:c r="H45" s="25" t="n">
        <x:v>20</x:v>
      </x:c>
      <x:c r="I45" s="24" t="n">
        <x:v>1</x:v>
      </x:c>
      <x:c r="J45" s="24" t="n">
        <x:v>1</x:v>
      </x:c>
      <x:c r="K45" s="22" t="str">
        <x:v>否</x:v>
      </x:c>
      <x:c r="L45" s="22" t="n">
        <x:v>0</x:v>
      </x:c>
      <x:c r="M45" s="22" t="n">
        <x:v>0</x:v>
      </x:c>
      <x:c r="N45" s="22" t="n">
        <x:v>0</x:v>
      </x:c>
      <x:c r="O45" s="22" t="n">
        <x:v>19.999999999999996</x:v>
      </x:c>
      <x:c r="P45" s="24" t="n">
        <x:v>4</x:v>
      </x:c>
      <x:c r="Q45" s="22" t="str">
        <x:v>["S0744"]</x:v>
      </x:c>
      <x:c r="R45" s="22" t="str">
        <x:v>evidence/student_evidence.jsonl；student_key=2025秋:259325</x:v>
      </x:c>
      <x:c r="S45" s="27" t="str">
        <x:v>同一锚点起止1条：未形成独立重复测量。</x:v>
      </x:c>
    </x:row>
    <x:row r="46" ht="48" customHeight="1">
      <x:c r="A46" s="21" t="str">
        <x:v>全量观察(探索)</x:v>
      </x:c>
      <x:c r="B46" s="22" t="str">
        <x:v>均衡型</x:v>
      </x:c>
      <x:c r="C46" s="22" t="str">
        <x:v>后20%</x:v>
      </x:c>
      <x:c r="D46" s="22" t="str">
        <x:v>严格进入</x:v>
      </x:c>
      <x:c r="E46" s="22" t="str">
        <x:v>2026春:268151</x:v>
      </x:c>
      <x:c r="F46" s="22" t="str">
        <x:v>s3</x:v>
      </x:c>
      <x:c r="G46" s="26" t="n">
        <x:v>145</x:v>
      </x:c>
      <x:c r="H46" s="25" t="n">
        <x:v>20</x:v>
      </x:c>
      <x:c r="I46" s="24" t="n">
        <x:v>1</x:v>
      </x:c>
      <x:c r="J46" s="24" t="n">
        <x:v>1</x:v>
      </x:c>
      <x:c r="K46" s="22" t="str">
        <x:v>否</x:v>
      </x:c>
      <x:c r="L46" s="22" t="n">
        <x:v>0</x:v>
      </x:c>
      <x:c r="M46" s="22" t="n">
        <x:v>0</x:v>
      </x:c>
      <x:c r="N46" s="22" t="n">
        <x:v>0</x:v>
      </x:c>
      <x:c r="O46" s="22" t="n">
        <x:v>19.999999999999996</x:v>
      </x:c>
      <x:c r="P46" s="24" t="n">
        <x:v>4</x:v>
      </x:c>
      <x:c r="Q46" s="22" t="str">
        <x:v>["S1004"]</x:v>
      </x:c>
      <x:c r="R46" s="22" t="str">
        <x:v>evidence/student_evidence.jsonl；student_key=2026春:268151</x:v>
      </x:c>
      <x:c r="S46" s="27" t="str">
        <x:v>同一锚点起止1条：未形成独立重复测量。</x:v>
      </x:c>
    </x:row>
    <x:row r="47" ht="48" customHeight="1">
      <x:c r="A47" s="21" t="str">
        <x:v>全量观察(探索)</x:v>
      </x:c>
      <x:c r="B47" s="22" t="str">
        <x:v>均衡型</x:v>
      </x:c>
      <x:c r="C47" s="22" t="str">
        <x:v>后20%</x:v>
      </x:c>
      <x:c r="D47" s="22" t="str">
        <x:v>严格进入</x:v>
      </x:c>
      <x:c r="E47" s="22" t="str">
        <x:v>2026春:268520</x:v>
      </x:c>
      <x:c r="F47" s="22" t="str">
        <x:v>s6</x:v>
      </x:c>
      <x:c r="G47" s="26" t="n">
        <x:v>145</x:v>
      </x:c>
      <x:c r="H47" s="25" t="n">
        <x:v>20</x:v>
      </x:c>
      <x:c r="I47" s="24" t="n">
        <x:v>1</x:v>
      </x:c>
      <x:c r="J47" s="24" t="n">
        <x:v>1</x:v>
      </x:c>
      <x:c r="K47" s="22" t="str">
        <x:v>是</x:v>
      </x:c>
      <x:c r="L47" s="22" t="n">
        <x:v>0</x:v>
      </x:c>
      <x:c r="M47" s="22" t="n">
        <x:v>0</x:v>
      </x:c>
      <x:c r="N47" s="22" t="n">
        <x:v>0</x:v>
      </x:c>
      <x:c r="O47" s="22" t="n">
        <x:v>19.999999999999996</x:v>
      </x:c>
      <x:c r="P47" s="24" t="n">
        <x:v>4</x:v>
      </x:c>
      <x:c r="Q47" s="22" t="str">
        <x:v>["S1244"]</x:v>
      </x:c>
      <x:c r="R47" s="22" t="str">
        <x:v>evidence/student_evidence.jsonl；student_key=2026春:268520</x:v>
      </x:c>
      <x:c r="S47" s="27" t="str">
        <x:v>同一锚点起止1条：未形成独立重复测量。</x:v>
      </x:c>
    </x:row>
    <x:row r="48" ht="48" customHeight="1">
      <x:c r="A48" s="21" t="str">
        <x:v>全量观察(探索)</x:v>
      </x:c>
      <x:c r="B48" s="22" t="str">
        <x:v>均衡型</x:v>
      </x:c>
      <x:c r="C48" s="22" t="str">
        <x:v>后20%</x:v>
      </x:c>
      <x:c r="D48" s="22" t="str">
        <x:v>严格进入</x:v>
      </x:c>
      <x:c r="E48" s="22" t="str">
        <x:v>2025秋:259851</x:v>
      </x:c>
      <x:c r="F48" s="22" t="str">
        <x:v>s3</x:v>
      </x:c>
      <x:c r="G48" s="26" t="n">
        <x:v>147</x:v>
      </x:c>
      <x:c r="H48" s="25" t="n">
        <x:v>19.556651077295356</x:v>
      </x:c>
      <x:c r="I48" s="24" t="n">
        <x:v>1</x:v>
      </x:c>
      <x:c r="J48" s="24" t="n">
        <x:v>1</x:v>
      </x:c>
      <x:c r="K48" s="22" t="str">
        <x:v>否</x:v>
      </x:c>
      <x:c r="L48" s="22" t="n">
        <x:v>0.26803829866443285</x:v>
      </x:c>
      <x:c r="M48" s="22" t="n">
        <x:v>2.6803829866443287</x:v>
      </x:c>
      <x:c r="N48" s="22" t="n">
        <x:v>1.608229791986597</x:v>
      </x:c>
      <x:c r="O48" s="22" t="n">
        <x:v>15</x:v>
      </x:c>
      <x:c r="P48" s="24" t="n">
        <x:v>4</x:v>
      </x:c>
      <x:c r="Q48" s="22" t="str">
        <x:v>["S0057"]</x:v>
      </x:c>
      <x:c r="R48" s="22" t="str">
        <x:v>evidence/student_evidence.jsonl；student_key=2025秋:259851</x:v>
      </x:c>
      <x:c r="S48" s="27" t="str">
        <x:v>同一锚点起止1条：未形成独立重复测量。</x:v>
      </x:c>
    </x:row>
    <x:row r="49" ht="23" customHeight="1">
      <x:c r="A49" s="21" t="str">
        <x:v>全量观察(探索)</x:v>
      </x:c>
      <x:c r="B49" s="22" t="str">
        <x:v>均衡型</x:v>
      </x:c>
      <x:c r="C49" s="22" t="str">
        <x:v>后20%</x:v>
      </x:c>
      <x:c r="D49" s="22" t="str">
        <x:v>严格进入</x:v>
      </x:c>
      <x:c r="E49" s="22" t="str">
        <x:v>2026春:268498</x:v>
      </x:c>
      <x:c r="F49" s="22" t="str">
        <x:v>s3</x:v>
      </x:c>
      <x:c r="G49" s="26" t="n">
        <x:v>148</x:v>
      </x:c>
      <x:c r="H49" s="25" t="n">
        <x:v>17.4056841226728</x:v>
      </x:c>
      <x:c r="I49" s="24" t="n">
        <x:v>1</x:v>
      </x:c>
      <x:c r="J49" s="24" t="n">
        <x:v>1</x:v>
      </x:c>
      <x:c r="K49" s="22" t="str">
        <x:v>是</x:v>
      </x:c>
      <x:c r="L49" s="22" t="n">
        <x:v>0.3179814189807528</x:v>
      </x:c>
      <x:c r="M49" s="22" t="n">
        <x:v>3.1798141898075283</x:v>
      </x:c>
      <x:c r="N49" s="22" t="n">
        <x:v>1.907888513884517</x:v>
      </x:c>
      <x:c r="O49" s="22" t="n">
        <x:v>12</x:v>
      </x:c>
      <x:c r="P49" s="24" t="n">
        <x:v>4</x:v>
      </x:c>
      <x:c r="Q49" s="22" t="str">
        <x:v>["S1207"]</x:v>
      </x:c>
      <x:c r="R49" s="22" t="str">
        <x:v>evidence/student_evidence.jsonl；student_key=2026春:268498</x:v>
      </x:c>
      <x:c r="S49" s="27" t="str"/>
    </x:row>
    <x:row r="50" ht="23" customHeight="1">
      <x:c r="A50" s="21" t="str">
        <x:v>全量观察(探索)</x:v>
      </x:c>
      <x:c r="B50" s="22" t="str">
        <x:v>均衡型</x:v>
      </x:c>
      <x:c r="C50" s="22" t="str">
        <x:v>后20%</x:v>
      </x:c>
      <x:c r="D50" s="22" t="str">
        <x:v>严格进入</x:v>
      </x:c>
      <x:c r="E50" s="22" t="str">
        <x:v>2026春:268130</x:v>
      </x:c>
      <x:c r="F50" s="22" t="str">
        <x:v>s3</x:v>
      </x:c>
      <x:c r="G50" s="26" t="n">
        <x:v>149</x:v>
      </x:c>
      <x:c r="H50" s="25" t="n">
        <x:v>16.293094578551642</x:v>
      </x:c>
      <x:c r="I50" s="24" t="n">
        <x:v>1</x:v>
      </x:c>
      <x:c r="J50" s="24" t="n">
        <x:v>1</x:v>
      </x:c>
      <x:c r="K50" s="22" t="str">
        <x:v>是</x:v>
      </x:c>
      <x:c r="L50" s="22" t="n">
        <x:v>0.37018203403244954</x:v>
      </x:c>
      <x:c r="M50" s="22" t="n">
        <x:v>3.701820340324495</x:v>
      </x:c>
      <x:c r="N50" s="22" t="n">
        <x:v>2.2210922041946968</x:v>
      </x:c>
      <x:c r="O50" s="22" t="n">
        <x:v>9.999999999999998</x:v>
      </x:c>
      <x:c r="P50" s="24" t="n">
        <x:v>4</x:v>
      </x:c>
      <x:c r="Q50" s="22" t="str">
        <x:v>["S0938"]</x:v>
      </x:c>
      <x:c r="R50" s="22" t="str">
        <x:v>evidence/student_evidence.jsonl；student_key=2026春:268130</x:v>
      </x:c>
      <x:c r="S50" s="27" t="str"/>
    </x:row>
    <x:row r="51" ht="48" customHeight="1">
      <x:c r="A51" s="21" t="str">
        <x:v>全量观察(探索)</x:v>
      </x:c>
      <x:c r="B51" s="22" t="str">
        <x:v>均衡型</x:v>
      </x:c>
      <x:c r="C51" s="22" t="str">
        <x:v>后20%</x:v>
      </x:c>
      <x:c r="D51" s="22" t="str">
        <x:v>严格进入</x:v>
      </x:c>
      <x:c r="E51" s="22" t="str">
        <x:v>2025秋:258274</x:v>
      </x:c>
      <x:c r="F51" s="22" t="str">
        <x:v>s3</x:v>
      </x:c>
      <x:c r="G51" s="26" t="n">
        <x:v>160</x:v>
      </x:c>
      <x:c r="H51" s="25" t="n">
        <x:v>15</x:v>
      </x:c>
      <x:c r="I51" s="24" t="n">
        <x:v>1</x:v>
      </x:c>
      <x:c r="J51" s="24" t="n">
        <x:v>1</x:v>
      </x:c>
      <x:c r="K51" s="22" t="str">
        <x:v>是</x:v>
      </x:c>
      <x:c r="L51" s="22" t="n">
        <x:v>0</x:v>
      </x:c>
      <x:c r="M51" s="22" t="n">
        <x:v>0</x:v>
      </x:c>
      <x:c r="N51" s="22" t="n">
        <x:v>0</x:v>
      </x:c>
      <x:c r="O51" s="22" t="n">
        <x:v>15</x:v>
      </x:c>
      <x:c r="P51" s="24" t="n">
        <x:v>4</x:v>
      </x:c>
      <x:c r="Q51" s="22" t="str">
        <x:v>["S0275"]</x:v>
      </x:c>
      <x:c r="R51" s="22" t="str">
        <x:v>evidence/student_evidence.jsonl；student_key=2025秋:258274</x:v>
      </x:c>
      <x:c r="S51" s="27" t="str">
        <x:v>同一锚点起止1条：未形成独立重复测量。</x:v>
      </x:c>
    </x:row>
    <x:row r="52" ht="23" customHeight="1">
      <x:c r="A52" s="21" t="str">
        <x:v>全量观察(探索)</x:v>
      </x:c>
      <x:c r="B52" s="22" t="str">
        <x:v>均衡型</x:v>
      </x:c>
      <x:c r="C52" s="22" t="str">
        <x:v>后20%</x:v>
      </x:c>
      <x:c r="D52" s="22" t="str">
        <x:v>严格进入</x:v>
      </x:c>
      <x:c r="E52" s="22" t="str">
        <x:v>2025秋:258862</x:v>
      </x:c>
      <x:c r="F52" s="22" t="str">
        <x:v>s3</x:v>
      </x:c>
      <x:c r="G52" s="26" t="n">
        <x:v>160</x:v>
      </x:c>
      <x:c r="H52" s="25" t="n">
        <x:v>15</x:v>
      </x:c>
      <x:c r="I52" s="24" t="n">
        <x:v>1</x:v>
      </x:c>
      <x:c r="J52" s="24" t="n">
        <x:v>1</x:v>
      </x:c>
      <x:c r="K52" s="22" t="str">
        <x:v>否</x:v>
      </x:c>
      <x:c r="L52" s="22" t="n">
        <x:v>0</x:v>
      </x:c>
      <x:c r="M52" s="22" t="n">
        <x:v>0</x:v>
      </x:c>
      <x:c r="N52" s="22" t="n">
        <x:v>0</x:v>
      </x:c>
      <x:c r="O52" s="22" t="n">
        <x:v>15</x:v>
      </x:c>
      <x:c r="P52" s="24" t="n">
        <x:v>4</x:v>
      </x:c>
      <x:c r="Q52" s="22" t="str">
        <x:v>["S0151"]</x:v>
      </x:c>
      <x:c r="R52" s="22" t="str">
        <x:v>evidence/student_evidence.jsonl；student_key=2025秋:258862</x:v>
      </x:c>
      <x:c r="S52" s="27" t="str"/>
    </x:row>
    <x:row r="53" ht="23" customHeight="1">
      <x:c r="A53" s="21" t="str">
        <x:v>全量观察(探索)</x:v>
      </x:c>
      <x:c r="B53" s="22" t="str">
        <x:v>均衡型</x:v>
      </x:c>
      <x:c r="C53" s="22" t="str">
        <x:v>后20%</x:v>
      </x:c>
      <x:c r="D53" s="22" t="str">
        <x:v>严格进入</x:v>
      </x:c>
      <x:c r="E53" s="22" t="str">
        <x:v>2025秋:258907</x:v>
      </x:c>
      <x:c r="F53" s="22" t="str">
        <x:v>s3</x:v>
      </x:c>
      <x:c r="G53" s="26" t="n">
        <x:v>160</x:v>
      </x:c>
      <x:c r="H53" s="25" t="n">
        <x:v>15</x:v>
      </x:c>
      <x:c r="I53" s="24" t="n">
        <x:v>1</x:v>
      </x:c>
      <x:c r="J53" s="24" t="n">
        <x:v>1</x:v>
      </x:c>
      <x:c r="K53" s="22" t="str">
        <x:v>否</x:v>
      </x:c>
      <x:c r="L53" s="22" t="n">
        <x:v>0</x:v>
      </x:c>
      <x:c r="M53" s="22" t="n">
        <x:v>0</x:v>
      </x:c>
      <x:c r="N53" s="22" t="n">
        <x:v>0</x:v>
      </x:c>
      <x:c r="O53" s="22" t="n">
        <x:v>15</x:v>
      </x:c>
      <x:c r="P53" s="24" t="n">
        <x:v>4</x:v>
      </x:c>
      <x:c r="Q53" s="22" t="str">
        <x:v>["S0269"]</x:v>
      </x:c>
      <x:c r="R53" s="22" t="str">
        <x:v>evidence/student_evidence.jsonl；student_key=2025秋:258907</x:v>
      </x:c>
      <x:c r="S53" s="27" t="str"/>
    </x:row>
    <x:row r="54" ht="48" customHeight="1">
      <x:c r="A54" s="21" t="str">
        <x:v>全量观察(探索)</x:v>
      </x:c>
      <x:c r="B54" s="22" t="str">
        <x:v>均衡型</x:v>
      </x:c>
      <x:c r="C54" s="22" t="str">
        <x:v>后20%</x:v>
      </x:c>
      <x:c r="D54" s="22" t="str">
        <x:v>严格进入</x:v>
      </x:c>
      <x:c r="E54" s="22" t="str">
        <x:v>2025秋:258908</x:v>
      </x:c>
      <x:c r="F54" s="22" t="str">
        <x:v>s3</x:v>
      </x:c>
      <x:c r="G54" s="26" t="n">
        <x:v>160</x:v>
      </x:c>
      <x:c r="H54" s="25" t="n">
        <x:v>15</x:v>
      </x:c>
      <x:c r="I54" s="24" t="n">
        <x:v>1</x:v>
      </x:c>
      <x:c r="J54" s="24" t="n">
        <x:v>1</x:v>
      </x:c>
      <x:c r="K54" s="22" t="str">
        <x:v>否</x:v>
      </x:c>
      <x:c r="L54" s="22" t="n">
        <x:v>0</x:v>
      </x:c>
      <x:c r="M54" s="22" t="n">
        <x:v>0</x:v>
      </x:c>
      <x:c r="N54" s="22" t="n">
        <x:v>0</x:v>
      </x:c>
      <x:c r="O54" s="22" t="n">
        <x:v>15</x:v>
      </x:c>
      <x:c r="P54" s="24" t="n">
        <x:v>4</x:v>
      </x:c>
      <x:c r="Q54" s="22" t="str">
        <x:v>["S0292"]</x:v>
      </x:c>
      <x:c r="R54" s="22" t="str">
        <x:v>evidence/student_evidence.jsonl；student_key=2025秋:258908</x:v>
      </x:c>
      <x:c r="S54" s="27" t="str">
        <x:v>同一锚点起止1条：未形成独立重复测量。</x:v>
      </x:c>
    </x:row>
    <x:row r="55" ht="23" customHeight="1">
      <x:c r="A55" s="21" t="str">
        <x:v>全量观察(探索)</x:v>
      </x:c>
      <x:c r="B55" s="22" t="str">
        <x:v>均衡型</x:v>
      </x:c>
      <x:c r="C55" s="22" t="str">
        <x:v>后20%</x:v>
      </x:c>
      <x:c r="D55" s="22" t="str">
        <x:v>严格进入</x:v>
      </x:c>
      <x:c r="E55" s="22" t="str">
        <x:v>2025秋:258912</x:v>
      </x:c>
      <x:c r="F55" s="22" t="str">
        <x:v>s3</x:v>
      </x:c>
      <x:c r="G55" s="26" t="n">
        <x:v>160</x:v>
      </x:c>
      <x:c r="H55" s="25" t="n">
        <x:v>15</x:v>
      </x:c>
      <x:c r="I55" s="24" t="n">
        <x:v>1</x:v>
      </x:c>
      <x:c r="J55" s="24" t="n">
        <x:v>1</x:v>
      </x:c>
      <x:c r="K55" s="22" t="str">
        <x:v>是</x:v>
      </x:c>
      <x:c r="L55" s="22" t="n">
        <x:v>0</x:v>
      </x:c>
      <x:c r="M55" s="22" t="n">
        <x:v>0</x:v>
      </x:c>
      <x:c r="N55" s="22" t="n">
        <x:v>0</x:v>
      </x:c>
      <x:c r="O55" s="22" t="n">
        <x:v>15</x:v>
      </x:c>
      <x:c r="P55" s="24" t="n">
        <x:v>4</x:v>
      </x:c>
      <x:c r="Q55" s="22" t="str">
        <x:v>["S0092"]</x:v>
      </x:c>
      <x:c r="R55" s="22" t="str">
        <x:v>evidence/student_evidence.jsonl；student_key=2025秋:258912</x:v>
      </x:c>
      <x:c r="S55" s="27" t="str"/>
    </x:row>
    <x:row r="56" ht="48" customHeight="1">
      <x:c r="A56" s="21" t="str">
        <x:v>全量观察(探索)</x:v>
      </x:c>
      <x:c r="B56" s="22" t="str">
        <x:v>均衡型</x:v>
      </x:c>
      <x:c r="C56" s="22" t="str">
        <x:v>后20%</x:v>
      </x:c>
      <x:c r="D56" s="22" t="str">
        <x:v>严格进入</x:v>
      </x:c>
      <x:c r="E56" s="22" t="str">
        <x:v>2025秋:258918</x:v>
      </x:c>
      <x:c r="F56" s="22" t="str">
        <x:v>s3</x:v>
      </x:c>
      <x:c r="G56" s="26" t="n">
        <x:v>160</x:v>
      </x:c>
      <x:c r="H56" s="25" t="n">
        <x:v>15</x:v>
      </x:c>
      <x:c r="I56" s="24" t="n">
        <x:v>1</x:v>
      </x:c>
      <x:c r="J56" s="24" t="n">
        <x:v>1</x:v>
      </x:c>
      <x:c r="K56" s="22" t="str">
        <x:v>否</x:v>
      </x:c>
      <x:c r="L56" s="22" t="n">
        <x:v>0</x:v>
      </x:c>
      <x:c r="M56" s="22" t="n">
        <x:v>0</x:v>
      </x:c>
      <x:c r="N56" s="22" t="n">
        <x:v>0</x:v>
      </x:c>
      <x:c r="O56" s="22" t="n">
        <x:v>15</x:v>
      </x:c>
      <x:c r="P56" s="24" t="n">
        <x:v>4</x:v>
      </x:c>
      <x:c r="Q56" s="22" t="str">
        <x:v>["S0287"]</x:v>
      </x:c>
      <x:c r="R56" s="22" t="str">
        <x:v>evidence/student_evidence.jsonl；student_key=2025秋:258918</x:v>
      </x:c>
      <x:c r="S56" s="27" t="str">
        <x:v>同一锚点起止1条：未形成独立重复测量。</x:v>
      </x:c>
    </x:row>
    <x:row r="57" ht="48" customHeight="1">
      <x:c r="A57" s="21" t="str">
        <x:v>全量观察(探索)</x:v>
      </x:c>
      <x:c r="B57" s="22" t="str">
        <x:v>均衡型</x:v>
      </x:c>
      <x:c r="C57" s="22" t="str">
        <x:v>后20%</x:v>
      </x:c>
      <x:c r="D57" s="22" t="str">
        <x:v>严格进入</x:v>
      </x:c>
      <x:c r="E57" s="22" t="str">
        <x:v>2025秋:258923</x:v>
      </x:c>
      <x:c r="F57" s="22" t="str">
        <x:v>s3</x:v>
      </x:c>
      <x:c r="G57" s="26" t="n">
        <x:v>160</x:v>
      </x:c>
      <x:c r="H57" s="25" t="n">
        <x:v>15</x:v>
      </x:c>
      <x:c r="I57" s="24" t="n">
        <x:v>1</x:v>
      </x:c>
      <x:c r="J57" s="24" t="n">
        <x:v>1</x:v>
      </x:c>
      <x:c r="K57" s="22" t="str">
        <x:v>是</x:v>
      </x:c>
      <x:c r="L57" s="22" t="n">
        <x:v>0</x:v>
      </x:c>
      <x:c r="M57" s="22" t="n">
        <x:v>0</x:v>
      </x:c>
      <x:c r="N57" s="22" t="n">
        <x:v>0</x:v>
      </x:c>
      <x:c r="O57" s="22" t="n">
        <x:v>15</x:v>
      </x:c>
      <x:c r="P57" s="24" t="n">
        <x:v>4</x:v>
      </x:c>
      <x:c r="Q57" s="22" t="str">
        <x:v>["S0120"]</x:v>
      </x:c>
      <x:c r="R57" s="22" t="str">
        <x:v>evidence/student_evidence.jsonl；student_key=2025秋:258923</x:v>
      </x:c>
      <x:c r="S57" s="27" t="str">
        <x:v>同一锚点起止1条：未形成独立重复测量。</x:v>
      </x:c>
    </x:row>
    <x:row r="58" ht="48" customHeight="1">
      <x:c r="A58" s="21" t="str">
        <x:v>全量观察(探索)</x:v>
      </x:c>
      <x:c r="B58" s="22" t="str">
        <x:v>均衡型</x:v>
      </x:c>
      <x:c r="C58" s="22" t="str">
        <x:v>后20%</x:v>
      </x:c>
      <x:c r="D58" s="22" t="str">
        <x:v>严格进入</x:v>
      </x:c>
      <x:c r="E58" s="22" t="str">
        <x:v>2025秋:258945</x:v>
      </x:c>
      <x:c r="F58" s="22" t="str">
        <x:v>s3</x:v>
      </x:c>
      <x:c r="G58" s="26" t="n">
        <x:v>160</x:v>
      </x:c>
      <x:c r="H58" s="25" t="n">
        <x:v>15</x:v>
      </x:c>
      <x:c r="I58" s="24" t="n">
        <x:v>1</x:v>
      </x:c>
      <x:c r="J58" s="24" t="n">
        <x:v>1</x:v>
      </x:c>
      <x:c r="K58" s="22" t="str">
        <x:v>否</x:v>
      </x:c>
      <x:c r="L58" s="22" t="n">
        <x:v>0</x:v>
      </x:c>
      <x:c r="M58" s="22" t="n">
        <x:v>0</x:v>
      </x:c>
      <x:c r="N58" s="22" t="n">
        <x:v>0</x:v>
      </x:c>
      <x:c r="O58" s="22" t="n">
        <x:v>15</x:v>
      </x:c>
      <x:c r="P58" s="24" t="n">
        <x:v>4</x:v>
      </x:c>
      <x:c r="Q58" s="22" t="str">
        <x:v>["S0048"]</x:v>
      </x:c>
      <x:c r="R58" s="22" t="str">
        <x:v>evidence/student_evidence.jsonl；student_key=2025秋:258945</x:v>
      </x:c>
      <x:c r="S58" s="27" t="str">
        <x:v>同一锚点起止1条：未形成独立重复测量。</x:v>
      </x:c>
    </x:row>
    <x:row r="59" ht="23" customHeight="1">
      <x:c r="A59" s="21" t="str">
        <x:v>全量观察(探索)</x:v>
      </x:c>
      <x:c r="B59" s="22" t="str">
        <x:v>均衡型</x:v>
      </x:c>
      <x:c r="C59" s="22" t="str">
        <x:v>后20%</x:v>
      </x:c>
      <x:c r="D59" s="22" t="str">
        <x:v>严格进入</x:v>
      </x:c>
      <x:c r="E59" s="22" t="str">
        <x:v>2025秋:259059</x:v>
      </x:c>
      <x:c r="F59" s="22" t="str">
        <x:v>s3</x:v>
      </x:c>
      <x:c r="G59" s="26" t="n">
        <x:v>160</x:v>
      </x:c>
      <x:c r="H59" s="25" t="n">
        <x:v>15</x:v>
      </x:c>
      <x:c r="I59" s="24" t="n">
        <x:v>1</x:v>
      </x:c>
      <x:c r="J59" s="24" t="n">
        <x:v>1</x:v>
      </x:c>
      <x:c r="K59" s="22" t="str">
        <x:v>是</x:v>
      </x:c>
      <x:c r="L59" s="22" t="n">
        <x:v>0</x:v>
      </x:c>
      <x:c r="M59" s="22" t="n">
        <x:v>0</x:v>
      </x:c>
      <x:c r="N59" s="22" t="n">
        <x:v>0</x:v>
      </x:c>
      <x:c r="O59" s="22" t="n">
        <x:v>15</x:v>
      </x:c>
      <x:c r="P59" s="24" t="n">
        <x:v>4</x:v>
      </x:c>
      <x:c r="Q59" s="22" t="str">
        <x:v>["S0426"]</x:v>
      </x:c>
      <x:c r="R59" s="22" t="str">
        <x:v>evidence/student_evidence.jsonl；student_key=2025秋:259059</x:v>
      </x:c>
      <x:c r="S59" s="27" t="str"/>
    </x:row>
    <x:row r="60" ht="23" customHeight="1">
      <x:c r="A60" s="21" t="str">
        <x:v>全量观察(探索)</x:v>
      </x:c>
      <x:c r="B60" s="22" t="str">
        <x:v>均衡型</x:v>
      </x:c>
      <x:c r="C60" s="22" t="str">
        <x:v>后20%</x:v>
      </x:c>
      <x:c r="D60" s="22" t="str">
        <x:v>严格进入</x:v>
      </x:c>
      <x:c r="E60" s="22" t="str">
        <x:v>2025秋:259106</x:v>
      </x:c>
      <x:c r="F60" s="22" t="str">
        <x:v>s3</x:v>
      </x:c>
      <x:c r="G60" s="26" t="n">
        <x:v>160</x:v>
      </x:c>
      <x:c r="H60" s="25" t="n">
        <x:v>15</x:v>
      </x:c>
      <x:c r="I60" s="24" t="n">
        <x:v>1</x:v>
      </x:c>
      <x:c r="J60" s="24" t="n">
        <x:v>1</x:v>
      </x:c>
      <x:c r="K60" s="22" t="str">
        <x:v>是</x:v>
      </x:c>
      <x:c r="L60" s="22" t="n">
        <x:v>0</x:v>
      </x:c>
      <x:c r="M60" s="22" t="n">
        <x:v>0</x:v>
      </x:c>
      <x:c r="N60" s="22" t="n">
        <x:v>0</x:v>
      </x:c>
      <x:c r="O60" s="22" t="n">
        <x:v>15</x:v>
      </x:c>
      <x:c r="P60" s="24" t="n">
        <x:v>4</x:v>
      </x:c>
      <x:c r="Q60" s="22" t="str">
        <x:v>["S0005"]</x:v>
      </x:c>
      <x:c r="R60" s="22" t="str">
        <x:v>evidence/student_evidence.jsonl；student_key=2025秋:259106</x:v>
      </x:c>
      <x:c r="S60" s="27" t="str"/>
    </x:row>
    <x:row r="61" ht="23" customHeight="1">
      <x:c r="A61" s="21" t="str">
        <x:v>全量观察(探索)</x:v>
      </x:c>
      <x:c r="B61" s="22" t="str">
        <x:v>均衡型</x:v>
      </x:c>
      <x:c r="C61" s="22" t="str">
        <x:v>后20%</x:v>
      </x:c>
      <x:c r="D61" s="22" t="str">
        <x:v>严格进入</x:v>
      </x:c>
      <x:c r="E61" s="22" t="str">
        <x:v>2025秋:259315</x:v>
      </x:c>
      <x:c r="F61" s="22" t="str">
        <x:v>s3</x:v>
      </x:c>
      <x:c r="G61" s="26" t="n">
        <x:v>160</x:v>
      </x:c>
      <x:c r="H61" s="25" t="n">
        <x:v>15</x:v>
      </x:c>
      <x:c r="I61" s="24" t="n">
        <x:v>1</x:v>
      </x:c>
      <x:c r="J61" s="24" t="n">
        <x:v>1</x:v>
      </x:c>
      <x:c r="K61" s="22" t="str">
        <x:v>是</x:v>
      </x:c>
      <x:c r="L61" s="22" t="n">
        <x:v>0</x:v>
      </x:c>
      <x:c r="M61" s="22" t="n">
        <x:v>0</x:v>
      </x:c>
      <x:c r="N61" s="22" t="n">
        <x:v>0</x:v>
      </x:c>
      <x:c r="O61" s="22" t="n">
        <x:v>15</x:v>
      </x:c>
      <x:c r="P61" s="24" t="n">
        <x:v>4</x:v>
      </x:c>
      <x:c r="Q61" s="22" t="str">
        <x:v>["S0405"]</x:v>
      </x:c>
      <x:c r="R61" s="22" t="str">
        <x:v>evidence/student_evidence.jsonl；student_key=2025秋:259315</x:v>
      </x:c>
      <x:c r="S61" s="27" t="str"/>
    </x:row>
    <x:row r="62" ht="48" customHeight="1">
      <x:c r="A62" s="21" t="str">
        <x:v>全量观察(探索)</x:v>
      </x:c>
      <x:c r="B62" s="22" t="str">
        <x:v>均衡型</x:v>
      </x:c>
      <x:c r="C62" s="22" t="str">
        <x:v>后20%</x:v>
      </x:c>
      <x:c r="D62" s="22" t="str">
        <x:v>严格进入</x:v>
      </x:c>
      <x:c r="E62" s="22" t="str">
        <x:v>2025秋:259346</x:v>
      </x:c>
      <x:c r="F62" s="22" t="str">
        <x:v>s3</x:v>
      </x:c>
      <x:c r="G62" s="26" t="n">
        <x:v>160</x:v>
      </x:c>
      <x:c r="H62" s="25" t="n">
        <x:v>15</x:v>
      </x:c>
      <x:c r="I62" s="24" t="n">
        <x:v>1</x:v>
      </x:c>
      <x:c r="J62" s="24" t="n">
        <x:v>1</x:v>
      </x:c>
      <x:c r="K62" s="22" t="str">
        <x:v>是</x:v>
      </x:c>
      <x:c r="L62" s="22" t="n">
        <x:v>0</x:v>
      </x:c>
      <x:c r="M62" s="22" t="n">
        <x:v>0</x:v>
      </x:c>
      <x:c r="N62" s="22" t="n">
        <x:v>0</x:v>
      </x:c>
      <x:c r="O62" s="22" t="n">
        <x:v>15</x:v>
      </x:c>
      <x:c r="P62" s="24" t="n">
        <x:v>4</x:v>
      </x:c>
      <x:c r="Q62" s="22" t="str">
        <x:v>["S0672"]</x:v>
      </x:c>
      <x:c r="R62" s="22" t="str">
        <x:v>evidence/student_evidence.jsonl；student_key=2025秋:259346</x:v>
      </x:c>
      <x:c r="S62" s="27" t="str">
        <x:v>同一锚点起止1条：未形成独立重复测量。</x:v>
      </x:c>
    </x:row>
    <x:row r="63" ht="23" customHeight="1">
      <x:c r="A63" s="21" t="str">
        <x:v>全量观察(探索)</x:v>
      </x:c>
      <x:c r="B63" s="22" t="str">
        <x:v>均衡型</x:v>
      </x:c>
      <x:c r="C63" s="22" t="str">
        <x:v>后20%</x:v>
      </x:c>
      <x:c r="D63" s="22" t="str">
        <x:v>严格进入</x:v>
      </x:c>
      <x:c r="E63" s="22" t="str">
        <x:v>2025秋:259405</x:v>
      </x:c>
      <x:c r="F63" s="22" t="str">
        <x:v>s3</x:v>
      </x:c>
      <x:c r="G63" s="26" t="n">
        <x:v>160</x:v>
      </x:c>
      <x:c r="H63" s="25" t="n">
        <x:v>15</x:v>
      </x:c>
      <x:c r="I63" s="24" t="n">
        <x:v>1</x:v>
      </x:c>
      <x:c r="J63" s="24" t="n">
        <x:v>1</x:v>
      </x:c>
      <x:c r="K63" s="22" t="str">
        <x:v>否</x:v>
      </x:c>
      <x:c r="L63" s="22" t="n">
        <x:v>0</x:v>
      </x:c>
      <x:c r="M63" s="22" t="n">
        <x:v>0</x:v>
      </x:c>
      <x:c r="N63" s="22" t="n">
        <x:v>0</x:v>
      </x:c>
      <x:c r="O63" s="22" t="n">
        <x:v>15</x:v>
      </x:c>
      <x:c r="P63" s="24" t="n">
        <x:v>4</x:v>
      </x:c>
      <x:c r="Q63" s="22" t="str">
        <x:v>["S0219"]</x:v>
      </x:c>
      <x:c r="R63" s="22" t="str">
        <x:v>evidence/student_evidence.jsonl；student_key=2025秋:259405</x:v>
      </x:c>
      <x:c r="S63" s="27" t="str"/>
    </x:row>
    <x:row r="64" ht="23" customHeight="1">
      <x:c r="A64" s="21" t="str">
        <x:v>全量观察(探索)</x:v>
      </x:c>
      <x:c r="B64" s="22" t="str">
        <x:v>均衡型</x:v>
      </x:c>
      <x:c r="C64" s="22" t="str">
        <x:v>后20%</x:v>
      </x:c>
      <x:c r="D64" s="22" t="str">
        <x:v>严格进入</x:v>
      </x:c>
      <x:c r="E64" s="22" t="str">
        <x:v>2025秋:259422</x:v>
      </x:c>
      <x:c r="F64" s="22" t="str">
        <x:v>s3</x:v>
      </x:c>
      <x:c r="G64" s="26" t="n">
        <x:v>160</x:v>
      </x:c>
      <x:c r="H64" s="25" t="n">
        <x:v>15</x:v>
      </x:c>
      <x:c r="I64" s="24" t="n">
        <x:v>1</x:v>
      </x:c>
      <x:c r="J64" s="24" t="n">
        <x:v>1</x:v>
      </x:c>
      <x:c r="K64" s="22" t="str">
        <x:v>是</x:v>
      </x:c>
      <x:c r="L64" s="22" t="n">
        <x:v>0</x:v>
      </x:c>
      <x:c r="M64" s="22" t="n">
        <x:v>0</x:v>
      </x:c>
      <x:c r="N64" s="22" t="n">
        <x:v>0</x:v>
      </x:c>
      <x:c r="O64" s="22" t="n">
        <x:v>15</x:v>
      </x:c>
      <x:c r="P64" s="24" t="n">
        <x:v>4</x:v>
      </x:c>
      <x:c r="Q64" s="22" t="str">
        <x:v>["S0421"]</x:v>
      </x:c>
      <x:c r="R64" s="22" t="str">
        <x:v>evidence/student_evidence.jsonl；student_key=2025秋:259422</x:v>
      </x:c>
      <x:c r="S64" s="27" t="str"/>
    </x:row>
    <x:row r="65" ht="48" customHeight="1">
      <x:c r="A65" s="21" t="str">
        <x:v>全量观察(探索)</x:v>
      </x:c>
      <x:c r="B65" s="22" t="str">
        <x:v>均衡型</x:v>
      </x:c>
      <x:c r="C65" s="22" t="str">
        <x:v>后20%</x:v>
      </x:c>
      <x:c r="D65" s="22" t="str">
        <x:v>严格进入</x:v>
      </x:c>
      <x:c r="E65" s="22" t="str">
        <x:v>2025秋:259927</x:v>
      </x:c>
      <x:c r="F65" s="22" t="str">
        <x:v>s3</x:v>
      </x:c>
      <x:c r="G65" s="26" t="n">
        <x:v>160</x:v>
      </x:c>
      <x:c r="H65" s="25" t="n">
        <x:v>15</x:v>
      </x:c>
      <x:c r="I65" s="24" t="n">
        <x:v>1</x:v>
      </x:c>
      <x:c r="J65" s="24" t="n">
        <x:v>1</x:v>
      </x:c>
      <x:c r="K65" s="22" t="str">
        <x:v>否</x:v>
      </x:c>
      <x:c r="L65" s="22" t="n">
        <x:v>0</x:v>
      </x:c>
      <x:c r="M65" s="22" t="n">
        <x:v>0</x:v>
      </x:c>
      <x:c r="N65" s="22" t="n">
        <x:v>0</x:v>
      </x:c>
      <x:c r="O65" s="22" t="n">
        <x:v>15</x:v>
      </x:c>
      <x:c r="P65" s="24" t="n">
        <x:v>4</x:v>
      </x:c>
      <x:c r="Q65" s="22" t="str">
        <x:v>["S0271"]</x:v>
      </x:c>
      <x:c r="R65" s="22" t="str">
        <x:v>evidence/student_evidence.jsonl；student_key=2025秋:259927</x:v>
      </x:c>
      <x:c r="S65" s="27" t="str">
        <x:v>同一锚点起止1条：未形成独立重复测量。</x:v>
      </x:c>
    </x:row>
    <x:row r="66" ht="23" customHeight="1">
      <x:c r="A66" s="21" t="str">
        <x:v>全量观察(探索)</x:v>
      </x:c>
      <x:c r="B66" s="22" t="str">
        <x:v>均衡型</x:v>
      </x:c>
      <x:c r="C66" s="22" t="str">
        <x:v>后20%</x:v>
      </x:c>
      <x:c r="D66" s="22" t="str">
        <x:v>严格进入</x:v>
      </x:c>
      <x:c r="E66" s="22" t="str">
        <x:v>2025秋:259958</x:v>
      </x:c>
      <x:c r="F66" s="22" t="str">
        <x:v>s3</x:v>
      </x:c>
      <x:c r="G66" s="26" t="n">
        <x:v>160</x:v>
      </x:c>
      <x:c r="H66" s="25" t="n">
        <x:v>15</x:v>
      </x:c>
      <x:c r="I66" s="24" t="n">
        <x:v>1</x:v>
      </x:c>
      <x:c r="J66" s="24" t="n">
        <x:v>1</x:v>
      </x:c>
      <x:c r="K66" s="22" t="str">
        <x:v>是</x:v>
      </x:c>
      <x:c r="L66" s="22" t="n">
        <x:v>0</x:v>
      </x:c>
      <x:c r="M66" s="22" t="n">
        <x:v>0</x:v>
      </x:c>
      <x:c r="N66" s="22" t="n">
        <x:v>0</x:v>
      </x:c>
      <x:c r="O66" s="22" t="n">
        <x:v>15</x:v>
      </x:c>
      <x:c r="P66" s="24" t="n">
        <x:v>4</x:v>
      </x:c>
      <x:c r="Q66" s="22" t="str">
        <x:v>["S0183"]</x:v>
      </x:c>
      <x:c r="R66" s="22" t="str">
        <x:v>evidence/student_evidence.jsonl；student_key=2025秋:259958</x:v>
      </x:c>
      <x:c r="S66" s="27" t="str"/>
    </x:row>
    <x:row r="67" ht="48" customHeight="1">
      <x:c r="A67" s="21" t="str">
        <x:v>全量观察(探索)</x:v>
      </x:c>
      <x:c r="B67" s="22" t="str">
        <x:v>均衡型</x:v>
      </x:c>
      <x:c r="C67" s="22" t="str">
        <x:v>后20%</x:v>
      </x:c>
      <x:c r="D67" s="22" t="str">
        <x:v>严格进入</x:v>
      </x:c>
      <x:c r="E67" s="22" t="str">
        <x:v>2025秋:25A171</x:v>
      </x:c>
      <x:c r="F67" s="22" t="str">
        <x:v>s3</x:v>
      </x:c>
      <x:c r="G67" s="26" t="n">
        <x:v>160</x:v>
      </x:c>
      <x:c r="H67" s="25" t="n">
        <x:v>15</x:v>
      </x:c>
      <x:c r="I67" s="24" t="n">
        <x:v>1</x:v>
      </x:c>
      <x:c r="J67" s="24" t="n">
        <x:v>1</x:v>
      </x:c>
      <x:c r="K67" s="22" t="str">
        <x:v>是</x:v>
      </x:c>
      <x:c r="L67" s="22" t="n">
        <x:v>0</x:v>
      </x:c>
      <x:c r="M67" s="22" t="n">
        <x:v>0</x:v>
      </x:c>
      <x:c r="N67" s="22" t="n">
        <x:v>0</x:v>
      </x:c>
      <x:c r="O67" s="22" t="n">
        <x:v>15</x:v>
      </x:c>
      <x:c r="P67" s="24" t="n">
        <x:v>4</x:v>
      </x:c>
      <x:c r="Q67" s="22" t="str">
        <x:v>["S0258"]</x:v>
      </x:c>
      <x:c r="R67" s="22" t="str">
        <x:v>evidence/student_evidence.jsonl；student_key=2025秋:25A171</x:v>
      </x:c>
      <x:c r="S67" s="27" t="str">
        <x:v>同一锚点起止1条：未形成独立重复测量。</x:v>
      </x:c>
    </x:row>
    <x:row r="68" ht="48" customHeight="1">
      <x:c r="A68" s="21" t="str">
        <x:v>全量观察(探索)</x:v>
      </x:c>
      <x:c r="B68" s="22" t="str">
        <x:v>均衡型</x:v>
      </x:c>
      <x:c r="C68" s="22" t="str">
        <x:v>后20%</x:v>
      </x:c>
      <x:c r="D68" s="22" t="str">
        <x:v>严格进入</x:v>
      </x:c>
      <x:c r="E68" s="22" t="str">
        <x:v>2026春:250845</x:v>
      </x:c>
      <x:c r="F68" s="22" t="str">
        <x:v>s6</x:v>
      </x:c>
      <x:c r="G68" s="26" t="n">
        <x:v>160</x:v>
      </x:c>
      <x:c r="H68" s="25" t="n">
        <x:v>15</x:v>
      </x:c>
      <x:c r="I68" s="24" t="n">
        <x:v>1</x:v>
      </x:c>
      <x:c r="J68" s="24" t="n">
        <x:v>1</x:v>
      </x:c>
      <x:c r="K68" s="22" t="str">
        <x:v>是</x:v>
      </x:c>
      <x:c r="L68" s="22" t="n">
        <x:v>0</x:v>
      </x:c>
      <x:c r="M68" s="22" t="n">
        <x:v>0</x:v>
      </x:c>
      <x:c r="N68" s="22" t="n">
        <x:v>0</x:v>
      </x:c>
      <x:c r="O68" s="22" t="n">
        <x:v>15</x:v>
      </x:c>
      <x:c r="P68" s="24" t="n">
        <x:v>4</x:v>
      </x:c>
      <x:c r="Q68" s="22" t="str">
        <x:v>["S0825"]</x:v>
      </x:c>
      <x:c r="R68" s="22" t="str">
        <x:v>evidence/student_evidence.jsonl；student_key=2026春:250845</x:v>
      </x:c>
      <x:c r="S68" s="27" t="str">
        <x:v>同一锚点起止1条：未形成独立重复测量。</x:v>
      </x:c>
    </x:row>
    <x:row r="69" ht="23" customHeight="1">
      <x:c r="A69" s="21" t="str">
        <x:v>全量观察(探索)</x:v>
      </x:c>
      <x:c r="B69" s="22" t="str">
        <x:v>均衡型</x:v>
      </x:c>
      <x:c r="C69" s="22" t="str">
        <x:v>后20%</x:v>
      </x:c>
      <x:c r="D69" s="22" t="str">
        <x:v>严格进入</x:v>
      </x:c>
      <x:c r="E69" s="22" t="str">
        <x:v>2026春:258955</x:v>
      </x:c>
      <x:c r="F69" s="22" t="str">
        <x:v>s3</x:v>
      </x:c>
      <x:c r="G69" s="26" t="n">
        <x:v>160</x:v>
      </x:c>
      <x:c r="H69" s="25" t="n">
        <x:v>15</x:v>
      </x:c>
      <x:c r="I69" s="24" t="n">
        <x:v>1</x:v>
      </x:c>
      <x:c r="J69" s="24" t="n">
        <x:v>1</x:v>
      </x:c>
      <x:c r="K69" s="22" t="str">
        <x:v>是</x:v>
      </x:c>
      <x:c r="L69" s="22" t="n">
        <x:v>0</x:v>
      </x:c>
      <x:c r="M69" s="22" t="n">
        <x:v>0</x:v>
      </x:c>
      <x:c r="N69" s="22" t="n">
        <x:v>0</x:v>
      </x:c>
      <x:c r="O69" s="22" t="n">
        <x:v>15</x:v>
      </x:c>
      <x:c r="P69" s="24" t="n">
        <x:v>4</x:v>
      </x:c>
      <x:c r="Q69" s="22" t="str">
        <x:v>["S0838"]</x:v>
      </x:c>
      <x:c r="R69" s="22" t="str">
        <x:v>evidence/student_evidence.jsonl；student_key=2026春:258955</x:v>
      </x:c>
      <x:c r="S69" s="27" t="str"/>
    </x:row>
    <x:row r="70" ht="23" customHeight="1">
      <x:c r="A70" s="21" t="str">
        <x:v>全量观察(探索)</x:v>
      </x:c>
      <x:c r="B70" s="22" t="str">
        <x:v>均衡型</x:v>
      </x:c>
      <x:c r="C70" s="22" t="str">
        <x:v>后20%</x:v>
      </x:c>
      <x:c r="D70" s="22" t="str">
        <x:v>严格进入</x:v>
      </x:c>
      <x:c r="E70" s="22" t="str">
        <x:v>2026春:268176</x:v>
      </x:c>
      <x:c r="F70" s="22" t="str">
        <x:v>s3</x:v>
      </x:c>
      <x:c r="G70" s="26" t="n">
        <x:v>160</x:v>
      </x:c>
      <x:c r="H70" s="25" t="n">
        <x:v>15</x:v>
      </x:c>
      <x:c r="I70" s="24" t="n">
        <x:v>1</x:v>
      </x:c>
      <x:c r="J70" s="24" t="n">
        <x:v>1</x:v>
      </x:c>
      <x:c r="K70" s="22" t="str">
        <x:v>是</x:v>
      </x:c>
      <x:c r="L70" s="22" t="n">
        <x:v>0</x:v>
      </x:c>
      <x:c r="M70" s="22" t="n">
        <x:v>0</x:v>
      </x:c>
      <x:c r="N70" s="22" t="n">
        <x:v>0</x:v>
      </x:c>
      <x:c r="O70" s="22" t="n">
        <x:v>15</x:v>
      </x:c>
      <x:c r="P70" s="24" t="n">
        <x:v>4</x:v>
      </x:c>
      <x:c r="Q70" s="22" t="str">
        <x:v>["S1047"]</x:v>
      </x:c>
      <x:c r="R70" s="22" t="str">
        <x:v>evidence/student_evidence.jsonl；student_key=2026春:268176</x:v>
      </x:c>
      <x:c r="S70" s="27" t="str"/>
    </x:row>
    <x:row r="71" ht="23" customHeight="1">
      <x:c r="A71" s="21" t="str">
        <x:v>全量观察(探索)</x:v>
      </x:c>
      <x:c r="B71" s="22" t="str">
        <x:v>均衡型</x:v>
      </x:c>
      <x:c r="C71" s="22" t="str">
        <x:v>后20%</x:v>
      </x:c>
      <x:c r="D71" s="22" t="str">
        <x:v>严格进入</x:v>
      </x:c>
      <x:c r="E71" s="22" t="str">
        <x:v>2026春:268538</x:v>
      </x:c>
      <x:c r="F71" s="22" t="str">
        <x:v>s3</x:v>
      </x:c>
      <x:c r="G71" s="26" t="n">
        <x:v>160</x:v>
      </x:c>
      <x:c r="H71" s="25" t="n">
        <x:v>15</x:v>
      </x:c>
      <x:c r="I71" s="24" t="n">
        <x:v>1</x:v>
      </x:c>
      <x:c r="J71" s="24" t="n">
        <x:v>1</x:v>
      </x:c>
      <x:c r="K71" s="22" t="str">
        <x:v>是</x:v>
      </x:c>
      <x:c r="L71" s="22" t="n">
        <x:v>0</x:v>
      </x:c>
      <x:c r="M71" s="22" t="n">
        <x:v>0</x:v>
      </x:c>
      <x:c r="N71" s="22" t="n">
        <x:v>0</x:v>
      </x:c>
      <x:c r="O71" s="22" t="n">
        <x:v>15</x:v>
      </x:c>
      <x:c r="P71" s="24" t="n">
        <x:v>4</x:v>
      </x:c>
      <x:c r="Q71" s="22" t="str">
        <x:v>["S1276"]</x:v>
      </x:c>
      <x:c r="R71" s="22" t="str">
        <x:v>evidence/student_evidence.jsonl；student_key=2026春:268538</x:v>
      </x:c>
      <x:c r="S71" s="27" t="str"/>
    </x:row>
    <x:row r="72" ht="23" customHeight="1">
      <x:c r="A72" s="21" t="str">
        <x:v>全量观察(探索)</x:v>
      </x:c>
      <x:c r="B72" s="22" t="str">
        <x:v>均衡型</x:v>
      </x:c>
      <x:c r="C72" s="22" t="str">
        <x:v>后20%</x:v>
      </x:c>
      <x:c r="D72" s="22" t="str">
        <x:v>严格进入</x:v>
      </x:c>
      <x:c r="E72" s="22" t="str">
        <x:v>2026春:268133</x:v>
      </x:c>
      <x:c r="F72" s="22" t="str">
        <x:v>s3</x:v>
      </x:c>
      <x:c r="G72" s="26" t="n">
        <x:v>171</x:v>
      </x:c>
      <x:c r="H72" s="25" t="n">
        <x:v>13.040920119447552</x:v>
      </x:c>
      <x:c r="I72" s="24" t="n">
        <x:v>1</x:v>
      </x:c>
      <x:c r="J72" s="24" t="n">
        <x:v>1</x:v>
      </x:c>
      <x:c r="K72" s="22" t="str">
        <x:v>是</x:v>
      </x:c>
      <x:c r="L72" s="22" t="n">
        <x:v>0.325936477614562</x:v>
      </x:c>
      <x:c r="M72" s="22" t="n">
        <x:v>3.25936477614562</x:v>
      </x:c>
      <x:c r="N72" s="22" t="n">
        <x:v>1.9556188656873719</x:v>
      </x:c>
      <x:c r="O72" s="22" t="n">
        <x:v>7.5</x:v>
      </x:c>
      <x:c r="P72" s="24" t="n">
        <x:v>4</x:v>
      </x:c>
      <x:c r="Q72" s="22" t="str">
        <x:v>["S0944"]</x:v>
      </x:c>
      <x:c r="R72" s="22" t="str">
        <x:v>evidence/student_evidence.jsonl；student_key=2026春:268133</x:v>
      </x:c>
      <x:c r="S72" s="27" t="str"/>
    </x:row>
    <x:row r="73" ht="23" customHeight="1">
      <x:c r="A73" s="21" t="str">
        <x:v>全量观察(探索)</x:v>
      </x:c>
      <x:c r="B73" s="22" t="str">
        <x:v>均衡型</x:v>
      </x:c>
      <x:c r="C73" s="22" t="str">
        <x:v>后20%</x:v>
      </x:c>
      <x:c r="D73" s="22" t="str">
        <x:v>严格进入</x:v>
      </x:c>
      <x:c r="E73" s="22" t="str">
        <x:v>2026春:250868</x:v>
      </x:c>
      <x:c r="F73" s="22" t="str">
        <x:v>s3</x:v>
      </x:c>
      <x:c r="G73" s="26" t="n">
        <x:v>172</x:v>
      </x:c>
      <x:c r="H73" s="25" t="n">
        <x:v>12.738651394901396</x:v>
      </x:c>
      <x:c r="I73" s="24" t="n">
        <x:v>1</x:v>
      </x:c>
      <x:c r="J73" s="24" t="n">
        <x:v>1</x:v>
      </x:c>
      <x:c r="K73" s="22" t="str">
        <x:v>是</x:v>
      </x:c>
      <x:c r="L73" s="22" t="n">
        <x:v>0.3081559644059645</x:v>
      </x:c>
      <x:c r="M73" s="22" t="n">
        <x:v>3.081559644059645</x:v>
      </x:c>
      <x:c r="N73" s="22" t="n">
        <x:v>1.848935786435787</x:v>
      </x:c>
      <x:c r="O73" s="22" t="n">
        <x:v>7.5</x:v>
      </x:c>
      <x:c r="P73" s="24" t="n">
        <x:v>4</x:v>
      </x:c>
      <x:c r="Q73" s="22" t="str">
        <x:v>["S0828"]</x:v>
      </x:c>
      <x:c r="R73" s="22" t="str">
        <x:v>evidence/student_evidence.jsonl；student_key=2026春:250868</x:v>
      </x:c>
      <x:c r="S73" s="27" t="str"/>
    </x:row>
    <x:row r="74" ht="48" customHeight="1">
      <x:c r="A74" s="21" t="str">
        <x:v>全量观察(探索)</x:v>
      </x:c>
      <x:c r="B74" s="22" t="str">
        <x:v>均衡型</x:v>
      </x:c>
      <x:c r="C74" s="22" t="str">
        <x:v>后20%</x:v>
      </x:c>
      <x:c r="D74" s="22" t="str">
        <x:v>严格进入</x:v>
      </x:c>
      <x:c r="E74" s="22" t="str">
        <x:v>2025秋:258269</x:v>
      </x:c>
      <x:c r="F74" s="22" t="str">
        <x:v>s3</x:v>
      </x:c>
      <x:c r="G74" s="26" t="n">
        <x:v>173.5</x:v>
      </x:c>
      <x:c r="H74" s="25" t="n">
        <x:v>10</x:v>
      </x:c>
      <x:c r="I74" s="24" t="n">
        <x:v>1</x:v>
      </x:c>
      <x:c r="J74" s="24" t="n">
        <x:v>1</x:v>
      </x:c>
      <x:c r="K74" s="22" t="str">
        <x:v>否</x:v>
      </x:c>
      <x:c r="L74" s="22" t="n">
        <x:v>0</x:v>
      </x:c>
      <x:c r="M74" s="22" t="n">
        <x:v>0</x:v>
      </x:c>
      <x:c r="N74" s="22" t="n">
        <x:v>0</x:v>
      </x:c>
      <x:c r="O74" s="22" t="n">
        <x:v>9.999999999999998</x:v>
      </x:c>
      <x:c r="P74" s="24" t="n">
        <x:v>4</x:v>
      </x:c>
      <x:c r="Q74" s="22" t="str">
        <x:v>["S0297"]</x:v>
      </x:c>
      <x:c r="R74" s="22" t="str">
        <x:v>evidence/student_evidence.jsonl；student_key=2025秋:258269</x:v>
      </x:c>
      <x:c r="S74" s="27" t="str">
        <x:v>同一锚点起止1条：未形成独立重复测量。</x:v>
      </x:c>
    </x:row>
    <x:row r="75" ht="23" customHeight="1">
      <x:c r="A75" s="21" t="str">
        <x:v>全量观察(探索)</x:v>
      </x:c>
      <x:c r="B75" s="22" t="str">
        <x:v>均衡型</x:v>
      </x:c>
      <x:c r="C75" s="22" t="str">
        <x:v>后20%</x:v>
      </x:c>
      <x:c r="D75" s="22" t="str">
        <x:v>严格进入</x:v>
      </x:c>
      <x:c r="E75" s="22" t="str">
        <x:v>2025秋:259001</x:v>
      </x:c>
      <x:c r="F75" s="22" t="str">
        <x:v>s3</x:v>
      </x:c>
      <x:c r="G75" s="26" t="n">
        <x:v>173.5</x:v>
      </x:c>
      <x:c r="H75" s="25" t="n">
        <x:v>10</x:v>
      </x:c>
      <x:c r="I75" s="24" t="n">
        <x:v>1</x:v>
      </x:c>
      <x:c r="J75" s="24" t="n">
        <x:v>1</x:v>
      </x:c>
      <x:c r="K75" s="22" t="str">
        <x:v>否</x:v>
      </x:c>
      <x:c r="L75" s="22" t="n">
        <x:v>0</x:v>
      </x:c>
      <x:c r="M75" s="22" t="n">
        <x:v>0</x:v>
      </x:c>
      <x:c r="N75" s="22" t="n">
        <x:v>0</x:v>
      </x:c>
      <x:c r="O75" s="22" t="n">
        <x:v>9.999999999999998</x:v>
      </x:c>
      <x:c r="P75" s="24" t="n">
        <x:v>4</x:v>
      </x:c>
      <x:c r="Q75" s="22" t="str">
        <x:v>["S0159"]</x:v>
      </x:c>
      <x:c r="R75" s="22" t="str">
        <x:v>evidence/student_evidence.jsonl；student_key=2025秋:259001</x:v>
      </x:c>
      <x:c r="S75" s="27" t="str"/>
    </x:row>
    <x:row r="76" ht="48" customHeight="1">
      <x:c r="A76" s="21" t="str">
        <x:v>全量观察(探索)</x:v>
      </x:c>
      <x:c r="B76" s="22" t="str">
        <x:v>突破优先型</x:v>
      </x:c>
      <x:c r="C76" s="22" t="str">
        <x:v>前20%</x:v>
      </x:c>
      <x:c r="D76" s="22" t="str">
        <x:v>严格进入</x:v>
      </x:c>
      <x:c r="E76" s="22" t="str">
        <x:v>2025秋:259869</x:v>
      </x:c>
      <x:c r="F76" s="22" t="str">
        <x:v>s6</x:v>
      </x:c>
      <x:c r="G76" s="26" t="n">
        <x:v>1</x:v>
      </x:c>
      <x:c r="H76" s="25" t="n">
        <x:v>71.66666666666667</x:v>
      </x:c>
      <x:c r="I76" s="24" t="n">
        <x:v>1</x:v>
      </x:c>
      <x:c r="J76" s="24" t="n">
        <x:v>1</x:v>
      </x:c>
      <x:c r="K76" s="22" t="str">
        <x:v>是</x:v>
      </x:c>
      <x:c r="L76" s="22" t="n">
        <x:v>1.6666666666666665</x:v>
      </x:c>
      <x:c r="M76" s="22" t="n">
        <x:v>20</x:v>
      </x:c>
      <x:c r="N76" s="22" t="n">
        <x:v>40</x:v>
      </x:c>
      <x:c r="O76" s="22" t="n">
        <x:v>10</x:v>
      </x:c>
      <x:c r="P76" s="24" t="n">
        <x:v>4</x:v>
      </x:c>
      <x:c r="Q76" s="22" t="str">
        <x:v>["S0220"]</x:v>
      </x:c>
      <x:c r="R76" s="22" t="str">
        <x:v>evidence/student_evidence.jsonl；student_key=2025秋:259869</x:v>
      </x:c>
      <x:c r="S76" s="27" t="str">
        <x:v>S0220 L1→L6。高点为无人机局部方案，未见独立求解及最优性验证；L6充分性待复核。</x:v>
      </x:c>
    </x:row>
    <x:row r="77" ht="48" customHeight="1">
      <x:c r="A77" s="21" t="str">
        <x:v>全量观察(探索)</x:v>
      </x:c>
      <x:c r="B77" s="22" t="str">
        <x:v>突破优先型</x:v>
      </x:c>
      <x:c r="C77" s="22" t="str">
        <x:v>前20%</x:v>
      </x:c>
      <x:c r="D77" s="22" t="str">
        <x:v>严格进入</x:v>
      </x:c>
      <x:c r="E77" s="22" t="str">
        <x:v>2025秋:259329</x:v>
      </x:c>
      <x:c r="F77" s="22" t="str">
        <x:v>s6</x:v>
      </x:c>
      <x:c r="G77" s="26" t="n">
        <x:v>2</x:v>
      </x:c>
      <x:c r="H77" s="25" t="n">
        <x:v>69.33333333333334</x:v>
      </x:c>
      <x:c r="I77" s="24" t="n">
        <x:v>1</x:v>
      </x:c>
      <x:c r="J77" s="24" t="n">
        <x:v>1</x:v>
      </x:c>
      <x:c r="K77" s="22" t="str">
        <x:v>是</x:v>
      </x:c>
      <x:c r="L77" s="22" t="n">
        <x:v>1.3333333333333335</x:v>
      </x:c>
      <x:c r="M77" s="22" t="n">
        <x:v>16</x:v>
      </x:c>
      <x:c r="N77" s="22" t="n">
        <x:v>32</x:v>
      </x:c>
      <x:c r="O77" s="22" t="n">
        <x:v>20</x:v>
      </x:c>
      <x:c r="P77" s="24" t="n">
        <x:v>4</x:v>
      </x:c>
      <x:c r="Q77" s="22" t="str">
        <x:v>["S0112"]</x:v>
      </x:c>
      <x:c r="R77" s="22" t="str">
        <x:v>evidence/student_evidence.jsonl；student_key=2025秋:259329</x:v>
      </x:c>
      <x:c r="S77" s="27" t="str">
        <x:v>S0112库存案例为文字框架，未见完整方程、求解及验证；L6构造要求需复核。</x:v>
      </x:c>
    </x:row>
    <x:row r="78" ht="48" customHeight="1">
      <x:c r="A78" s="21" t="str">
        <x:v>全量观察(探索)</x:v>
      </x:c>
      <x:c r="B78" s="22" t="str">
        <x:v>突破优先型</x:v>
      </x:c>
      <x:c r="C78" s="22" t="str">
        <x:v>前20%</x:v>
      </x:c>
      <x:c r="D78" s="22" t="str">
        <x:v>严格进入</x:v>
      </x:c>
      <x:c r="E78" s="22" t="str">
        <x:v>2025秋:258524</x:v>
      </x:c>
      <x:c r="F78" s="22" t="str">
        <x:v>s6</x:v>
      </x:c>
      <x:c r="G78" s="26" t="n">
        <x:v>3</x:v>
      </x:c>
      <x:c r="H78" s="25" t="n">
        <x:v>59.333333333333336</x:v>
      </x:c>
      <x:c r="I78" s="24" t="n">
        <x:v>1</x:v>
      </x:c>
      <x:c r="J78" s="24" t="n">
        <x:v>1</x:v>
      </x:c>
      <x:c r="K78" s="22" t="str">
        <x:v>是</x:v>
      </x:c>
      <x:c r="L78" s="22" t="n">
        <x:v>1.3333333333333335</x:v>
      </x:c>
      <x:c r="M78" s="22" t="n">
        <x:v>16</x:v>
      </x:c>
      <x:c r="N78" s="22" t="n">
        <x:v>32</x:v>
      </x:c>
      <x:c r="O78" s="22" t="n">
        <x:v>10</x:v>
      </x:c>
      <x:c r="P78" s="24" t="n">
        <x:v>4</x:v>
      </x:c>
      <x:c r="Q78" s="22" t="str">
        <x:v>["S0041"]</x:v>
      </x:c>
      <x:c r="R78" s="22" t="str">
        <x:v>evidence/student_evidence.jsonl；student_key=2025秋:258524</x:v>
      </x:c>
      <x:c r="S78" s="27" t="str">
        <x:v>S0041低起点仅“长得漂亮”，大增量对L1起点敏感；末端为概念解释，知识基础及独立掌握待核。</x:v>
      </x:c>
    </x:row>
    <x:row r="79" ht="23" customHeight="1">
      <x:c r="A79" s="21" t="str">
        <x:v>全量观察(探索)</x:v>
      </x:c>
      <x:c r="B79" s="22" t="str">
        <x:v>突破优先型</x:v>
      </x:c>
      <x:c r="C79" s="22" t="str">
        <x:v>前20%</x:v>
      </x:c>
      <x:c r="D79" s="22" t="str">
        <x:v>严格进入</x:v>
      </x:c>
      <x:c r="E79" s="22" t="str">
        <x:v>2025秋:258902</x:v>
      </x:c>
      <x:c r="F79" s="22" t="str">
        <x:v>s3</x:v>
      </x:c>
      <x:c r="G79" s="26" t="n">
        <x:v>4.5</x:v>
      </x:c>
      <x:c r="H79" s="25" t="n">
        <x:v>51.00032041728764</x:v>
      </x:c>
      <x:c r="I79" s="24" t="n">
        <x:v>1</x:v>
      </x:c>
      <x:c r="J79" s="24" t="n">
        <x:v>1</x:v>
      </x:c>
      <x:c r="K79" s="22" t="str">
        <x:v>是</x:v>
      </x:c>
      <x:c r="L79" s="22" t="n">
        <x:v>0.8378464977645307</x:v>
      </x:c>
      <x:c r="M79" s="22" t="n">
        <x:v>10.054157973174368</x:v>
      </x:c>
      <x:c r="N79" s="22" t="n">
        <x:v>20.108315946348736</x:v>
      </x:c>
      <x:c r="O79" s="22" t="n">
        <x:v>20</x:v>
      </x:c>
      <x:c r="P79" s="24" t="n">
        <x:v>4</x:v>
      </x:c>
      <x:c r="Q79" s="22" t="str">
        <x:v>["S0149"]</x:v>
      </x:c>
      <x:c r="R79" s="22" t="str">
        <x:v>evidence/student_evidence.jsonl；student_key=2025秋:258902</x:v>
      </x:c>
      <x:c r="S79" s="27" t="str"/>
    </x:row>
    <x:row r="80" ht="23" customHeight="1">
      <x:c r="A80" s="21" t="str">
        <x:v>全量观察(探索)</x:v>
      </x:c>
      <x:c r="B80" s="22" t="str">
        <x:v>突破优先型</x:v>
      </x:c>
      <x:c r="C80" s="22" t="str">
        <x:v>前20%</x:v>
      </x:c>
      <x:c r="D80" s="22" t="str">
        <x:v>严格进入</x:v>
      </x:c>
      <x:c r="E80" s="22" t="str">
        <x:v>2025秋:259407</x:v>
      </x:c>
      <x:c r="F80" s="22" t="str">
        <x:v>s3</x:v>
      </x:c>
      <x:c r="G80" s="26" t="n">
        <x:v>4.5</x:v>
      </x:c>
      <x:c r="H80" s="25" t="n">
        <x:v>51.00032041728764</x:v>
      </x:c>
      <x:c r="I80" s="24" t="n">
        <x:v>1</x:v>
      </x:c>
      <x:c r="J80" s="24" t="n">
        <x:v>1</x:v>
      </x:c>
      <x:c r="K80" s="22" t="str">
        <x:v>是</x:v>
      </x:c>
      <x:c r="L80" s="22" t="n">
        <x:v>0.8378464977645307</x:v>
      </x:c>
      <x:c r="M80" s="22" t="n">
        <x:v>10.054157973174368</x:v>
      </x:c>
      <x:c r="N80" s="22" t="n">
        <x:v>20.108315946348736</x:v>
      </x:c>
      <x:c r="O80" s="22" t="n">
        <x:v>20</x:v>
      </x:c>
      <x:c r="P80" s="24" t="n">
        <x:v>4</x:v>
      </x:c>
      <x:c r="Q80" s="22" t="str">
        <x:v>["S0036"]</x:v>
      </x:c>
      <x:c r="R80" s="22" t="str">
        <x:v>evidence/student_evidence.jsonl；student_key=2025秋:259407</x:v>
      </x:c>
      <x:c r="S80" s="27" t="str"/>
    </x:row>
    <x:row r="81" ht="23" customHeight="1">
      <x:c r="A81" s="21" t="str">
        <x:v>全量观察(探索)</x:v>
      </x:c>
      <x:c r="B81" s="22" t="str">
        <x:v>突破优先型</x:v>
      </x:c>
      <x:c r="C81" s="22" t="str">
        <x:v>前20%</x:v>
      </x:c>
      <x:c r="D81" s="22" t="str">
        <x:v>严格进入</x:v>
      </x:c>
      <x:c r="E81" s="22" t="str">
        <x:v>2025秋:259021</x:v>
      </x:c>
      <x:c r="F81" s="22" t="str">
        <x:v>s3</x:v>
      </x:c>
      <x:c r="G81" s="26" t="n">
        <x:v>6.5</x:v>
      </x:c>
      <x:c r="H81" s="25" t="n">
        <x:v>50.595634178204804</x:v>
      </x:c>
      <x:c r="I81" s="24" t="n">
        <x:v>1</x:v>
      </x:c>
      <x:c r="J81" s="24" t="n">
        <x:v>1</x:v>
      </x:c>
      <x:c r="K81" s="22" t="str">
        <x:v>是</x:v>
      </x:c>
      <x:c r="L81" s="22" t="n">
        <x:v>0.8269090318433729</x:v>
      </x:c>
      <x:c r="M81" s="22" t="n">
        <x:v>9.922908382120475</x:v>
      </x:c>
      <x:c r="N81" s="22" t="n">
        <x:v>19.84581676424095</x:v>
      </x:c>
      <x:c r="O81" s="22" t="n">
        <x:v>20</x:v>
      </x:c>
      <x:c r="P81" s="24" t="n">
        <x:v>4</x:v>
      </x:c>
      <x:c r="Q81" s="22" t="str">
        <x:v>["S0464"]</x:v>
      </x:c>
      <x:c r="R81" s="22" t="str">
        <x:v>evidence/student_evidence.jsonl；student_key=2025秋:259021</x:v>
      </x:c>
      <x:c r="S81" s="27" t="str"/>
    </x:row>
    <x:row r="82" ht="23" customHeight="1">
      <x:c r="A82" s="21" t="str">
        <x:v>全量观察(探索)</x:v>
      </x:c>
      <x:c r="B82" s="22" t="str">
        <x:v>突破优先型</x:v>
      </x:c>
      <x:c r="C82" s="22" t="str">
        <x:v>前20%</x:v>
      </x:c>
      <x:c r="D82" s="22" t="str">
        <x:v>严格进入</x:v>
      </x:c>
      <x:c r="E82" s="22" t="str">
        <x:v>2025秋:25A081</x:v>
      </x:c>
      <x:c r="F82" s="22" t="str">
        <x:v>s3</x:v>
      </x:c>
      <x:c r="G82" s="26" t="n">
        <x:v>6.5</x:v>
      </x:c>
      <x:c r="H82" s="25" t="n">
        <x:v>50.595634178204804</x:v>
      </x:c>
      <x:c r="I82" s="24" t="n">
        <x:v>1</x:v>
      </x:c>
      <x:c r="J82" s="24" t="n">
        <x:v>1</x:v>
      </x:c>
      <x:c r="K82" s="22" t="str">
        <x:v>是</x:v>
      </x:c>
      <x:c r="L82" s="22" t="n">
        <x:v>0.8269090318433729</x:v>
      </x:c>
      <x:c r="M82" s="22" t="n">
        <x:v>9.922908382120475</x:v>
      </x:c>
      <x:c r="N82" s="22" t="n">
        <x:v>19.84581676424095</x:v>
      </x:c>
      <x:c r="O82" s="22" t="n">
        <x:v>20</x:v>
      </x:c>
      <x:c r="P82" s="24" t="n">
        <x:v>4</x:v>
      </x:c>
      <x:c r="Q82" s="22" t="str">
        <x:v>["S0411"]</x:v>
      </x:c>
      <x:c r="R82" s="22" t="str">
        <x:v>evidence/student_evidence.jsonl；student_key=2025秋:25A081</x:v>
      </x:c>
      <x:c r="S82" s="27" t="str"/>
    </x:row>
    <x:row r="83" ht="23" customHeight="1">
      <x:c r="A83" s="21" t="str">
        <x:v>全量观察(探索)</x:v>
      </x:c>
      <x:c r="B83" s="22" t="str">
        <x:v>突破优先型</x:v>
      </x:c>
      <x:c r="C83" s="22" t="str">
        <x:v>前20%</x:v>
      </x:c>
      <x:c r="D83" s="22" t="str">
        <x:v>严格进入</x:v>
      </x:c>
      <x:c r="E83" s="22" t="str">
        <x:v>2025秋:259401</x:v>
      </x:c>
      <x:c r="F83" s="22" t="str">
        <x:v>s3</x:v>
      </x:c>
      <x:c r="G83" s="26" t="n">
        <x:v>8.5</x:v>
      </x:c>
      <x:c r="H83" s="25" t="n">
        <x:v>50.408464715982795</x:v>
      </x:c>
      <x:c r="I83" s="24" t="n">
        <x:v>1</x:v>
      </x:c>
      <x:c r="J83" s="24" t="n">
        <x:v>1</x:v>
      </x:c>
      <x:c r="K83" s="22" t="str">
        <x:v>否</x:v>
      </x:c>
      <x:c r="L83" s="22" t="n">
        <x:v>0.8218503977292646</x:v>
      </x:c>
      <x:c r="M83" s="22" t="n">
        <x:v>9.862204772751173</x:v>
      </x:c>
      <x:c r="N83" s="22" t="n">
        <x:v>19.724409545502347</x:v>
      </x:c>
      <x:c r="O83" s="22" t="n">
        <x:v>20</x:v>
      </x:c>
      <x:c r="P83" s="24" t="n">
        <x:v>4</x:v>
      </x:c>
      <x:c r="Q83" s="22" t="str">
        <x:v>["S0378"]</x:v>
      </x:c>
      <x:c r="R83" s="22" t="str">
        <x:v>evidence/student_evidence.jsonl；student_key=2025秋:259401</x:v>
      </x:c>
      <x:c r="S83" s="27" t="str"/>
    </x:row>
    <x:row r="84" ht="23" customHeight="1">
      <x:c r="A84" s="21" t="str">
        <x:v>全量观察(探索)</x:v>
      </x:c>
      <x:c r="B84" s="22" t="str">
        <x:v>突破优先型</x:v>
      </x:c>
      <x:c r="C84" s="22" t="str">
        <x:v>前20%</x:v>
      </x:c>
      <x:c r="D84" s="22" t="str">
        <x:v>严格进入</x:v>
      </x:c>
      <x:c r="E84" s="22" t="str">
        <x:v>2025秋:259961</x:v>
      </x:c>
      <x:c r="F84" s="22" t="str">
        <x:v>s3</x:v>
      </x:c>
      <x:c r="G84" s="26" t="n">
        <x:v>8.5</x:v>
      </x:c>
      <x:c r="H84" s="25" t="n">
        <x:v>50.408464715982795</x:v>
      </x:c>
      <x:c r="I84" s="24" t="n">
        <x:v>1</x:v>
      </x:c>
      <x:c r="J84" s="24" t="n">
        <x:v>1</x:v>
      </x:c>
      <x:c r="K84" s="22" t="str">
        <x:v>是</x:v>
      </x:c>
      <x:c r="L84" s="22" t="n">
        <x:v>0.8218503977292646</x:v>
      </x:c>
      <x:c r="M84" s="22" t="n">
        <x:v>9.862204772751173</x:v>
      </x:c>
      <x:c r="N84" s="22" t="n">
        <x:v>19.724409545502347</x:v>
      </x:c>
      <x:c r="O84" s="22" t="n">
        <x:v>20</x:v>
      </x:c>
      <x:c r="P84" s="24" t="n">
        <x:v>4</x:v>
      </x:c>
      <x:c r="Q84" s="22" t="str">
        <x:v>["S0296"]</x:v>
      </x:c>
      <x:c r="R84" s="22" t="str">
        <x:v>evidence/student_evidence.jsonl；student_key=2025秋:259961</x:v>
      </x:c>
      <x:c r="S84" s="27" t="str"/>
    </x:row>
    <x:row r="85" ht="23" customHeight="1">
      <x:c r="A85" s="21" t="str">
        <x:v>全量观察(探索)</x:v>
      </x:c>
      <x:c r="B85" s="22" t="str">
        <x:v>突破优先型</x:v>
      </x:c>
      <x:c r="C85" s="22" t="str">
        <x:v>前20%</x:v>
      </x:c>
      <x:c r="D85" s="22" t="str">
        <x:v>严格进入</x:v>
      </x:c>
      <x:c r="E85" s="22" t="str">
        <x:v>2025秋:25A134</x:v>
      </x:c>
      <x:c r="F85" s="22" t="str">
        <x:v>s3</x:v>
      </x:c>
      <x:c r="G85" s="26" t="n">
        <x:v>10</x:v>
      </x:c>
      <x:c r="H85" s="25" t="n">
        <x:v>50.07331710847885</x:v>
      </x:c>
      <x:c r="I85" s="24" t="n">
        <x:v>1</x:v>
      </x:c>
      <x:c r="J85" s="24" t="n">
        <x:v>1</x:v>
      </x:c>
      <x:c r="K85" s="22" t="str">
        <x:v>是</x:v>
      </x:c>
      <x:c r="L85" s="22" t="n">
        <x:v>0.8127923542832122</x:v>
      </x:c>
      <x:c r="M85" s="22" t="n">
        <x:v>9.753508251398546</x:v>
      </x:c>
      <x:c r="N85" s="22" t="n">
        <x:v>19.507016502797093</x:v>
      </x:c>
      <x:c r="O85" s="22" t="n">
        <x:v>20</x:v>
      </x:c>
      <x:c r="P85" s="24" t="n">
        <x:v>4</x:v>
      </x:c>
      <x:c r="Q85" s="22" t="str">
        <x:v>["S0311"]</x:v>
      </x:c>
      <x:c r="R85" s="22" t="str">
        <x:v>evidence/student_evidence.jsonl；student_key=2025秋:25A134</x:v>
      </x:c>
      <x:c r="S85" s="27" t="str"/>
    </x:row>
    <x:row r="86" ht="23" customHeight="1">
      <x:c r="A86" s="21" t="str">
        <x:v>全量观察(探索)</x:v>
      </x:c>
      <x:c r="B86" s="22" t="str">
        <x:v>突破优先型</x:v>
      </x:c>
      <x:c r="C86" s="22" t="str">
        <x:v>前20%</x:v>
      </x:c>
      <x:c r="D86" s="22" t="str">
        <x:v>严格进入</x:v>
      </x:c>
      <x:c r="E86" s="22" t="str">
        <x:v>2025秋:258878</x:v>
      </x:c>
      <x:c r="F86" s="22" t="str">
        <x:v>s3</x:v>
      </x:c>
      <x:c r="G86" s="26" t="n">
        <x:v>11.5</x:v>
      </x:c>
      <x:c r="H86" s="25" t="n">
        <x:v>50.033229539385985</x:v>
      </x:c>
      <x:c r="I86" s="24" t="n">
        <x:v>1</x:v>
      </x:c>
      <x:c r="J86" s="24" t="n">
        <x:v>1</x:v>
      </x:c>
      <x:c r="K86" s="22" t="str">
        <x:v>是</x:v>
      </x:c>
      <x:c r="L86" s="22" t="n">
        <x:v>0.8117089064698915</x:v>
      </x:c>
      <x:c r="M86" s="22" t="n">
        <x:v>9.740506877638698</x:v>
      </x:c>
      <x:c r="N86" s="22" t="n">
        <x:v>19.481013755277395</x:v>
      </x:c>
      <x:c r="O86" s="22" t="n">
        <x:v>20</x:v>
      </x:c>
      <x:c r="P86" s="24" t="n">
        <x:v>4</x:v>
      </x:c>
      <x:c r="Q86" s="22" t="str">
        <x:v>["S0364"]</x:v>
      </x:c>
      <x:c r="R86" s="22" t="str">
        <x:v>evidence/student_evidence.jsonl；student_key=2025秋:258878</x:v>
      </x:c>
      <x:c r="S86" s="27" t="str"/>
    </x:row>
    <x:row r="87" ht="23" customHeight="1">
      <x:c r="A87" s="21" t="str">
        <x:v>全量观察(探索)</x:v>
      </x:c>
      <x:c r="B87" s="22" t="str">
        <x:v>突破优先型</x:v>
      </x:c>
      <x:c r="C87" s="22" t="str">
        <x:v>前20%</x:v>
      </x:c>
      <x:c r="D87" s="22" t="str">
        <x:v>严格进入</x:v>
      </x:c>
      <x:c r="E87" s="22" t="str">
        <x:v>2025秋:258888</x:v>
      </x:c>
      <x:c r="F87" s="22" t="str">
        <x:v>s3</x:v>
      </x:c>
      <x:c r="G87" s="26" t="n">
        <x:v>11.5</x:v>
      </x:c>
      <x:c r="H87" s="25" t="n">
        <x:v>50.033229539385985</x:v>
      </x:c>
      <x:c r="I87" s="24" t="n">
        <x:v>2</x:v>
      </x:c>
      <x:c r="J87" s="24" t="n">
        <x:v>1</x:v>
      </x:c>
      <x:c r="K87" s="22" t="str">
        <x:v>是</x:v>
      </x:c>
      <x:c r="L87" s="22" t="n">
        <x:v>0.8117089064698915</x:v>
      </x:c>
      <x:c r="M87" s="22" t="n">
        <x:v>9.740506877638698</x:v>
      </x:c>
      <x:c r="N87" s="22" t="n">
        <x:v>19.481013755277395</x:v>
      </x:c>
      <x:c r="O87" s="22" t="n">
        <x:v>20</x:v>
      </x:c>
      <x:c r="P87" s="24" t="n">
        <x:v>4</x:v>
      </x:c>
      <x:c r="Q87" s="22" t="str">
        <x:v>["S0190","S0365"]</x:v>
      </x:c>
      <x:c r="R87" s="22" t="str">
        <x:v>evidence/student_evidence.jsonl；student_key=2025秋:258888</x:v>
      </x:c>
      <x:c r="S87" s="27" t="str"/>
    </x:row>
    <x:row r="88" ht="23" customHeight="1">
      <x:c r="A88" s="21" t="str">
        <x:v>全量观察(探索)</x:v>
      </x:c>
      <x:c r="B88" s="22" t="str">
        <x:v>突破优先型</x:v>
      </x:c>
      <x:c r="C88" s="22" t="str">
        <x:v>前20%</x:v>
      </x:c>
      <x:c r="D88" s="22" t="str">
        <x:v>严格进入</x:v>
      </x:c>
      <x:c r="E88" s="22" t="str">
        <x:v>2025秋:258988</x:v>
      </x:c>
      <x:c r="F88" s="22" t="str">
        <x:v>s3</x:v>
      </x:c>
      <x:c r="G88" s="26" t="n">
        <x:v>13</x:v>
      </x:c>
      <x:c r="H88" s="25" t="n">
        <x:v>49.79567337217216</x:v>
      </x:c>
      <x:c r="I88" s="24" t="n">
        <x:v>1</x:v>
      </x:c>
      <x:c r="J88" s="24" t="n">
        <x:v>1</x:v>
      </x:c>
      <x:c r="K88" s="22" t="str">
        <x:v>是</x:v>
      </x:c>
      <x:c r="L88" s="22" t="n">
        <x:v>0.8052884695181665</x:v>
      </x:c>
      <x:c r="M88" s="22" t="n">
        <x:v>9.663461634217997</x:v>
      </x:c>
      <x:c r="N88" s="22" t="n">
        <x:v>19.326923268435994</x:v>
      </x:c>
      <x:c r="O88" s="22" t="n">
        <x:v>20</x:v>
      </x:c>
      <x:c r="P88" s="24" t="n">
        <x:v>4</x:v>
      </x:c>
      <x:c r="Q88" s="22" t="str">
        <x:v>["S0315"]</x:v>
      </x:c>
      <x:c r="R88" s="22" t="str">
        <x:v>evidence/student_evidence.jsonl；student_key=2025秋:258988</x:v>
      </x:c>
      <x:c r="S88" s="27" t="str"/>
    </x:row>
    <x:row r="89" ht="23" customHeight="1">
      <x:c r="A89" s="21" t="str">
        <x:v>全量观察(探索)</x:v>
      </x:c>
      <x:c r="B89" s="22" t="str">
        <x:v>突破优先型</x:v>
      </x:c>
      <x:c r="C89" s="22" t="str">
        <x:v>前20%</x:v>
      </x:c>
      <x:c r="D89" s="22" t="str">
        <x:v>严格进入</x:v>
      </x:c>
      <x:c r="E89" s="22" t="str">
        <x:v>2025秋:259044</x:v>
      </x:c>
      <x:c r="F89" s="22" t="str">
        <x:v>s3</x:v>
      </x:c>
      <x:c r="G89" s="26" t="n">
        <x:v>14</x:v>
      </x:c>
      <x:c r="H89" s="25" t="n">
        <x:v>49.691501277202036</x:v>
      </x:c>
      <x:c r="I89" s="24" t="n">
        <x:v>1</x:v>
      </x:c>
      <x:c r="J89" s="24" t="n">
        <x:v>1</x:v>
      </x:c>
      <x:c r="K89" s="22" t="str">
        <x:v>是</x:v>
      </x:c>
      <x:c r="L89" s="22" t="n">
        <x:v>0.8024730074919468</x:v>
      </x:c>
      <x:c r="M89" s="22" t="n">
        <x:v>9.629676089903363</x:v>
      </x:c>
      <x:c r="N89" s="22" t="n">
        <x:v>19.259352179806726</x:v>
      </x:c>
      <x:c r="O89" s="22" t="n">
        <x:v>20</x:v>
      </x:c>
      <x:c r="P89" s="24" t="n">
        <x:v>4</x:v>
      </x:c>
      <x:c r="Q89" s="22" t="str">
        <x:v>["S0074"]</x:v>
      </x:c>
      <x:c r="R89" s="22" t="str">
        <x:v>evidence/student_evidence.jsonl；student_key=2025秋:259044</x:v>
      </x:c>
      <x:c r="S89" s="27" t="str"/>
    </x:row>
    <x:row r="90" ht="23" customHeight="1">
      <x:c r="A90" s="21" t="str">
        <x:v>全量观察(探索)</x:v>
      </x:c>
      <x:c r="B90" s="22" t="str">
        <x:v>突破优先型</x:v>
      </x:c>
      <x:c r="C90" s="22" t="str">
        <x:v>前20%</x:v>
      </x:c>
      <x:c r="D90" s="22" t="str">
        <x:v>严格进入</x:v>
      </x:c>
      <x:c r="E90" s="22" t="str">
        <x:v>2025秋:258430</x:v>
      </x:c>
      <x:c r="F90" s="22" t="str">
        <x:v>s3</x:v>
      </x:c>
      <x:c r="G90" s="26" t="n">
        <x:v>15</x:v>
      </x:c>
      <x:c r="H90" s="25" t="n">
        <x:v>46.57760997588649</x:v>
      </x:c>
      <x:c r="I90" s="24" t="n">
        <x:v>1</x:v>
      </x:c>
      <x:c r="J90" s="24" t="n">
        <x:v>1</x:v>
      </x:c>
      <x:c r="K90" s="22" t="str">
        <x:v>是</x:v>
      </x:c>
      <x:c r="L90" s="22" t="n">
        <x:v>0.7183137831320673</x:v>
      </x:c>
      <x:c r="M90" s="22" t="n">
        <x:v>8.619765397584807</x:v>
      </x:c>
      <x:c r="N90" s="22" t="n">
        <x:v>17.239530795169614</x:v>
      </x:c>
      <x:c r="O90" s="22" t="n">
        <x:v>20</x:v>
      </x:c>
      <x:c r="P90" s="24" t="n">
        <x:v>4</x:v>
      </x:c>
      <x:c r="Q90" s="22" t="str">
        <x:v>["S0052"]</x:v>
      </x:c>
      <x:c r="R90" s="22" t="str">
        <x:v>evidence/student_evidence.jsonl；student_key=2025秋:258430</x:v>
      </x:c>
      <x:c r="S90" s="27" t="str"/>
    </x:row>
    <x:row r="91" ht="23" customHeight="1">
      <x:c r="A91" s="21" t="str">
        <x:v>全量观察(探索)</x:v>
      </x:c>
      <x:c r="B91" s="22" t="str">
        <x:v>突破优先型</x:v>
      </x:c>
      <x:c r="C91" s="22" t="str">
        <x:v>前20%</x:v>
      </x:c>
      <x:c r="D91" s="22" t="str">
        <x:v>严格进入</x:v>
      </x:c>
      <x:c r="E91" s="22" t="str">
        <x:v>2026春:268140</x:v>
      </x:c>
      <x:c r="F91" s="22" t="str">
        <x:v>s3</x:v>
      </x:c>
      <x:c r="G91" s="26" t="n">
        <x:v>16</x:v>
      </x:c>
      <x:c r="H91" s="25" t="n">
        <x:v>46.00032041728763</x:v>
      </x:c>
      <x:c r="I91" s="24" t="n">
        <x:v>1</x:v>
      </x:c>
      <x:c r="J91" s="24" t="n">
        <x:v>1</x:v>
      </x:c>
      <x:c r="K91" s="22" t="str">
        <x:v>是</x:v>
      </x:c>
      <x:c r="L91" s="22" t="n">
        <x:v>0.8378464977645307</x:v>
      </x:c>
      <x:c r="M91" s="22" t="n">
        <x:v>10.054157973174368</x:v>
      </x:c>
      <x:c r="N91" s="22" t="n">
        <x:v>20.108315946348736</x:v>
      </x:c>
      <x:c r="O91" s="22" t="n">
        <x:v>15</x:v>
      </x:c>
      <x:c r="P91" s="24" t="n">
        <x:v>1</x:v>
      </x:c>
      <x:c r="Q91" s="22" t="str">
        <x:v>["S0964"]</x:v>
      </x:c>
      <x:c r="R91" s="22" t="str">
        <x:v>evidence/student_evidence.jsonl；student_key=2026春:268140</x:v>
      </x:c>
      <x:c r="S91" s="27" t="str"/>
    </x:row>
    <x:row r="92" ht="23" customHeight="1">
      <x:c r="A92" s="21" t="str">
        <x:v>全量观察(探索)</x:v>
      </x:c>
      <x:c r="B92" s="22" t="str">
        <x:v>突破优先型</x:v>
      </x:c>
      <x:c r="C92" s="22" t="str">
        <x:v>前20%</x:v>
      </x:c>
      <x:c r="D92" s="22" t="str">
        <x:v>严格进入</x:v>
      </x:c>
      <x:c r="E92" s="22" t="str">
        <x:v>2025秋:258858</x:v>
      </x:c>
      <x:c r="F92" s="22" t="str">
        <x:v>s3</x:v>
      </x:c>
      <x:c r="G92" s="26" t="n">
        <x:v>17</x:v>
      </x:c>
      <x:c r="H92" s="25" t="n">
        <x:v>44.9512018860805</x:v>
      </x:c>
      <x:c r="I92" s="24" t="n">
        <x:v>2</x:v>
      </x:c>
      <x:c r="J92" s="24" t="n">
        <x:v>2</x:v>
      </x:c>
      <x:c r="K92" s="22" t="str">
        <x:v>是</x:v>
      </x:c>
      <x:c r="L92" s="22" t="n">
        <x:v>1.2949549310557087</x:v>
      </x:c>
      <x:c r="M92" s="22" t="n">
        <x:v>7.76972958633425</x:v>
      </x:c>
      <x:c r="N92" s="22" t="n">
        <x:v>15.88651736869054</x:v>
      </x:c>
      <x:c r="O92" s="22" t="n">
        <x:v>20</x:v>
      </x:c>
      <x:c r="P92" s="24" t="n">
        <x:v>4</x:v>
      </x:c>
      <x:c r="Q92" s="22" t="str">
        <x:v>["S0103","S0232"]</x:v>
      </x:c>
      <x:c r="R92" s="22" t="str">
        <x:v>evidence/student_evidence.jsonl；student_key=2025秋:258858</x:v>
      </x:c>
      <x:c r="S92" s="27" t="str"/>
    </x:row>
    <x:row r="93" ht="23" customHeight="1">
      <x:c r="A93" s="21" t="str">
        <x:v>全量观察(探索)</x:v>
      </x:c>
      <x:c r="B93" s="22" t="str">
        <x:v>突破优先型</x:v>
      </x:c>
      <x:c r="C93" s="22" t="str">
        <x:v>前20%</x:v>
      </x:c>
      <x:c r="D93" s="22" t="str">
        <x:v>严格进入</x:v>
      </x:c>
      <x:c r="E93" s="22" t="str">
        <x:v>2026春:268206</x:v>
      </x:c>
      <x:c r="F93" s="22" t="str">
        <x:v>s3</x:v>
      </x:c>
      <x:c r="G93" s="26" t="n">
        <x:v>18</x:v>
      </x:c>
      <x:c r="H93" s="25" t="n">
        <x:v>44.948501140436626</x:v>
      </x:c>
      <x:c r="I93" s="24" t="n">
        <x:v>1</x:v>
      </x:c>
      <x:c r="J93" s="24" t="n">
        <x:v>1</x:v>
      </x:c>
      <x:c r="K93" s="22" t="str">
        <x:v>是</x:v>
      </x:c>
      <x:c r="L93" s="22" t="n">
        <x:v>0.8544639947865756</x:v>
      </x:c>
      <x:c r="M93" s="22" t="n">
        <x:v>10.253567937438905</x:v>
      </x:c>
      <x:c r="N93" s="22" t="n">
        <x:v>20.50713587487781</x:v>
      </x:c>
      <x:c r="O93" s="22" t="n">
        <x:v>13.333333333333332</x:v>
      </x:c>
      <x:c r="P93" s="24" t="n">
        <x:v>1</x:v>
      </x:c>
      <x:c r="Q93" s="22" t="str">
        <x:v>["S1083"]</x:v>
      </x:c>
      <x:c r="R93" s="22" t="str">
        <x:v>evidence/student_evidence.jsonl；student_key=2026春:268206</x:v>
      </x:c>
      <x:c r="S93" s="27" t="str"/>
    </x:row>
    <x:row r="94" ht="23" customHeight="1">
      <x:c r="A94" s="21" t="str">
        <x:v>全量观察(探索)</x:v>
      </x:c>
      <x:c r="B94" s="22" t="str">
        <x:v>突破优先型</x:v>
      </x:c>
      <x:c r="C94" s="22" t="str">
        <x:v>前20%</x:v>
      </x:c>
      <x:c r="D94" s="22" t="str">
        <x:v>严格进入</x:v>
      </x:c>
      <x:c r="E94" s="22" t="str">
        <x:v>2025秋:259112</x:v>
      </x:c>
      <x:c r="F94" s="22" t="str">
        <x:v>s3</x:v>
      </x:c>
      <x:c r="G94" s="26" t="n">
        <x:v>20</x:v>
      </x:c>
      <x:c r="H94" s="25" t="n">
        <x:v>43.54953653028092</x:v>
      </x:c>
      <x:c r="I94" s="24" t="n">
        <x:v>1</x:v>
      </x:c>
      <x:c r="J94" s="24" t="n">
        <x:v>1</x:v>
      </x:c>
      <x:c r="K94" s="22" t="str">
        <x:v>是</x:v>
      </x:c>
      <x:c r="L94" s="22" t="n">
        <x:v>0.6364739602778626</x:v>
      </x:c>
      <x:c r="M94" s="22" t="n">
        <x:v>7.63768752333435</x:v>
      </x:c>
      <x:c r="N94" s="22" t="n">
        <x:v>15.2753750466687</x:v>
      </x:c>
      <x:c r="O94" s="22" t="n">
        <x:v>20</x:v>
      </x:c>
      <x:c r="P94" s="24" t="n">
        <x:v>4</x:v>
      </x:c>
      <x:c r="Q94" s="22" t="str">
        <x:v>["S0204"]</x:v>
      </x:c>
      <x:c r="R94" s="22" t="str">
        <x:v>evidence/student_evidence.jsonl；student_key=2025秋:259112</x:v>
      </x:c>
      <x:c r="S94" s="27" t="str"/>
    </x:row>
    <x:row r="95" ht="23" customHeight="1">
      <x:c r="A95" s="21" t="str">
        <x:v>全量观察(探索)</x:v>
      </x:c>
      <x:c r="B95" s="22" t="str">
        <x:v>突破优先型</x:v>
      </x:c>
      <x:c r="C95" s="22" t="str">
        <x:v>前20%</x:v>
      </x:c>
      <x:c r="D95" s="22" t="str">
        <x:v>严格进入</x:v>
      </x:c>
      <x:c r="E95" s="22" t="str">
        <x:v>2025秋:259952</x:v>
      </x:c>
      <x:c r="F95" s="22" t="str">
        <x:v>s3</x:v>
      </x:c>
      <x:c r="G95" s="26" t="n">
        <x:v>20</x:v>
      </x:c>
      <x:c r="H95" s="25" t="n">
        <x:v>43.54953653028092</x:v>
      </x:c>
      <x:c r="I95" s="24" t="n">
        <x:v>1</x:v>
      </x:c>
      <x:c r="J95" s="24" t="n">
        <x:v>1</x:v>
      </x:c>
      <x:c r="K95" s="22" t="str">
        <x:v>否</x:v>
      </x:c>
      <x:c r="L95" s="22" t="n">
        <x:v>0.6364739602778626</x:v>
      </x:c>
      <x:c r="M95" s="22" t="n">
        <x:v>7.63768752333435</x:v>
      </x:c>
      <x:c r="N95" s="22" t="n">
        <x:v>15.2753750466687</x:v>
      </x:c>
      <x:c r="O95" s="22" t="n">
        <x:v>20</x:v>
      </x:c>
      <x:c r="P95" s="24" t="n">
        <x:v>4</x:v>
      </x:c>
      <x:c r="Q95" s="22" t="str">
        <x:v>["S0277"]</x:v>
      </x:c>
      <x:c r="R95" s="22" t="str">
        <x:v>evidence/student_evidence.jsonl；student_key=2025秋:259952</x:v>
      </x:c>
      <x:c r="S95" s="27" t="str"/>
    </x:row>
    <x:row r="96" ht="23" customHeight="1">
      <x:c r="A96" s="21" t="str">
        <x:v>全量观察(探索)</x:v>
      </x:c>
      <x:c r="B96" s="22" t="str">
        <x:v>突破优先型</x:v>
      </x:c>
      <x:c r="C96" s="22" t="str">
        <x:v>前20%</x:v>
      </x:c>
      <x:c r="D96" s="22" t="str">
        <x:v>严格进入</x:v>
      </x:c>
      <x:c r="E96" s="22" t="str">
        <x:v>2026春:268183</x:v>
      </x:c>
      <x:c r="F96" s="22" t="str">
        <x:v>s3</x:v>
      </x:c>
      <x:c r="G96" s="26" t="n">
        <x:v>20</x:v>
      </x:c>
      <x:c r="H96" s="25" t="n">
        <x:v>43.54953653028092</x:v>
      </x:c>
      <x:c r="I96" s="24" t="n">
        <x:v>1</x:v>
      </x:c>
      <x:c r="J96" s="24" t="n">
        <x:v>1</x:v>
      </x:c>
      <x:c r="K96" s="22" t="str">
        <x:v>是</x:v>
      </x:c>
      <x:c r="L96" s="22" t="n">
        <x:v>0.6364739602778626</x:v>
      </x:c>
      <x:c r="M96" s="22" t="n">
        <x:v>7.63768752333435</x:v>
      </x:c>
      <x:c r="N96" s="22" t="n">
        <x:v>15.2753750466687</x:v>
      </x:c>
      <x:c r="O96" s="22" t="n">
        <x:v>20</x:v>
      </x:c>
      <x:c r="P96" s="24" t="n">
        <x:v>4</x:v>
      </x:c>
      <x:c r="Q96" s="22" t="str">
        <x:v>["S1051"]</x:v>
      </x:c>
      <x:c r="R96" s="22" t="str">
        <x:v>evidence/student_evidence.jsonl；student_key=2026春:268183</x:v>
      </x:c>
      <x:c r="S96" s="27" t="str"/>
    </x:row>
    <x:row r="97" ht="23" customHeight="1">
      <x:c r="A97" s="21" t="str">
        <x:v>全量观察(探索)</x:v>
      </x:c>
      <x:c r="B97" s="22" t="str">
        <x:v>突破优先型</x:v>
      </x:c>
      <x:c r="C97" s="22" t="str">
        <x:v>前20%</x:v>
      </x:c>
      <x:c r="D97" s="22" t="str">
        <x:v>严格进入</x:v>
      </x:c>
      <x:c r="E97" s="22" t="str">
        <x:v>2025秋:258428</x:v>
      </x:c>
      <x:c r="F97" s="22" t="str">
        <x:v>s3</x:v>
      </x:c>
      <x:c r="G97" s="26" t="n">
        <x:v>23.5</x:v>
      </x:c>
      <x:c r="H97" s="25" t="n">
        <x:v>43.49502556768332</x:v>
      </x:c>
      <x:c r="I97" s="24" t="n">
        <x:v>1</x:v>
      </x:c>
      <x:c r="J97" s="24" t="n">
        <x:v>1</x:v>
      </x:c>
      <x:c r="K97" s="22" t="str">
        <x:v>是</x:v>
      </x:c>
      <x:c r="L97" s="22" t="n">
        <x:v>0.635000691018468</x:v>
      </x:c>
      <x:c r="M97" s="22" t="n">
        <x:v>7.620008292221616</x:v>
      </x:c>
      <x:c r="N97" s="22" t="n">
        <x:v>15.240016584443232</x:v>
      </x:c>
      <x:c r="O97" s="22" t="n">
        <x:v>20</x:v>
      </x:c>
      <x:c r="P97" s="24" t="n">
        <x:v>4</x:v>
      </x:c>
      <x:c r="Q97" s="22" t="str">
        <x:v>["S0096"]</x:v>
      </x:c>
      <x:c r="R97" s="22" t="str">
        <x:v>evidence/student_evidence.jsonl；student_key=2025秋:258428</x:v>
      </x:c>
      <x:c r="S97" s="27" t="str"/>
    </x:row>
    <x:row r="98" ht="23" customHeight="1">
      <x:c r="A98" s="21" t="str">
        <x:v>全量观察(探索)</x:v>
      </x:c>
      <x:c r="B98" s="22" t="str">
        <x:v>突破优先型</x:v>
      </x:c>
      <x:c r="C98" s="22" t="str">
        <x:v>前20%</x:v>
      </x:c>
      <x:c r="D98" s="22" t="str">
        <x:v>严格进入</x:v>
      </x:c>
      <x:c r="E98" s="22" t="str">
        <x:v>2025秋:258922</x:v>
      </x:c>
      <x:c r="F98" s="22" t="str">
        <x:v>s3</x:v>
      </x:c>
      <x:c r="G98" s="26" t="n">
        <x:v>23.5</x:v>
      </x:c>
      <x:c r="H98" s="25" t="n">
        <x:v>43.49502556768332</x:v>
      </x:c>
      <x:c r="I98" s="24" t="n">
        <x:v>1</x:v>
      </x:c>
      <x:c r="J98" s="24" t="n">
        <x:v>1</x:v>
      </x:c>
      <x:c r="K98" s="22" t="str">
        <x:v>是</x:v>
      </x:c>
      <x:c r="L98" s="22" t="n">
        <x:v>0.635000691018468</x:v>
      </x:c>
      <x:c r="M98" s="22" t="n">
        <x:v>7.620008292221616</x:v>
      </x:c>
      <x:c r="N98" s="22" t="n">
        <x:v>15.240016584443232</x:v>
      </x:c>
      <x:c r="O98" s="22" t="n">
        <x:v>20</x:v>
      </x:c>
      <x:c r="P98" s="24" t="n">
        <x:v>4</x:v>
      </x:c>
      <x:c r="Q98" s="22" t="str">
        <x:v>["S0351"]</x:v>
      </x:c>
      <x:c r="R98" s="22" t="str">
        <x:v>evidence/student_evidence.jsonl；student_key=2025秋:258922</x:v>
      </x:c>
      <x:c r="S98" s="27" t="str"/>
    </x:row>
    <x:row r="99" ht="23" customHeight="1">
      <x:c r="A99" s="21" t="str">
        <x:v>全量观察(探索)</x:v>
      </x:c>
      <x:c r="B99" s="22" t="str">
        <x:v>突破优先型</x:v>
      </x:c>
      <x:c r="C99" s="22" t="str">
        <x:v>前20%</x:v>
      </x:c>
      <x:c r="D99" s="22" t="str">
        <x:v>严格进入</x:v>
      </x:c>
      <x:c r="E99" s="22" t="str">
        <x:v>2025秋:259895</x:v>
      </x:c>
      <x:c r="F99" s="22" t="str">
        <x:v>s3</x:v>
      </x:c>
      <x:c r="G99" s="26" t="n">
        <x:v>23.5</x:v>
      </x:c>
      <x:c r="H99" s="25" t="n">
        <x:v>43.49502556768332</x:v>
      </x:c>
      <x:c r="I99" s="24" t="n">
        <x:v>1</x:v>
      </x:c>
      <x:c r="J99" s="24" t="n">
        <x:v>1</x:v>
      </x:c>
      <x:c r="K99" s="22" t="str">
        <x:v>是</x:v>
      </x:c>
      <x:c r="L99" s="22" t="n">
        <x:v>0.635000691018468</x:v>
      </x:c>
      <x:c r="M99" s="22" t="n">
        <x:v>7.620008292221616</x:v>
      </x:c>
      <x:c r="N99" s="22" t="n">
        <x:v>15.240016584443232</x:v>
      </x:c>
      <x:c r="O99" s="22" t="n">
        <x:v>20</x:v>
      </x:c>
      <x:c r="P99" s="24" t="n">
        <x:v>4</x:v>
      </x:c>
      <x:c r="Q99" s="22" t="str">
        <x:v>["S0407"]</x:v>
      </x:c>
      <x:c r="R99" s="22" t="str">
        <x:v>evidence/student_evidence.jsonl；student_key=2025秋:259895</x:v>
      </x:c>
      <x:c r="S99" s="27" t="str"/>
    </x:row>
    <x:row r="100" ht="23" customHeight="1">
      <x:c r="A100" s="21" t="str">
        <x:v>全量观察(探索)</x:v>
      </x:c>
      <x:c r="B100" s="22" t="str">
        <x:v>突破优先型</x:v>
      </x:c>
      <x:c r="C100" s="22" t="str">
        <x:v>前20%</x:v>
      </x:c>
      <x:c r="D100" s="22" t="str">
        <x:v>严格进入</x:v>
      </x:c>
      <x:c r="E100" s="22" t="str">
        <x:v>2026春:259443</x:v>
      </x:c>
      <x:c r="F100" s="22" t="str">
        <x:v>s3</x:v>
      </x:c>
      <x:c r="G100" s="26" t="n">
        <x:v>23.5</x:v>
      </x:c>
      <x:c r="H100" s="25" t="n">
        <x:v>43.49502556768332</x:v>
      </x:c>
      <x:c r="I100" s="24" t="n">
        <x:v>1</x:v>
      </x:c>
      <x:c r="J100" s="24" t="n">
        <x:v>1</x:v>
      </x:c>
      <x:c r="K100" s="22" t="str">
        <x:v>是</x:v>
      </x:c>
      <x:c r="L100" s="22" t="n">
        <x:v>0.635000691018468</x:v>
      </x:c>
      <x:c r="M100" s="22" t="n">
        <x:v>7.620008292221616</x:v>
      </x:c>
      <x:c r="N100" s="22" t="n">
        <x:v>15.240016584443232</x:v>
      </x:c>
      <x:c r="O100" s="22" t="n">
        <x:v>20</x:v>
      </x:c>
      <x:c r="P100" s="24" t="n">
        <x:v>4</x:v>
      </x:c>
      <x:c r="Q100" s="22" t="str">
        <x:v>["S0850"]</x:v>
      </x:c>
      <x:c r="R100" s="22" t="str">
        <x:v>evidence/student_evidence.jsonl；student_key=2026春:259443</x:v>
      </x:c>
      <x:c r="S100" s="27" t="str"/>
    </x:row>
    <x:row r="101" ht="23" customHeight="1">
      <x:c r="A101" s="21" t="str">
        <x:v>全量观察(探索)</x:v>
      </x:c>
      <x:c r="B101" s="22" t="str">
        <x:v>突破优先型</x:v>
      </x:c>
      <x:c r="C101" s="22" t="str">
        <x:v>前20%</x:v>
      </x:c>
      <x:c r="D101" s="22" t="str">
        <x:v>严格进入</x:v>
      </x:c>
      <x:c r="E101" s="22" t="str">
        <x:v>2025秋:25P025</x:v>
      </x:c>
      <x:c r="F101" s="22" t="str">
        <x:v>s3</x:v>
      </x:c>
      <x:c r="G101" s="26" t="n">
        <x:v>26</x:v>
      </x:c>
      <x:c r="H101" s="25" t="n">
        <x:v>43.42161817232997</x:v>
      </x:c>
      <x:c r="I101" s="24" t="n">
        <x:v>1</x:v>
      </x:c>
      <x:c r="J101" s="24" t="n">
        <x:v>1</x:v>
      </x:c>
      <x:c r="K101" s="22" t="str">
        <x:v>是</x:v>
      </x:c>
      <x:c r="L101" s="22" t="n">
        <x:v>0.6330167073602695</x:v>
      </x:c>
      <x:c r="M101" s="22" t="n">
        <x:v>7.596200488323234</x:v>
      </x:c>
      <x:c r="N101" s="22" t="n">
        <x:v>15.192400976646468</x:v>
      </x:c>
      <x:c r="O101" s="22" t="n">
        <x:v>20</x:v>
      </x:c>
      <x:c r="P101" s="24" t="n">
        <x:v>4</x:v>
      </x:c>
      <x:c r="Q101" s="22" t="str">
        <x:v>["S0130"]</x:v>
      </x:c>
      <x:c r="R101" s="22" t="str">
        <x:v>evidence/student_evidence.jsonl；student_key=2025秋:25P025</x:v>
      </x:c>
      <x:c r="S101" s="27" t="str"/>
    </x:row>
    <x:row r="102" ht="23" customHeight="1">
      <x:c r="A102" s="21" t="str">
        <x:v>全量观察(探索)</x:v>
      </x:c>
      <x:c r="B102" s="22" t="str">
        <x:v>突破优先型</x:v>
      </x:c>
      <x:c r="C102" s="22" t="str">
        <x:v>前20%</x:v>
      </x:c>
      <x:c r="D102" s="22" t="str">
        <x:v>严格进入</x:v>
      </x:c>
      <x:c r="E102" s="22" t="str">
        <x:v>2026春:268240</x:v>
      </x:c>
      <x:c r="F102" s="22" t="str">
        <x:v>s3</x:v>
      </x:c>
      <x:c r="G102" s="26" t="n">
        <x:v>27</x:v>
      </x:c>
      <x:c r="H102" s="25" t="n">
        <x:v>43.024834610535365</x:v>
      </x:c>
      <x:c r="I102" s="24" t="n">
        <x:v>1</x:v>
      </x:c>
      <x:c r="J102" s="24" t="n">
        <x:v>1</x:v>
      </x:c>
      <x:c r="K102" s="22" t="str">
        <x:v>是</x:v>
      </x:c>
      <x:c r="L102" s="22" t="n">
        <x:v>0.8024730074919468</x:v>
      </x:c>
      <x:c r="M102" s="22" t="n">
        <x:v>9.629676089903363</x:v>
      </x:c>
      <x:c r="N102" s="22" t="n">
        <x:v>19.259352179806726</x:v>
      </x:c>
      <x:c r="O102" s="22" t="n">
        <x:v>13.333333333333332</x:v>
      </x:c>
      <x:c r="P102" s="24" t="n">
        <x:v>1</x:v>
      </x:c>
      <x:c r="Q102" s="22" t="str">
        <x:v>["S1113"]</x:v>
      </x:c>
      <x:c r="R102" s="22" t="str">
        <x:v>evidence/student_evidence.jsonl；student_key=2026春:268240</x:v>
      </x:c>
      <x:c r="S102" s="27" t="str"/>
    </x:row>
    <x:row r="103" ht="23" customHeight="1">
      <x:c r="A103" s="21" t="str">
        <x:v>全量观察(探索)</x:v>
      </x:c>
      <x:c r="B103" s="22" t="str">
        <x:v>突破优先型</x:v>
      </x:c>
      <x:c r="C103" s="22" t="str">
        <x:v>前20%</x:v>
      </x:c>
      <x:c r="D103" s="22" t="str">
        <x:v>严格进入</x:v>
      </x:c>
      <x:c r="E103" s="22" t="str">
        <x:v>2025秋:25A148</x:v>
      </x:c>
      <x:c r="F103" s="22" t="str">
        <x:v>s3</x:v>
      </x:c>
      <x:c r="G103" s="26" t="n">
        <x:v>28.5</x:v>
      </x:c>
      <x:c r="H103" s="25" t="n">
        <x:v>42.368698268156926</x:v>
      </x:c>
      <x:c r="I103" s="24" t="n">
        <x:v>1</x:v>
      </x:c>
      <x:c r="J103" s="24" t="n">
        <x:v>1</x:v>
      </x:c>
      <x:c r="K103" s="22" t="str">
        <x:v>是</x:v>
      </x:c>
      <x:c r="L103" s="22" t="n">
        <x:v>0.6045594126528897</x:v>
      </x:c>
      <x:c r="M103" s="22" t="n">
        <x:v>7.2547129518346765</x:v>
      </x:c>
      <x:c r="N103" s="22" t="n">
        <x:v>14.509425903669353</x:v>
      </x:c>
      <x:c r="O103" s="22" t="n">
        <x:v>20</x:v>
      </x:c>
      <x:c r="P103" s="24" t="n">
        <x:v>4</x:v>
      </x:c>
      <x:c r="Q103" s="22" t="str">
        <x:v>["S0067"]</x:v>
      </x:c>
      <x:c r="R103" s="22" t="str">
        <x:v>evidence/student_evidence.jsonl；student_key=2025秋:25A148</x:v>
      </x:c>
      <x:c r="S103" s="27" t="str"/>
    </x:row>
    <x:row r="104" ht="23" customHeight="1">
      <x:c r="A104" s="21" t="str">
        <x:v>全量观察(探索)</x:v>
      </x:c>
      <x:c r="B104" s="22" t="str">
        <x:v>突破优先型</x:v>
      </x:c>
      <x:c r="C104" s="22" t="str">
        <x:v>前20%</x:v>
      </x:c>
      <x:c r="D104" s="22" t="str">
        <x:v>严格进入</x:v>
      </x:c>
      <x:c r="E104" s="22" t="str">
        <x:v>2026春:268184</x:v>
      </x:c>
      <x:c r="F104" s="22" t="str">
        <x:v>s3</x:v>
      </x:c>
      <x:c r="G104" s="26" t="n">
        <x:v>28.5</x:v>
      </x:c>
      <x:c r="H104" s="25" t="n">
        <x:v>42.368698268156926</x:v>
      </x:c>
      <x:c r="I104" s="24" t="n">
        <x:v>1</x:v>
      </x:c>
      <x:c r="J104" s="24" t="n">
        <x:v>1</x:v>
      </x:c>
      <x:c r="K104" s="22" t="str">
        <x:v>是</x:v>
      </x:c>
      <x:c r="L104" s="22" t="n">
        <x:v>0.6045594126528897</x:v>
      </x:c>
      <x:c r="M104" s="22" t="n">
        <x:v>7.2547129518346765</x:v>
      </x:c>
      <x:c r="N104" s="22" t="n">
        <x:v>14.509425903669353</x:v>
      </x:c>
      <x:c r="O104" s="22" t="n">
        <x:v>20</x:v>
      </x:c>
      <x:c r="P104" s="24" t="n">
        <x:v>4</x:v>
      </x:c>
      <x:c r="Q104" s="22" t="str">
        <x:v>["S1054"]</x:v>
      </x:c>
      <x:c r="R104" s="22" t="str">
        <x:v>evidence/student_evidence.jsonl；student_key=2026春:268184</x:v>
      </x:c>
      <x:c r="S104" s="27" t="str"/>
    </x:row>
    <x:row r="105" ht="23" customHeight="1">
      <x:c r="A105" s="21" t="str">
        <x:v>全量观察(探索)</x:v>
      </x:c>
      <x:c r="B105" s="22" t="str">
        <x:v>突破优先型</x:v>
      </x:c>
      <x:c r="C105" s="22" t="str">
        <x:v>前20%</x:v>
      </x:c>
      <x:c r="D105" s="22" t="str">
        <x:v>严格进入</x:v>
      </x:c>
      <x:c r="E105" s="22" t="str">
        <x:v>2025秋:258938</x:v>
      </x:c>
      <x:c r="F105" s="22" t="str">
        <x:v>s3</x:v>
      </x:c>
      <x:c r="G105" s="26" t="n">
        <x:v>30</x:v>
      </x:c>
      <x:c r="H105" s="25" t="n">
        <x:v>42.26772727709409</x:v>
      </x:c>
      <x:c r="I105" s="24" t="n">
        <x:v>2</x:v>
      </x:c>
      <x:c r="J105" s="24" t="n">
        <x:v>2</x:v>
      </x:c>
      <x:c r="K105" s="22" t="str">
        <x:v>是</x:v>
      </x:c>
      <x:c r="L105" s="22" t="n">
        <x:v>0.7183137831320673</x:v>
      </x:c>
      <x:c r="M105" s="22" t="n">
        <x:v>4.3098826987924035</x:v>
      </x:c>
      <x:c r="N105" s="22" t="n">
        <x:v>17.239530795169614</x:v>
      </x:c>
      <x:c r="O105" s="22" t="n">
        <x:v>20</x:v>
      </x:c>
      <x:c r="P105" s="24" t="n">
        <x:v>1</x:v>
      </x:c>
      <x:c r="Q105" s="22" t="str">
        <x:v>["S0073","S0374"]</x:v>
      </x:c>
      <x:c r="R105" s="22" t="str">
        <x:v>evidence/student_evidence.jsonl；student_key=2025秋:258938</x:v>
      </x:c>
      <x:c r="S105" s="27" t="str"/>
    </x:row>
    <x:row r="106" ht="23" customHeight="1">
      <x:c r="A106" s="21" t="str">
        <x:v>全量观察(探索)</x:v>
      </x:c>
      <x:c r="B106" s="22" t="str">
        <x:v>突破优先型</x:v>
      </x:c>
      <x:c r="C106" s="22" t="str">
        <x:v>前20%</x:v>
      </x:c>
      <x:c r="D106" s="22" t="str">
        <x:v>严格进入</x:v>
      </x:c>
      <x:c r="E106" s="22" t="str">
        <x:v>2025秋:240957</x:v>
      </x:c>
      <x:c r="F106" s="22" t="str">
        <x:v>s3</x:v>
      </x:c>
      <x:c r="G106" s="26" t="n">
        <x:v>32</x:v>
      </x:c>
      <x:c r="H106" s="25" t="n">
        <x:v>42.099091815560406</x:v>
      </x:c>
      <x:c r="I106" s="24" t="n">
        <x:v>1</x:v>
      </x:c>
      <x:c r="J106" s="24" t="n">
        <x:v>1</x:v>
      </x:c>
      <x:c r="K106" s="22" t="str">
        <x:v>是</x:v>
      </x:c>
      <x:c r="L106" s="22" t="n">
        <x:v>0.5972727517719029</x:v>
      </x:c>
      <x:c r="M106" s="22" t="n">
        <x:v>7.167273021262834</x:v>
      </x:c>
      <x:c r="N106" s="22" t="n">
        <x:v>14.334546042525668</x:v>
      </x:c>
      <x:c r="O106" s="22" t="n">
        <x:v>20</x:v>
      </x:c>
      <x:c r="P106" s="24" t="n">
        <x:v>4</x:v>
      </x:c>
      <x:c r="Q106" s="22" t="str">
        <x:v>["S0440"]</x:v>
      </x:c>
      <x:c r="R106" s="22" t="str">
        <x:v>evidence/student_evidence.jsonl；student_key=2025秋:240957</x:v>
      </x:c>
      <x:c r="S106" s="27" t="str"/>
    </x:row>
    <x:row r="107" ht="23" customHeight="1">
      <x:c r="A107" s="21" t="str">
        <x:v>全量观察(探索)</x:v>
      </x:c>
      <x:c r="B107" s="22" t="str">
        <x:v>突破优先型</x:v>
      </x:c>
      <x:c r="C107" s="22" t="str">
        <x:v>前20%</x:v>
      </x:c>
      <x:c r="D107" s="22" t="str">
        <x:v>严格进入</x:v>
      </x:c>
      <x:c r="E107" s="22" t="str">
        <x:v>2025秋:259425</x:v>
      </x:c>
      <x:c r="F107" s="22" t="str">
        <x:v>s3</x:v>
      </x:c>
      <x:c r="G107" s="26" t="n">
        <x:v>32</x:v>
      </x:c>
      <x:c r="H107" s="25" t="n">
        <x:v>42.099091815560406</x:v>
      </x:c>
      <x:c r="I107" s="24" t="n">
        <x:v>1</x:v>
      </x:c>
      <x:c r="J107" s="24" t="n">
        <x:v>1</x:v>
      </x:c>
      <x:c r="K107" s="22" t="str">
        <x:v>是</x:v>
      </x:c>
      <x:c r="L107" s="22" t="n">
        <x:v>0.5972727517719029</x:v>
      </x:c>
      <x:c r="M107" s="22" t="n">
        <x:v>7.167273021262834</x:v>
      </x:c>
      <x:c r="N107" s="22" t="n">
        <x:v>14.334546042525668</x:v>
      </x:c>
      <x:c r="O107" s="22" t="n">
        <x:v>20</x:v>
      </x:c>
      <x:c r="P107" s="24" t="n">
        <x:v>4</x:v>
      </x:c>
      <x:c r="Q107" s="22" t="str">
        <x:v>["S0037"]</x:v>
      </x:c>
      <x:c r="R107" s="22" t="str">
        <x:v>evidence/student_evidence.jsonl；student_key=2025秋:259425</x:v>
      </x:c>
      <x:c r="S107" s="27" t="str"/>
    </x:row>
    <x:row r="108" ht="23" customHeight="1">
      <x:c r="A108" s="21" t="str">
        <x:v>全量观察(探索)</x:v>
      </x:c>
      <x:c r="B108" s="22" t="str">
        <x:v>突破优先型</x:v>
      </x:c>
      <x:c r="C108" s="22" t="str">
        <x:v>前20%</x:v>
      </x:c>
      <x:c r="D108" s="22" t="str">
        <x:v>严格进入</x:v>
      </x:c>
      <x:c r="E108" s="22" t="str">
        <x:v>2026春:268502</x:v>
      </x:c>
      <x:c r="F108" s="22" t="str">
        <x:v>s3</x:v>
      </x:c>
      <x:c r="G108" s="26" t="n">
        <x:v>32</x:v>
      </x:c>
      <x:c r="H108" s="25" t="n">
        <x:v>42.099091815560406</x:v>
      </x:c>
      <x:c r="I108" s="24" t="n">
        <x:v>1</x:v>
      </x:c>
      <x:c r="J108" s="24" t="n">
        <x:v>1</x:v>
      </x:c>
      <x:c r="K108" s="22" t="str">
        <x:v>是</x:v>
      </x:c>
      <x:c r="L108" s="22" t="n">
        <x:v>0.5972727517719029</x:v>
      </x:c>
      <x:c r="M108" s="22" t="n">
        <x:v>7.167273021262834</x:v>
      </x:c>
      <x:c r="N108" s="22" t="n">
        <x:v>14.334546042525668</x:v>
      </x:c>
      <x:c r="O108" s="22" t="n">
        <x:v>20</x:v>
      </x:c>
      <x:c r="P108" s="24" t="n">
        <x:v>4</x:v>
      </x:c>
      <x:c r="Q108" s="22" t="str">
        <x:v>["S1220"]</x:v>
      </x:c>
      <x:c r="R108" s="22" t="str">
        <x:v>evidence/student_evidence.jsonl；student_key=2026春:268502</x:v>
      </x:c>
      <x:c r="S108" s="27" t="str"/>
    </x:row>
    <x:row r="109" ht="48" customHeight="1">
      <x:c r="A109" s="21" t="str">
        <x:v>全量观察(探索)</x:v>
      </x:c>
      <x:c r="B109" s="22" t="str">
        <x:v>突破优先型</x:v>
      </x:c>
      <x:c r="C109" s="22" t="str">
        <x:v>前20%</x:v>
      </x:c>
      <x:c r="D109" s="22" t="str">
        <x:v>边界同分</x:v>
      </x:c>
      <x:c r="E109" s="22" t="str">
        <x:v>2025秋:258431</x:v>
      </x:c>
      <x:c r="F109" s="22" t="str">
        <x:v>s3</x:v>
      </x:c>
      <x:c r="G109" s="26" t="n">
        <x:v>35.5</x:v>
      </x:c>
      <x:c r="H109" s="25" t="n">
        <x:v>42.09032082185491</x:v>
      </x:c>
      <x:c r="I109" s="24" t="n">
        <x:v>2</x:v>
      </x:c>
      <x:c r="J109" s="24" t="n">
        <x:v>1</x:v>
      </x:c>
      <x:c r="K109" s="22" t="str">
        <x:v>是</x:v>
      </x:c>
      <x:c r="L109" s="22" t="n">
        <x:v>0.5970356978879705</x:v>
      </x:c>
      <x:c r="M109" s="22" t="n">
        <x:v>7.164428374655646</x:v>
      </x:c>
      <x:c r="N109" s="22" t="n">
        <x:v>14.328856749311292</x:v>
      </x:c>
      <x:c r="O109" s="22" t="n">
        <x:v>20</x:v>
      </x:c>
      <x:c r="P109" s="24" t="n">
        <x:v>4</x:v>
      </x:c>
      <x:c r="Q109" s="22" t="str">
        <x:v>["S0444","S0667"]</x:v>
      </x:c>
      <x:c r="R109" s="22" t="str">
        <x:v>evidence/student_evidence.jsonl；student_key=2025秋:258431</x:v>
      </x:c>
      <x:c r="S109" s="27" t="str">
        <x:v>同一锚点起止1条：未形成独立重复测量。</x:v>
      </x:c>
    </x:row>
    <x:row r="110" ht="23" customHeight="1">
      <x:c r="A110" s="21" t="str">
        <x:v>全量观察(探索)</x:v>
      </x:c>
      <x:c r="B110" s="22" t="str">
        <x:v>突破优先型</x:v>
      </x:c>
      <x:c r="C110" s="22" t="str">
        <x:v>前20%</x:v>
      </x:c>
      <x:c r="D110" s="22" t="str">
        <x:v>边界同分</x:v>
      </x:c>
      <x:c r="E110" s="22" t="str">
        <x:v>2025秋:259050</x:v>
      </x:c>
      <x:c r="F110" s="22" t="str">
        <x:v>s3</x:v>
      </x:c>
      <x:c r="G110" s="26" t="n">
        <x:v>35.5</x:v>
      </x:c>
      <x:c r="H110" s="25" t="n">
        <x:v>42.09032082185491</x:v>
      </x:c>
      <x:c r="I110" s="24" t="n">
        <x:v>1</x:v>
      </x:c>
      <x:c r="J110" s="24" t="n">
        <x:v>1</x:v>
      </x:c>
      <x:c r="K110" s="22" t="str">
        <x:v>否</x:v>
      </x:c>
      <x:c r="L110" s="22" t="n">
        <x:v>0.5970356978879705</x:v>
      </x:c>
      <x:c r="M110" s="22" t="n">
        <x:v>7.164428374655646</x:v>
      </x:c>
      <x:c r="N110" s="22" t="n">
        <x:v>14.328856749311292</x:v>
      </x:c>
      <x:c r="O110" s="22" t="n">
        <x:v>20</x:v>
      </x:c>
      <x:c r="P110" s="24" t="n">
        <x:v>4</x:v>
      </x:c>
      <x:c r="Q110" s="22" t="str">
        <x:v>["S0455"]</x:v>
      </x:c>
      <x:c r="R110" s="22" t="str">
        <x:v>evidence/student_evidence.jsonl；student_key=2025秋:259050</x:v>
      </x:c>
      <x:c r="S110" s="27" t="str"/>
    </x:row>
    <x:row r="111" ht="23" customHeight="1">
      <x:c r="A111" s="21" t="str">
        <x:v>全量观察(探索)</x:v>
      </x:c>
      <x:c r="B111" s="22" t="str">
        <x:v>突破优先型</x:v>
      </x:c>
      <x:c r="C111" s="22" t="str">
        <x:v>前20%</x:v>
      </x:c>
      <x:c r="D111" s="22" t="str">
        <x:v>边界同分</x:v>
      </x:c>
      <x:c r="E111" s="22" t="str">
        <x:v>2025秋:259326</x:v>
      </x:c>
      <x:c r="F111" s="22" t="str">
        <x:v>s3</x:v>
      </x:c>
      <x:c r="G111" s="26" t="n">
        <x:v>35.5</x:v>
      </x:c>
      <x:c r="H111" s="25" t="n">
        <x:v>42.09032082185491</x:v>
      </x:c>
      <x:c r="I111" s="24" t="n">
        <x:v>1</x:v>
      </x:c>
      <x:c r="J111" s="24" t="n">
        <x:v>1</x:v>
      </x:c>
      <x:c r="K111" s="22" t="str">
        <x:v>是</x:v>
      </x:c>
      <x:c r="L111" s="22" t="n">
        <x:v>0.5970356978879705</x:v>
      </x:c>
      <x:c r="M111" s="22" t="n">
        <x:v>7.164428374655646</x:v>
      </x:c>
      <x:c r="N111" s="22" t="n">
        <x:v>14.328856749311292</x:v>
      </x:c>
      <x:c r="O111" s="22" t="n">
        <x:v>20</x:v>
      </x:c>
      <x:c r="P111" s="24" t="n">
        <x:v>4</x:v>
      </x:c>
      <x:c r="Q111" s="22" t="str">
        <x:v>["S0496"]</x:v>
      </x:c>
      <x:c r="R111" s="22" t="str">
        <x:v>evidence/student_evidence.jsonl；student_key=2025秋:259326</x:v>
      </x:c>
      <x:c r="S111" s="27" t="str"/>
    </x:row>
    <x:row r="112" ht="23" customHeight="1">
      <x:c r="A112" s="21" t="str">
        <x:v>全量观察(探索)</x:v>
      </x:c>
      <x:c r="B112" s="22" t="str">
        <x:v>突破优先型</x:v>
      </x:c>
      <x:c r="C112" s="22" t="str">
        <x:v>前20%</x:v>
      </x:c>
      <x:c r="D112" s="22" t="str">
        <x:v>边界同分</x:v>
      </x:c>
      <x:c r="E112" s="22" t="str">
        <x:v>2026春:268174</x:v>
      </x:c>
      <x:c r="F112" s="22" t="str">
        <x:v>s3</x:v>
      </x:c>
      <x:c r="G112" s="26" t="n">
        <x:v>35.5</x:v>
      </x:c>
      <x:c r="H112" s="25" t="n">
        <x:v>42.09032082185491</x:v>
      </x:c>
      <x:c r="I112" s="24" t="n">
        <x:v>1</x:v>
      </x:c>
      <x:c r="J112" s="24" t="n">
        <x:v>1</x:v>
      </x:c>
      <x:c r="K112" s="22" t="str">
        <x:v>是</x:v>
      </x:c>
      <x:c r="L112" s="22" t="n">
        <x:v>0.5970356978879705</x:v>
      </x:c>
      <x:c r="M112" s="22" t="n">
        <x:v>7.164428374655646</x:v>
      </x:c>
      <x:c r="N112" s="22" t="n">
        <x:v>14.328856749311292</x:v>
      </x:c>
      <x:c r="O112" s="22" t="n">
        <x:v>20</x:v>
      </x:c>
      <x:c r="P112" s="24" t="n">
        <x:v>4</x:v>
      </x:c>
      <x:c r="Q112" s="22" t="str">
        <x:v>["S1044"]</x:v>
      </x:c>
      <x:c r="R112" s="22" t="str">
        <x:v>evidence/student_evidence.jsonl；student_key=2026春:268174</x:v>
      </x:c>
      <x:c r="S112" s="27" t="str"/>
    </x:row>
    <x:row r="113" ht="23" customHeight="1">
      <x:c r="A113" s="21" t="str">
        <x:v>全量观察(探索)</x:v>
      </x:c>
      <x:c r="B113" s="22" t="str">
        <x:v>突破优先型</x:v>
      </x:c>
      <x:c r="C113" s="22" t="str">
        <x:v>后20%</x:v>
      </x:c>
      <x:c r="D113" s="22" t="str">
        <x:v>边界同分</x:v>
      </x:c>
      <x:c r="E113" s="22" t="str">
        <x:v>2025秋:259854</x:v>
      </x:c>
      <x:c r="F113" s="22" t="str">
        <x:v>s3</x:v>
      </x:c>
      <x:c r="G113" s="26" t="n">
        <x:v>140</x:v>
      </x:c>
      <x:c r="H113" s="25" t="n">
        <x:v>19.61860361860362</x:v>
      </x:c>
      <x:c r="I113" s="24" t="n">
        <x:v>1</x:v>
      </x:c>
      <x:c r="J113" s="24" t="n">
        <x:v>1</x:v>
      </x:c>
      <x:c r="K113" s="22" t="str">
        <x:v>否</x:v>
      </x:c>
      <x:c r="L113" s="22" t="n">
        <x:v>0.2599622599622599</x:v>
      </x:c>
      <x:c r="M113" s="22" t="n">
        <x:v>3.1195471195471187</x:v>
      </x:c>
      <x:c r="N113" s="22" t="n">
        <x:v>6.239094239094237</x:v>
      </x:c>
      <x:c r="O113" s="22" t="n">
        <x:v>10</x:v>
      </x:c>
      <x:c r="P113" s="24" t="n">
        <x:v>3</x:v>
      </x:c>
      <x:c r="Q113" s="22" t="str">
        <x:v>["S0274"]</x:v>
      </x:c>
      <x:c r="R113" s="22" t="str">
        <x:v>evidence/student_evidence.jsonl；student_key=2025秋:259854</x:v>
      </x:c>
      <x:c r="S113" s="27" t="str"/>
    </x:row>
    <x:row r="114" ht="23" customHeight="1">
      <x:c r="A114" s="21" t="str">
        <x:v>全量观察(探索)</x:v>
      </x:c>
      <x:c r="B114" s="22" t="str">
        <x:v>突破优先型</x:v>
      </x:c>
      <x:c r="C114" s="22" t="str">
        <x:v>后20%</x:v>
      </x:c>
      <x:c r="D114" s="22" t="str">
        <x:v>严格进入</x:v>
      </x:c>
      <x:c r="E114" s="22" t="str">
        <x:v>2025秋:259452</x:v>
      </x:c>
      <x:c r="F114" s="22" t="str">
        <x:v>s3</x:v>
      </x:c>
      <x:c r="G114" s="26" t="n">
        <x:v>141</x:v>
      </x:c>
      <x:c r="H114" s="25" t="n">
        <x:v>18.623092798598968</x:v>
      </x:c>
      <x:c r="I114" s="24" t="n">
        <x:v>1</x:v>
      </x:c>
      <x:c r="J114" s="24" t="n">
        <x:v>1</x:v>
      </x:c>
      <x:c r="K114" s="22" t="str">
        <x:v>是</x:v>
      </x:c>
      <x:c r="L114" s="22" t="n">
        <x:v>0.23305656212429637</x:v>
      </x:c>
      <x:c r="M114" s="22" t="n">
        <x:v>2.7966787454915565</x:v>
      </x:c>
      <x:c r="N114" s="22" t="n">
        <x:v>5.593357490983113</x:v>
      </x:c>
      <x:c r="O114" s="22" t="n">
        <x:v>10</x:v>
      </x:c>
      <x:c r="P114" s="24" t="n">
        <x:v>4</x:v>
      </x:c>
      <x:c r="Q114" s="22" t="str">
        <x:v>["S0501"]</x:v>
      </x:c>
      <x:c r="R114" s="22" t="str">
        <x:v>evidence/student_evidence.jsonl；student_key=2025秋:259452</x:v>
      </x:c>
      <x:c r="S114" s="27" t="str"/>
    </x:row>
    <x:row r="115" ht="23" customHeight="1">
      <x:c r="A115" s="21" t="str">
        <x:v>全量观察(探索)</x:v>
      </x:c>
      <x:c r="B115" s="22" t="str">
        <x:v>突破优先型</x:v>
      </x:c>
      <x:c r="C115" s="22" t="str">
        <x:v>后20%</x:v>
      </x:c>
      <x:c r="D115" s="22" t="str">
        <x:v>严格进入</x:v>
      </x:c>
      <x:c r="E115" s="22" t="str">
        <x:v>2025秋:259321</x:v>
      </x:c>
      <x:c r="F115" s="22" t="str">
        <x:v>s3</x:v>
      </x:c>
      <x:c r="G115" s="26" t="n">
        <x:v>142</x:v>
      </x:c>
      <x:c r="H115" s="25" t="n">
        <x:v>18.105851759528534</x:v>
      </x:c>
      <x:c r="I115" s="24" t="n">
        <x:v>1</x:v>
      </x:c>
      <x:c r="J115" s="24" t="n">
        <x:v>1</x:v>
      </x:c>
      <x:c r="K115" s="22" t="str">
        <x:v>是</x:v>
      </x:c>
      <x:c r="L115" s="22" t="n">
        <x:v>0.21907707458185227</x:v>
      </x:c>
      <x:c r="M115" s="22" t="n">
        <x:v>2.6289248949822275</x:v>
      </x:c>
      <x:c r="N115" s="22" t="n">
        <x:v>5.257849789964455</x:v>
      </x:c>
      <x:c r="O115" s="22" t="n">
        <x:v>10</x:v>
      </x:c>
      <x:c r="P115" s="24" t="n">
        <x:v>4</x:v>
      </x:c>
      <x:c r="Q115" s="22" t="str">
        <x:v>["S0288"]</x:v>
      </x:c>
      <x:c r="R115" s="22" t="str">
        <x:v>evidence/student_evidence.jsonl；student_key=2025秋:259321</x:v>
      </x:c>
      <x:c r="S115" s="27" t="str"/>
    </x:row>
    <x:row r="116" ht="48" customHeight="1">
      <x:c r="A116" s="21" t="str">
        <x:v>全量观察(探索)</x:v>
      </x:c>
      <x:c r="B116" s="22" t="str">
        <x:v>突破优先型</x:v>
      </x:c>
      <x:c r="C116" s="22" t="str">
        <x:v>后20%</x:v>
      </x:c>
      <x:c r="D116" s="22" t="str">
        <x:v>严格进入</x:v>
      </x:c>
      <x:c r="E116" s="22" t="str">
        <x:v>2025秋:259851</x:v>
      </x:c>
      <x:c r="F116" s="22" t="str">
        <x:v>s3</x:v>
      </x:c>
      <x:c r="G116" s="26" t="n">
        <x:v>143</x:v>
      </x:c>
      <x:c r="H116" s="25" t="n">
        <x:v>16.61161136705601</x:v>
      </x:c>
      <x:c r="I116" s="24" t="n">
        <x:v>1</x:v>
      </x:c>
      <x:c r="J116" s="24" t="n">
        <x:v>1</x:v>
      </x:c>
      <x:c r="K116" s="22" t="str">
        <x:v>否</x:v>
      </x:c>
      <x:c r="L116" s="22" t="n">
        <x:v>0.17869219910962192</x:v>
      </x:c>
      <x:c r="M116" s="22" t="n">
        <x:v>2.1443063893154632</x:v>
      </x:c>
      <x:c r="N116" s="22" t="n">
        <x:v>4.2886127786309265</x:v>
      </x:c>
      <x:c r="O116" s="22" t="n">
        <x:v>10</x:v>
      </x:c>
      <x:c r="P116" s="24" t="n">
        <x:v>4</x:v>
      </x:c>
      <x:c r="Q116" s="22" t="str">
        <x:v>["S0057"]</x:v>
      </x:c>
      <x:c r="R116" s="22" t="str">
        <x:v>evidence/student_evidence.jsonl；student_key=2025秋:259851</x:v>
      </x:c>
      <x:c r="S116" s="27" t="str">
        <x:v>同一锚点起止1条：未形成独立重复测量。</x:v>
      </x:c>
    </x:row>
    <x:row r="117" ht="23" customHeight="1">
      <x:c r="A117" s="21" t="str">
        <x:v>全量观察(探索)</x:v>
      </x:c>
      <x:c r="B117" s="22" t="str">
        <x:v>突破优先型</x:v>
      </x:c>
      <x:c r="C117" s="22" t="str">
        <x:v>后20%</x:v>
      </x:c>
      <x:c r="D117" s="22" t="str">
        <x:v>严格进入</x:v>
      </x:c>
      <x:c r="E117" s="22" t="str">
        <x:v>2026春:268498</x:v>
      </x:c>
      <x:c r="F117" s="22" t="str">
        <x:v>s3</x:v>
      </x:c>
      <x:c r="G117" s="26" t="n">
        <x:v>144</x:v>
      </x:c>
      <x:c r="H117" s="25" t="n">
        <x:v>15.843541668191907</x:v>
      </x:c>
      <x:c r="I117" s="24" t="n">
        <x:v>1</x:v>
      </x:c>
      <x:c r="J117" s="24" t="n">
        <x:v>1</x:v>
      </x:c>
      <x:c r="K117" s="22" t="str">
        <x:v>是</x:v>
      </x:c>
      <x:c r="L117" s="22" t="n">
        <x:v>0.2119876126538352</x:v>
      </x:c>
      <x:c r="M117" s="22" t="n">
        <x:v>2.5438513518460226</x:v>
      </x:c>
      <x:c r="N117" s="22" t="n">
        <x:v>5.087702703692045</x:v>
      </x:c>
      <x:c r="O117" s="22" t="n">
        <x:v>8</x:v>
      </x:c>
      <x:c r="P117" s="24" t="n">
        <x:v>4</x:v>
      </x:c>
      <x:c r="Q117" s="22" t="str">
        <x:v>["S1207"]</x:v>
      </x:c>
      <x:c r="R117" s="22" t="str">
        <x:v>evidence/student_evidence.jsonl；student_key=2026春:268498</x:v>
      </x:c>
      <x:c r="S117" s="27" t="str"/>
    </x:row>
    <x:row r="118" ht="23" customHeight="1">
      <x:c r="A118" s="21" t="str">
        <x:v>全量观察(探索)</x:v>
      </x:c>
      <x:c r="B118" s="22" t="str">
        <x:v>突破优先型</x:v>
      </x:c>
      <x:c r="C118" s="22" t="str">
        <x:v>后20%</x:v>
      </x:c>
      <x:c r="D118" s="22" t="str">
        <x:v>严格进入</x:v>
      </x:c>
      <x:c r="E118" s="22" t="str">
        <x:v>2026春:268130</x:v>
      </x:c>
      <x:c r="F118" s="22" t="str">
        <x:v>s3</x:v>
      </x:c>
      <x:c r="G118" s="26" t="n">
        <x:v>145</x:v>
      </x:c>
      <x:c r="H118" s="25" t="n">
        <x:v>15.797823506133756</x:v>
      </x:c>
      <x:c r="I118" s="24" t="n">
        <x:v>1</x:v>
      </x:c>
      <x:c r="J118" s="24" t="n">
        <x:v>1</x:v>
      </x:c>
      <x:c r="K118" s="22" t="str">
        <x:v>是</x:v>
      </x:c>
      <x:c r="L118" s="22" t="n">
        <x:v>0.2467880226882997</x:v>
      </x:c>
      <x:c r="M118" s="22" t="n">
        <x:v>2.9614562722595963</x:v>
      </x:c>
      <x:c r="N118" s="22" t="n">
        <x:v>5.922912544519193</x:v>
      </x:c>
      <x:c r="O118" s="22" t="n">
        <x:v>6.666666666666666</x:v>
      </x:c>
      <x:c r="P118" s="24" t="n">
        <x:v>4</x:v>
      </x:c>
      <x:c r="Q118" s="22" t="str">
        <x:v>["S0938"]</x:v>
      </x:c>
      <x:c r="R118" s="22" t="str">
        <x:v>evidence/student_evidence.jsonl；student_key=2026春:268130</x:v>
      </x:c>
      <x:c r="S118" s="27" t="str"/>
    </x:row>
    <x:row r="119" ht="48" customHeight="1">
      <x:c r="A119" s="21" t="str">
        <x:v>全量观察(探索)</x:v>
      </x:c>
      <x:c r="B119" s="22" t="str">
        <x:v>突破优先型</x:v>
      </x:c>
      <x:c r="C119" s="22" t="str">
        <x:v>后20%</x:v>
      </x:c>
      <x:c r="D119" s="22" t="str">
        <x:v>严格进入</x:v>
      </x:c>
      <x:c r="E119" s="22" t="str">
        <x:v>2025秋:259419</x:v>
      </x:c>
      <x:c r="F119" s="22" t="str">
        <x:v>s3</x:v>
      </x:c>
      <x:c r="G119" s="26" t="n">
        <x:v>146</x:v>
      </x:c>
      <x:c r="H119" s="25" t="n">
        <x:v>15.000000000000002</x:v>
      </x:c>
      <x:c r="I119" s="24" t="n">
        <x:v>1</x:v>
      </x:c>
      <x:c r="J119" s="24" t="n">
        <x:v>1</x:v>
      </x:c>
      <x:c r="K119" s="22" t="str">
        <x:v>否</x:v>
      </x:c>
      <x:c r="L119" s="22" t="n">
        <x:v>0</x:v>
      </x:c>
      <x:c r="M119" s="22" t="n">
        <x:v>0</x:v>
      </x:c>
      <x:c r="N119" s="22" t="n">
        <x:v>0</x:v>
      </x:c>
      <x:c r="O119" s="22" t="n">
        <x:v>15</x:v>
      </x:c>
      <x:c r="P119" s="24" t="n">
        <x:v>2</x:v>
      </x:c>
      <x:c r="Q119" s="22" t="str">
        <x:v>["S0056"]</x:v>
      </x:c>
      <x:c r="R119" s="22" t="str">
        <x:v>evidence/student_evidence.jsonl；student_key=2025秋:259419</x:v>
      </x:c>
      <x:c r="S119" s="27" t="str">
        <x:v>同一锚点起止1条：未形成独立重复测量。</x:v>
      </x:c>
    </x:row>
    <x:row r="120" ht="48" customHeight="1">
      <x:c r="A120" s="21" t="str">
        <x:v>全量观察(探索)</x:v>
      </x:c>
      <x:c r="B120" s="22" t="str">
        <x:v>突破优先型</x:v>
      </x:c>
      <x:c r="C120" s="22" t="str">
        <x:v>后20%</x:v>
      </x:c>
      <x:c r="D120" s="22" t="str">
        <x:v>严格进入</x:v>
      </x:c>
      <x:c r="E120" s="22" t="str">
        <x:v>2025秋:259325</x:v>
      </x:c>
      <x:c r="F120" s="22" t="str">
        <x:v>s3</x:v>
      </x:c>
      <x:c r="G120" s="26" t="n">
        <x:v>148</x:v>
      </x:c>
      <x:c r="H120" s="25" t="n">
        <x:v>13.333333333333334</x:v>
      </x:c>
      <x:c r="I120" s="24" t="n">
        <x:v>1</x:v>
      </x:c>
      <x:c r="J120" s="24" t="n">
        <x:v>1</x:v>
      </x:c>
      <x:c r="K120" s="22" t="str">
        <x:v>否</x:v>
      </x:c>
      <x:c r="L120" s="22" t="n">
        <x:v>0</x:v>
      </x:c>
      <x:c r="M120" s="22" t="n">
        <x:v>0</x:v>
      </x:c>
      <x:c r="N120" s="22" t="n">
        <x:v>0</x:v>
      </x:c>
      <x:c r="O120" s="22" t="n">
        <x:v>13.333333333333332</x:v>
      </x:c>
      <x:c r="P120" s="24" t="n">
        <x:v>4</x:v>
      </x:c>
      <x:c r="Q120" s="22" t="str">
        <x:v>["S0744"]</x:v>
      </x:c>
      <x:c r="R120" s="22" t="str">
        <x:v>evidence/student_evidence.jsonl；student_key=2025秋:259325</x:v>
      </x:c>
      <x:c r="S120" s="27" t="str">
        <x:v>同一锚点起止1条：未形成独立重复测量。</x:v>
      </x:c>
    </x:row>
    <x:row r="121" ht="48" customHeight="1">
      <x:c r="A121" s="21" t="str">
        <x:v>全量观察(探索)</x:v>
      </x:c>
      <x:c r="B121" s="22" t="str">
        <x:v>突破优先型</x:v>
      </x:c>
      <x:c r="C121" s="22" t="str">
        <x:v>后20%</x:v>
      </x:c>
      <x:c r="D121" s="22" t="str">
        <x:v>严格进入</x:v>
      </x:c>
      <x:c r="E121" s="22" t="str">
        <x:v>2026春:268151</x:v>
      </x:c>
      <x:c r="F121" s="22" t="str">
        <x:v>s3</x:v>
      </x:c>
      <x:c r="G121" s="26" t="n">
        <x:v>148</x:v>
      </x:c>
      <x:c r="H121" s="25" t="n">
        <x:v>13.333333333333334</x:v>
      </x:c>
      <x:c r="I121" s="24" t="n">
        <x:v>1</x:v>
      </x:c>
      <x:c r="J121" s="24" t="n">
        <x:v>1</x:v>
      </x:c>
      <x:c r="K121" s="22" t="str">
        <x:v>否</x:v>
      </x:c>
      <x:c r="L121" s="22" t="n">
        <x:v>0</x:v>
      </x:c>
      <x:c r="M121" s="22" t="n">
        <x:v>0</x:v>
      </x:c>
      <x:c r="N121" s="22" t="n">
        <x:v>0</x:v>
      </x:c>
      <x:c r="O121" s="22" t="n">
        <x:v>13.333333333333332</x:v>
      </x:c>
      <x:c r="P121" s="24" t="n">
        <x:v>4</x:v>
      </x:c>
      <x:c r="Q121" s="22" t="str">
        <x:v>["S1004"]</x:v>
      </x:c>
      <x:c r="R121" s="22" t="str">
        <x:v>evidence/student_evidence.jsonl；student_key=2026春:268151</x:v>
      </x:c>
      <x:c r="S121" s="27" t="str">
        <x:v>同一锚点起止1条：未形成独立重复测量。</x:v>
      </x:c>
    </x:row>
    <x:row r="122" ht="48" customHeight="1">
      <x:c r="A122" s="21" t="str">
        <x:v>全量观察(探索)</x:v>
      </x:c>
      <x:c r="B122" s="22" t="str">
        <x:v>突破优先型</x:v>
      </x:c>
      <x:c r="C122" s="22" t="str">
        <x:v>后20%</x:v>
      </x:c>
      <x:c r="D122" s="22" t="str">
        <x:v>严格进入</x:v>
      </x:c>
      <x:c r="E122" s="22" t="str">
        <x:v>2026春:268520</x:v>
      </x:c>
      <x:c r="F122" s="22" t="str">
        <x:v>s6</x:v>
      </x:c>
      <x:c r="G122" s="26" t="n">
        <x:v>148</x:v>
      </x:c>
      <x:c r="H122" s="25" t="n">
        <x:v>13.333333333333334</x:v>
      </x:c>
      <x:c r="I122" s="24" t="n">
        <x:v>1</x:v>
      </x:c>
      <x:c r="J122" s="24" t="n">
        <x:v>1</x:v>
      </x:c>
      <x:c r="K122" s="22" t="str">
        <x:v>是</x:v>
      </x:c>
      <x:c r="L122" s="22" t="n">
        <x:v>0</x:v>
      </x:c>
      <x:c r="M122" s="22" t="n">
        <x:v>0</x:v>
      </x:c>
      <x:c r="N122" s="22" t="n">
        <x:v>0</x:v>
      </x:c>
      <x:c r="O122" s="22" t="n">
        <x:v>13.333333333333332</x:v>
      </x:c>
      <x:c r="P122" s="24" t="n">
        <x:v>4</x:v>
      </x:c>
      <x:c r="Q122" s="22" t="str">
        <x:v>["S1244"]</x:v>
      </x:c>
      <x:c r="R122" s="22" t="str">
        <x:v>evidence/student_evidence.jsonl；student_key=2026春:268520</x:v>
      </x:c>
      <x:c r="S122" s="27" t="str">
        <x:v>同一锚点起止1条：未形成独立重复测量。</x:v>
      </x:c>
    </x:row>
    <x:row r="123" ht="23" customHeight="1">
      <x:c r="A123" s="21" t="str">
        <x:v>全量观察(探索)</x:v>
      </x:c>
      <x:c r="B123" s="22" t="str">
        <x:v>突破优先型</x:v>
      </x:c>
      <x:c r="C123" s="22" t="str">
        <x:v>后20%</x:v>
      </x:c>
      <x:c r="D123" s="22" t="str">
        <x:v>严格进入</x:v>
      </x:c>
      <x:c r="E123" s="22" t="str">
        <x:v>2026春:268133</x:v>
      </x:c>
      <x:c r="F123" s="22" t="str">
        <x:v>s3</x:v>
      </x:c>
      <x:c r="G123" s="26" t="n">
        <x:v>150</x:v>
      </x:c>
      <x:c r="H123" s="25" t="n">
        <x:v>13.039766447825862</x:v>
      </x:c>
      <x:c r="I123" s="24" t="n">
        <x:v>1</x:v>
      </x:c>
      <x:c r="J123" s="24" t="n">
        <x:v>1</x:v>
      </x:c>
      <x:c r="K123" s="22" t="str">
        <x:v>是</x:v>
      </x:c>
      <x:c r="L123" s="22" t="n">
        <x:v>0.21729098507637468</x:v>
      </x:c>
      <x:c r="M123" s="22" t="n">
        <x:v>2.607491820916496</x:v>
      </x:c>
      <x:c r="N123" s="22" t="n">
        <x:v>5.214983641832992</x:v>
      </x:c>
      <x:c r="O123" s="22" t="n">
        <x:v>5</x:v>
      </x:c>
      <x:c r="P123" s="24" t="n">
        <x:v>4</x:v>
      </x:c>
      <x:c r="Q123" s="22" t="str">
        <x:v>["S0944"]</x:v>
      </x:c>
      <x:c r="R123" s="22" t="str">
        <x:v>evidence/student_evidence.jsonl；student_key=2026春:268133</x:v>
      </x:c>
      <x:c r="S123" s="27" t="str"/>
    </x:row>
    <x:row r="124" ht="23" customHeight="1">
      <x:c r="A124" s="21" t="str">
        <x:v>全量观察(探索)</x:v>
      </x:c>
      <x:c r="B124" s="22" t="str">
        <x:v>突破优先型</x:v>
      </x:c>
      <x:c r="C124" s="22" t="str">
        <x:v>后20%</x:v>
      </x:c>
      <x:c r="D124" s="22" t="str">
        <x:v>严格进入</x:v>
      </x:c>
      <x:c r="E124" s="22" t="str">
        <x:v>2026春:250868</x:v>
      </x:c>
      <x:c r="F124" s="22" t="str">
        <x:v>s3</x:v>
      </x:c>
      <x:c r="G124" s="26" t="n">
        <x:v>151</x:v>
      </x:c>
      <x:c r="H124" s="25" t="n">
        <x:v>12.601180455347126</x:v>
      </x:c>
      <x:c r="I124" s="24" t="n">
        <x:v>1</x:v>
      </x:c>
      <x:c r="J124" s="24" t="n">
        <x:v>1</x:v>
      </x:c>
      <x:c r="K124" s="22" t="str">
        <x:v>是</x:v>
      </x:c>
      <x:c r="L124" s="22" t="n">
        <x:v>0.20543730960397633</x:v>
      </x:c>
      <x:c r="M124" s="22" t="n">
        <x:v>2.4652477152477164</x:v>
      </x:c>
      <x:c r="N124" s="22" t="n">
        <x:v>4.930495430495433</x:v>
      </x:c>
      <x:c r="O124" s="22" t="n">
        <x:v>5</x:v>
      </x:c>
      <x:c r="P124" s="24" t="n">
        <x:v>4</x:v>
      </x:c>
      <x:c r="Q124" s="22" t="str">
        <x:v>["S0828"]</x:v>
      </x:c>
      <x:c r="R124" s="22" t="str">
        <x:v>evidence/student_evidence.jsonl；student_key=2026春:250868</x:v>
      </x:c>
      <x:c r="S124" s="27" t="str"/>
    </x:row>
    <x:row r="125" ht="48" customHeight="1">
      <x:c r="A125" s="21" t="str">
        <x:v>全量观察(探索)</x:v>
      </x:c>
      <x:c r="B125" s="22" t="str">
        <x:v>突破优先型</x:v>
      </x:c>
      <x:c r="C125" s="22" t="str">
        <x:v>后20%</x:v>
      </x:c>
      <x:c r="D125" s="22" t="str">
        <x:v>严格进入</x:v>
      </x:c>
      <x:c r="E125" s="22" t="str">
        <x:v>2025秋:258274</x:v>
      </x:c>
      <x:c r="F125" s="22" t="str">
        <x:v>s3</x:v>
      </x:c>
      <x:c r="G125" s="26" t="n">
        <x:v>162</x:v>
      </x:c>
      <x:c r="H125" s="25" t="n">
        <x:v>10</x:v>
      </x:c>
      <x:c r="I125" s="24" t="n">
        <x:v>1</x:v>
      </x:c>
      <x:c r="J125" s="24" t="n">
        <x:v>1</x:v>
      </x:c>
      <x:c r="K125" s="22" t="str">
        <x:v>是</x:v>
      </x:c>
      <x:c r="L125" s="22" t="n">
        <x:v>0</x:v>
      </x:c>
      <x:c r="M125" s="22" t="n">
        <x:v>0</x:v>
      </x:c>
      <x:c r="N125" s="22" t="n">
        <x:v>0</x:v>
      </x:c>
      <x:c r="O125" s="22" t="n">
        <x:v>10</x:v>
      </x:c>
      <x:c r="P125" s="24" t="n">
        <x:v>4</x:v>
      </x:c>
      <x:c r="Q125" s="22" t="str">
        <x:v>["S0275"]</x:v>
      </x:c>
      <x:c r="R125" s="22" t="str">
        <x:v>evidence/student_evidence.jsonl；student_key=2025秋:258274</x:v>
      </x:c>
      <x:c r="S125" s="27" t="str">
        <x:v>同一锚点起止1条：未形成独立重复测量。</x:v>
      </x:c>
    </x:row>
    <x:row r="126" ht="23" customHeight="1">
      <x:c r="A126" s="21" t="str">
        <x:v>全量观察(探索)</x:v>
      </x:c>
      <x:c r="B126" s="22" t="str">
        <x:v>突破优先型</x:v>
      </x:c>
      <x:c r="C126" s="22" t="str">
        <x:v>后20%</x:v>
      </x:c>
      <x:c r="D126" s="22" t="str">
        <x:v>严格进入</x:v>
      </x:c>
      <x:c r="E126" s="22" t="str">
        <x:v>2025秋:258862</x:v>
      </x:c>
      <x:c r="F126" s="22" t="str">
        <x:v>s3</x:v>
      </x:c>
      <x:c r="G126" s="26" t="n">
        <x:v>162</x:v>
      </x:c>
      <x:c r="H126" s="25" t="n">
        <x:v>10</x:v>
      </x:c>
      <x:c r="I126" s="24" t="n">
        <x:v>1</x:v>
      </x:c>
      <x:c r="J126" s="24" t="n">
        <x:v>1</x:v>
      </x:c>
      <x:c r="K126" s="22" t="str">
        <x:v>否</x:v>
      </x:c>
      <x:c r="L126" s="22" t="n">
        <x:v>0</x:v>
      </x:c>
      <x:c r="M126" s="22" t="n">
        <x:v>0</x:v>
      </x:c>
      <x:c r="N126" s="22" t="n">
        <x:v>0</x:v>
      </x:c>
      <x:c r="O126" s="22" t="n">
        <x:v>10</x:v>
      </x:c>
      <x:c r="P126" s="24" t="n">
        <x:v>4</x:v>
      </x:c>
      <x:c r="Q126" s="22" t="str">
        <x:v>["S0151"]</x:v>
      </x:c>
      <x:c r="R126" s="22" t="str">
        <x:v>evidence/student_evidence.jsonl；student_key=2025秋:258862</x:v>
      </x:c>
      <x:c r="S126" s="27" t="str"/>
    </x:row>
    <x:row r="127" ht="23" customHeight="1">
      <x:c r="A127" s="21" t="str">
        <x:v>全量观察(探索)</x:v>
      </x:c>
      <x:c r="B127" s="22" t="str">
        <x:v>突破优先型</x:v>
      </x:c>
      <x:c r="C127" s="22" t="str">
        <x:v>后20%</x:v>
      </x:c>
      <x:c r="D127" s="22" t="str">
        <x:v>严格进入</x:v>
      </x:c>
      <x:c r="E127" s="22" t="str">
        <x:v>2025秋:258907</x:v>
      </x:c>
      <x:c r="F127" s="22" t="str">
        <x:v>s3</x:v>
      </x:c>
      <x:c r="G127" s="26" t="n">
        <x:v>162</x:v>
      </x:c>
      <x:c r="H127" s="25" t="n">
        <x:v>10</x:v>
      </x:c>
      <x:c r="I127" s="24" t="n">
        <x:v>1</x:v>
      </x:c>
      <x:c r="J127" s="24" t="n">
        <x:v>1</x:v>
      </x:c>
      <x:c r="K127" s="22" t="str">
        <x:v>否</x:v>
      </x:c>
      <x:c r="L127" s="22" t="n">
        <x:v>0</x:v>
      </x:c>
      <x:c r="M127" s="22" t="n">
        <x:v>0</x:v>
      </x:c>
      <x:c r="N127" s="22" t="n">
        <x:v>0</x:v>
      </x:c>
      <x:c r="O127" s="22" t="n">
        <x:v>10</x:v>
      </x:c>
      <x:c r="P127" s="24" t="n">
        <x:v>4</x:v>
      </x:c>
      <x:c r="Q127" s="22" t="str">
        <x:v>["S0269"]</x:v>
      </x:c>
      <x:c r="R127" s="22" t="str">
        <x:v>evidence/student_evidence.jsonl；student_key=2025秋:258907</x:v>
      </x:c>
      <x:c r="S127" s="27" t="str"/>
    </x:row>
    <x:row r="128" ht="48" customHeight="1">
      <x:c r="A128" s="21" t="str">
        <x:v>全量观察(探索)</x:v>
      </x:c>
      <x:c r="B128" s="22" t="str">
        <x:v>突破优先型</x:v>
      </x:c>
      <x:c r="C128" s="22" t="str">
        <x:v>后20%</x:v>
      </x:c>
      <x:c r="D128" s="22" t="str">
        <x:v>严格进入</x:v>
      </x:c>
      <x:c r="E128" s="22" t="str">
        <x:v>2025秋:258908</x:v>
      </x:c>
      <x:c r="F128" s="22" t="str">
        <x:v>s3</x:v>
      </x:c>
      <x:c r="G128" s="26" t="n">
        <x:v>162</x:v>
      </x:c>
      <x:c r="H128" s="25" t="n">
        <x:v>10</x:v>
      </x:c>
      <x:c r="I128" s="24" t="n">
        <x:v>1</x:v>
      </x:c>
      <x:c r="J128" s="24" t="n">
        <x:v>1</x:v>
      </x:c>
      <x:c r="K128" s="22" t="str">
        <x:v>否</x:v>
      </x:c>
      <x:c r="L128" s="22" t="n">
        <x:v>0</x:v>
      </x:c>
      <x:c r="M128" s="22" t="n">
        <x:v>0</x:v>
      </x:c>
      <x:c r="N128" s="22" t="n">
        <x:v>0</x:v>
      </x:c>
      <x:c r="O128" s="22" t="n">
        <x:v>10</x:v>
      </x:c>
      <x:c r="P128" s="24" t="n">
        <x:v>4</x:v>
      </x:c>
      <x:c r="Q128" s="22" t="str">
        <x:v>["S0292"]</x:v>
      </x:c>
      <x:c r="R128" s="22" t="str">
        <x:v>evidence/student_evidence.jsonl；student_key=2025秋:258908</x:v>
      </x:c>
      <x:c r="S128" s="27" t="str">
        <x:v>同一锚点起止1条：未形成独立重复测量。</x:v>
      </x:c>
    </x:row>
    <x:row r="129" ht="23" customHeight="1">
      <x:c r="A129" s="21" t="str">
        <x:v>全量观察(探索)</x:v>
      </x:c>
      <x:c r="B129" s="22" t="str">
        <x:v>突破优先型</x:v>
      </x:c>
      <x:c r="C129" s="22" t="str">
        <x:v>后20%</x:v>
      </x:c>
      <x:c r="D129" s="22" t="str">
        <x:v>严格进入</x:v>
      </x:c>
      <x:c r="E129" s="22" t="str">
        <x:v>2025秋:258912</x:v>
      </x:c>
      <x:c r="F129" s="22" t="str">
        <x:v>s3</x:v>
      </x:c>
      <x:c r="G129" s="26" t="n">
        <x:v>162</x:v>
      </x:c>
      <x:c r="H129" s="25" t="n">
        <x:v>10</x:v>
      </x:c>
      <x:c r="I129" s="24" t="n">
        <x:v>1</x:v>
      </x:c>
      <x:c r="J129" s="24" t="n">
        <x:v>1</x:v>
      </x:c>
      <x:c r="K129" s="22" t="str">
        <x:v>是</x:v>
      </x:c>
      <x:c r="L129" s="22" t="n">
        <x:v>0</x:v>
      </x:c>
      <x:c r="M129" s="22" t="n">
        <x:v>0</x:v>
      </x:c>
      <x:c r="N129" s="22" t="n">
        <x:v>0</x:v>
      </x:c>
      <x:c r="O129" s="22" t="n">
        <x:v>10</x:v>
      </x:c>
      <x:c r="P129" s="24" t="n">
        <x:v>4</x:v>
      </x:c>
      <x:c r="Q129" s="22" t="str">
        <x:v>["S0092"]</x:v>
      </x:c>
      <x:c r="R129" s="22" t="str">
        <x:v>evidence/student_evidence.jsonl；student_key=2025秋:258912</x:v>
      </x:c>
      <x:c r="S129" s="27" t="str"/>
    </x:row>
    <x:row r="130" ht="48" customHeight="1">
      <x:c r="A130" s="21" t="str">
        <x:v>全量观察(探索)</x:v>
      </x:c>
      <x:c r="B130" s="22" t="str">
        <x:v>突破优先型</x:v>
      </x:c>
      <x:c r="C130" s="22" t="str">
        <x:v>后20%</x:v>
      </x:c>
      <x:c r="D130" s="22" t="str">
        <x:v>严格进入</x:v>
      </x:c>
      <x:c r="E130" s="22" t="str">
        <x:v>2025秋:258918</x:v>
      </x:c>
      <x:c r="F130" s="22" t="str">
        <x:v>s3</x:v>
      </x:c>
      <x:c r="G130" s="26" t="n">
        <x:v>162</x:v>
      </x:c>
      <x:c r="H130" s="25" t="n">
        <x:v>10</x:v>
      </x:c>
      <x:c r="I130" s="24" t="n">
        <x:v>1</x:v>
      </x:c>
      <x:c r="J130" s="24" t="n">
        <x:v>1</x:v>
      </x:c>
      <x:c r="K130" s="22" t="str">
        <x:v>否</x:v>
      </x:c>
      <x:c r="L130" s="22" t="n">
        <x:v>0</x:v>
      </x:c>
      <x:c r="M130" s="22" t="n">
        <x:v>0</x:v>
      </x:c>
      <x:c r="N130" s="22" t="n">
        <x:v>0</x:v>
      </x:c>
      <x:c r="O130" s="22" t="n">
        <x:v>10</x:v>
      </x:c>
      <x:c r="P130" s="24" t="n">
        <x:v>4</x:v>
      </x:c>
      <x:c r="Q130" s="22" t="str">
        <x:v>["S0287"]</x:v>
      </x:c>
      <x:c r="R130" s="22" t="str">
        <x:v>evidence/student_evidence.jsonl；student_key=2025秋:258918</x:v>
      </x:c>
      <x:c r="S130" s="27" t="str">
        <x:v>同一锚点起止1条：未形成独立重复测量。</x:v>
      </x:c>
    </x:row>
    <x:row r="131" ht="48" customHeight="1">
      <x:c r="A131" s="21" t="str">
        <x:v>全量观察(探索)</x:v>
      </x:c>
      <x:c r="B131" s="22" t="str">
        <x:v>突破优先型</x:v>
      </x:c>
      <x:c r="C131" s="22" t="str">
        <x:v>后20%</x:v>
      </x:c>
      <x:c r="D131" s="22" t="str">
        <x:v>严格进入</x:v>
      </x:c>
      <x:c r="E131" s="22" t="str">
        <x:v>2025秋:258923</x:v>
      </x:c>
      <x:c r="F131" s="22" t="str">
        <x:v>s3</x:v>
      </x:c>
      <x:c r="G131" s="26" t="n">
        <x:v>162</x:v>
      </x:c>
      <x:c r="H131" s="25" t="n">
        <x:v>10</x:v>
      </x:c>
      <x:c r="I131" s="24" t="n">
        <x:v>1</x:v>
      </x:c>
      <x:c r="J131" s="24" t="n">
        <x:v>1</x:v>
      </x:c>
      <x:c r="K131" s="22" t="str">
        <x:v>是</x:v>
      </x:c>
      <x:c r="L131" s="22" t="n">
        <x:v>0</x:v>
      </x:c>
      <x:c r="M131" s="22" t="n">
        <x:v>0</x:v>
      </x:c>
      <x:c r="N131" s="22" t="n">
        <x:v>0</x:v>
      </x:c>
      <x:c r="O131" s="22" t="n">
        <x:v>10</x:v>
      </x:c>
      <x:c r="P131" s="24" t="n">
        <x:v>4</x:v>
      </x:c>
      <x:c r="Q131" s="22" t="str">
        <x:v>["S0120"]</x:v>
      </x:c>
      <x:c r="R131" s="22" t="str">
        <x:v>evidence/student_evidence.jsonl；student_key=2025秋:258923</x:v>
      </x:c>
      <x:c r="S131" s="27" t="str">
        <x:v>同一锚点起止1条：未形成独立重复测量。</x:v>
      </x:c>
    </x:row>
    <x:row r="132" ht="48" customHeight="1">
      <x:c r="A132" s="21" t="str">
        <x:v>全量观察(探索)</x:v>
      </x:c>
      <x:c r="B132" s="22" t="str">
        <x:v>突破优先型</x:v>
      </x:c>
      <x:c r="C132" s="22" t="str">
        <x:v>后20%</x:v>
      </x:c>
      <x:c r="D132" s="22" t="str">
        <x:v>严格进入</x:v>
      </x:c>
      <x:c r="E132" s="22" t="str">
        <x:v>2025秋:258945</x:v>
      </x:c>
      <x:c r="F132" s="22" t="str">
        <x:v>s3</x:v>
      </x:c>
      <x:c r="G132" s="26" t="n">
        <x:v>162</x:v>
      </x:c>
      <x:c r="H132" s="25" t="n">
        <x:v>10</x:v>
      </x:c>
      <x:c r="I132" s="24" t="n">
        <x:v>1</x:v>
      </x:c>
      <x:c r="J132" s="24" t="n">
        <x:v>1</x:v>
      </x:c>
      <x:c r="K132" s="22" t="str">
        <x:v>否</x:v>
      </x:c>
      <x:c r="L132" s="22" t="n">
        <x:v>0</x:v>
      </x:c>
      <x:c r="M132" s="22" t="n">
        <x:v>0</x:v>
      </x:c>
      <x:c r="N132" s="22" t="n">
        <x:v>0</x:v>
      </x:c>
      <x:c r="O132" s="22" t="n">
        <x:v>10</x:v>
      </x:c>
      <x:c r="P132" s="24" t="n">
        <x:v>4</x:v>
      </x:c>
      <x:c r="Q132" s="22" t="str">
        <x:v>["S0048"]</x:v>
      </x:c>
      <x:c r="R132" s="22" t="str">
        <x:v>evidence/student_evidence.jsonl；student_key=2025秋:258945</x:v>
      </x:c>
      <x:c r="S132" s="27" t="str">
        <x:v>同一锚点起止1条：未形成独立重复测量。</x:v>
      </x:c>
    </x:row>
    <x:row r="133" ht="23" customHeight="1">
      <x:c r="A133" s="21" t="str">
        <x:v>全量观察(探索)</x:v>
      </x:c>
      <x:c r="B133" s="22" t="str">
        <x:v>突破优先型</x:v>
      </x:c>
      <x:c r="C133" s="22" t="str">
        <x:v>后20%</x:v>
      </x:c>
      <x:c r="D133" s="22" t="str">
        <x:v>严格进入</x:v>
      </x:c>
      <x:c r="E133" s="22" t="str">
        <x:v>2025秋:259059</x:v>
      </x:c>
      <x:c r="F133" s="22" t="str">
        <x:v>s3</x:v>
      </x:c>
      <x:c r="G133" s="26" t="n">
        <x:v>162</x:v>
      </x:c>
      <x:c r="H133" s="25" t="n">
        <x:v>10</x:v>
      </x:c>
      <x:c r="I133" s="24" t="n">
        <x:v>1</x:v>
      </x:c>
      <x:c r="J133" s="24" t="n">
        <x:v>1</x:v>
      </x:c>
      <x:c r="K133" s="22" t="str">
        <x:v>是</x:v>
      </x:c>
      <x:c r="L133" s="22" t="n">
        <x:v>0</x:v>
      </x:c>
      <x:c r="M133" s="22" t="n">
        <x:v>0</x:v>
      </x:c>
      <x:c r="N133" s="22" t="n">
        <x:v>0</x:v>
      </x:c>
      <x:c r="O133" s="22" t="n">
        <x:v>10</x:v>
      </x:c>
      <x:c r="P133" s="24" t="n">
        <x:v>4</x:v>
      </x:c>
      <x:c r="Q133" s="22" t="str">
        <x:v>["S0426"]</x:v>
      </x:c>
      <x:c r="R133" s="22" t="str">
        <x:v>evidence/student_evidence.jsonl；student_key=2025秋:259059</x:v>
      </x:c>
      <x:c r="S133" s="27" t="str"/>
    </x:row>
    <x:row r="134" ht="23" customHeight="1">
      <x:c r="A134" s="21" t="str">
        <x:v>全量观察(探索)</x:v>
      </x:c>
      <x:c r="B134" s="22" t="str">
        <x:v>突破优先型</x:v>
      </x:c>
      <x:c r="C134" s="22" t="str">
        <x:v>后20%</x:v>
      </x:c>
      <x:c r="D134" s="22" t="str">
        <x:v>严格进入</x:v>
      </x:c>
      <x:c r="E134" s="22" t="str">
        <x:v>2025秋:259106</x:v>
      </x:c>
      <x:c r="F134" s="22" t="str">
        <x:v>s3</x:v>
      </x:c>
      <x:c r="G134" s="26" t="n">
        <x:v>162</x:v>
      </x:c>
      <x:c r="H134" s="25" t="n">
        <x:v>10</x:v>
      </x:c>
      <x:c r="I134" s="24" t="n">
        <x:v>1</x:v>
      </x:c>
      <x:c r="J134" s="24" t="n">
        <x:v>1</x:v>
      </x:c>
      <x:c r="K134" s="22" t="str">
        <x:v>是</x:v>
      </x:c>
      <x:c r="L134" s="22" t="n">
        <x:v>0</x:v>
      </x:c>
      <x:c r="M134" s="22" t="n">
        <x:v>0</x:v>
      </x:c>
      <x:c r="N134" s="22" t="n">
        <x:v>0</x:v>
      </x:c>
      <x:c r="O134" s="22" t="n">
        <x:v>10</x:v>
      </x:c>
      <x:c r="P134" s="24" t="n">
        <x:v>4</x:v>
      </x:c>
      <x:c r="Q134" s="22" t="str">
        <x:v>["S0005"]</x:v>
      </x:c>
      <x:c r="R134" s="22" t="str">
        <x:v>evidence/student_evidence.jsonl；student_key=2025秋:259106</x:v>
      </x:c>
      <x:c r="S134" s="27" t="str"/>
    </x:row>
    <x:row r="135" ht="23" customHeight="1">
      <x:c r="A135" s="21" t="str">
        <x:v>全量观察(探索)</x:v>
      </x:c>
      <x:c r="B135" s="22" t="str">
        <x:v>突破优先型</x:v>
      </x:c>
      <x:c r="C135" s="22" t="str">
        <x:v>后20%</x:v>
      </x:c>
      <x:c r="D135" s="22" t="str">
        <x:v>严格进入</x:v>
      </x:c>
      <x:c r="E135" s="22" t="str">
        <x:v>2025秋:259315</x:v>
      </x:c>
      <x:c r="F135" s="22" t="str">
        <x:v>s3</x:v>
      </x:c>
      <x:c r="G135" s="26" t="n">
        <x:v>162</x:v>
      </x:c>
      <x:c r="H135" s="25" t="n">
        <x:v>10</x:v>
      </x:c>
      <x:c r="I135" s="24" t="n">
        <x:v>1</x:v>
      </x:c>
      <x:c r="J135" s="24" t="n">
        <x:v>1</x:v>
      </x:c>
      <x:c r="K135" s="22" t="str">
        <x:v>是</x:v>
      </x:c>
      <x:c r="L135" s="22" t="n">
        <x:v>0</x:v>
      </x:c>
      <x:c r="M135" s="22" t="n">
        <x:v>0</x:v>
      </x:c>
      <x:c r="N135" s="22" t="n">
        <x:v>0</x:v>
      </x:c>
      <x:c r="O135" s="22" t="n">
        <x:v>10</x:v>
      </x:c>
      <x:c r="P135" s="24" t="n">
        <x:v>4</x:v>
      </x:c>
      <x:c r="Q135" s="22" t="str">
        <x:v>["S0405"]</x:v>
      </x:c>
      <x:c r="R135" s="22" t="str">
        <x:v>evidence/student_evidence.jsonl；student_key=2025秋:259315</x:v>
      </x:c>
      <x:c r="S135" s="27" t="str"/>
    </x:row>
    <x:row r="136" ht="48" customHeight="1">
      <x:c r="A136" s="21" t="str">
        <x:v>全量观察(探索)</x:v>
      </x:c>
      <x:c r="B136" s="22" t="str">
        <x:v>突破优先型</x:v>
      </x:c>
      <x:c r="C136" s="22" t="str">
        <x:v>后20%</x:v>
      </x:c>
      <x:c r="D136" s="22" t="str">
        <x:v>严格进入</x:v>
      </x:c>
      <x:c r="E136" s="22" t="str">
        <x:v>2025秋:259346</x:v>
      </x:c>
      <x:c r="F136" s="22" t="str">
        <x:v>s3</x:v>
      </x:c>
      <x:c r="G136" s="26" t="n">
        <x:v>162</x:v>
      </x:c>
      <x:c r="H136" s="25" t="n">
        <x:v>10</x:v>
      </x:c>
      <x:c r="I136" s="24" t="n">
        <x:v>1</x:v>
      </x:c>
      <x:c r="J136" s="24" t="n">
        <x:v>1</x:v>
      </x:c>
      <x:c r="K136" s="22" t="str">
        <x:v>是</x:v>
      </x:c>
      <x:c r="L136" s="22" t="n">
        <x:v>0</x:v>
      </x:c>
      <x:c r="M136" s="22" t="n">
        <x:v>0</x:v>
      </x:c>
      <x:c r="N136" s="22" t="n">
        <x:v>0</x:v>
      </x:c>
      <x:c r="O136" s="22" t="n">
        <x:v>10</x:v>
      </x:c>
      <x:c r="P136" s="24" t="n">
        <x:v>4</x:v>
      </x:c>
      <x:c r="Q136" s="22" t="str">
        <x:v>["S0672"]</x:v>
      </x:c>
      <x:c r="R136" s="22" t="str">
        <x:v>evidence/student_evidence.jsonl；student_key=2025秋:259346</x:v>
      </x:c>
      <x:c r="S136" s="27" t="str">
        <x:v>同一锚点起止1条：未形成独立重复测量。</x:v>
      </x:c>
    </x:row>
    <x:row r="137" ht="23" customHeight="1">
      <x:c r="A137" s="21" t="str">
        <x:v>全量观察(探索)</x:v>
      </x:c>
      <x:c r="B137" s="22" t="str">
        <x:v>突破优先型</x:v>
      </x:c>
      <x:c r="C137" s="22" t="str">
        <x:v>后20%</x:v>
      </x:c>
      <x:c r="D137" s="22" t="str">
        <x:v>严格进入</x:v>
      </x:c>
      <x:c r="E137" s="22" t="str">
        <x:v>2025秋:259405</x:v>
      </x:c>
      <x:c r="F137" s="22" t="str">
        <x:v>s3</x:v>
      </x:c>
      <x:c r="G137" s="26" t="n">
        <x:v>162</x:v>
      </x:c>
      <x:c r="H137" s="25" t="n">
        <x:v>10</x:v>
      </x:c>
      <x:c r="I137" s="24" t="n">
        <x:v>1</x:v>
      </x:c>
      <x:c r="J137" s="24" t="n">
        <x:v>1</x:v>
      </x:c>
      <x:c r="K137" s="22" t="str">
        <x:v>否</x:v>
      </x:c>
      <x:c r="L137" s="22" t="n">
        <x:v>0</x:v>
      </x:c>
      <x:c r="M137" s="22" t="n">
        <x:v>0</x:v>
      </x:c>
      <x:c r="N137" s="22" t="n">
        <x:v>0</x:v>
      </x:c>
      <x:c r="O137" s="22" t="n">
        <x:v>10</x:v>
      </x:c>
      <x:c r="P137" s="24" t="n">
        <x:v>4</x:v>
      </x:c>
      <x:c r="Q137" s="22" t="str">
        <x:v>["S0219"]</x:v>
      </x:c>
      <x:c r="R137" s="22" t="str">
        <x:v>evidence/student_evidence.jsonl；student_key=2025秋:259405</x:v>
      </x:c>
      <x:c r="S137" s="27" t="str"/>
    </x:row>
    <x:row r="138" ht="23" customHeight="1">
      <x:c r="A138" s="21" t="str">
        <x:v>全量观察(探索)</x:v>
      </x:c>
      <x:c r="B138" s="22" t="str">
        <x:v>突破优先型</x:v>
      </x:c>
      <x:c r="C138" s="22" t="str">
        <x:v>后20%</x:v>
      </x:c>
      <x:c r="D138" s="22" t="str">
        <x:v>严格进入</x:v>
      </x:c>
      <x:c r="E138" s="22" t="str">
        <x:v>2025秋:259422</x:v>
      </x:c>
      <x:c r="F138" s="22" t="str">
        <x:v>s3</x:v>
      </x:c>
      <x:c r="G138" s="26" t="n">
        <x:v>162</x:v>
      </x:c>
      <x:c r="H138" s="25" t="n">
        <x:v>10</x:v>
      </x:c>
      <x:c r="I138" s="24" t="n">
        <x:v>1</x:v>
      </x:c>
      <x:c r="J138" s="24" t="n">
        <x:v>1</x:v>
      </x:c>
      <x:c r="K138" s="22" t="str">
        <x:v>是</x:v>
      </x:c>
      <x:c r="L138" s="22" t="n">
        <x:v>0</x:v>
      </x:c>
      <x:c r="M138" s="22" t="n">
        <x:v>0</x:v>
      </x:c>
      <x:c r="N138" s="22" t="n">
        <x:v>0</x:v>
      </x:c>
      <x:c r="O138" s="22" t="n">
        <x:v>10</x:v>
      </x:c>
      <x:c r="P138" s="24" t="n">
        <x:v>4</x:v>
      </x:c>
      <x:c r="Q138" s="22" t="str">
        <x:v>["S0421"]</x:v>
      </x:c>
      <x:c r="R138" s="22" t="str">
        <x:v>evidence/student_evidence.jsonl；student_key=2025秋:259422</x:v>
      </x:c>
      <x:c r="S138" s="27" t="str"/>
    </x:row>
    <x:row r="139" ht="48" customHeight="1">
      <x:c r="A139" s="21" t="str">
        <x:v>全量观察(探索)</x:v>
      </x:c>
      <x:c r="B139" s="22" t="str">
        <x:v>突破优先型</x:v>
      </x:c>
      <x:c r="C139" s="22" t="str">
        <x:v>后20%</x:v>
      </x:c>
      <x:c r="D139" s="22" t="str">
        <x:v>严格进入</x:v>
      </x:c>
      <x:c r="E139" s="22" t="str">
        <x:v>2025秋:259927</x:v>
      </x:c>
      <x:c r="F139" s="22" t="str">
        <x:v>s3</x:v>
      </x:c>
      <x:c r="G139" s="26" t="n">
        <x:v>162</x:v>
      </x:c>
      <x:c r="H139" s="25" t="n">
        <x:v>10</x:v>
      </x:c>
      <x:c r="I139" s="24" t="n">
        <x:v>1</x:v>
      </x:c>
      <x:c r="J139" s="24" t="n">
        <x:v>1</x:v>
      </x:c>
      <x:c r="K139" s="22" t="str">
        <x:v>否</x:v>
      </x:c>
      <x:c r="L139" s="22" t="n">
        <x:v>0</x:v>
      </x:c>
      <x:c r="M139" s="22" t="n">
        <x:v>0</x:v>
      </x:c>
      <x:c r="N139" s="22" t="n">
        <x:v>0</x:v>
      </x:c>
      <x:c r="O139" s="22" t="n">
        <x:v>10</x:v>
      </x:c>
      <x:c r="P139" s="24" t="n">
        <x:v>4</x:v>
      </x:c>
      <x:c r="Q139" s="22" t="str">
        <x:v>["S0271"]</x:v>
      </x:c>
      <x:c r="R139" s="22" t="str">
        <x:v>evidence/student_evidence.jsonl；student_key=2025秋:259927</x:v>
      </x:c>
      <x:c r="S139" s="27" t="str">
        <x:v>同一锚点起止1条：未形成独立重复测量。</x:v>
      </x:c>
    </x:row>
    <x:row r="140" ht="23" customHeight="1">
      <x:c r="A140" s="21" t="str">
        <x:v>全量观察(探索)</x:v>
      </x:c>
      <x:c r="B140" s="22" t="str">
        <x:v>突破优先型</x:v>
      </x:c>
      <x:c r="C140" s="22" t="str">
        <x:v>后20%</x:v>
      </x:c>
      <x:c r="D140" s="22" t="str">
        <x:v>严格进入</x:v>
      </x:c>
      <x:c r="E140" s="22" t="str">
        <x:v>2025秋:259958</x:v>
      </x:c>
      <x:c r="F140" s="22" t="str">
        <x:v>s3</x:v>
      </x:c>
      <x:c r="G140" s="26" t="n">
        <x:v>162</x:v>
      </x:c>
      <x:c r="H140" s="25" t="n">
        <x:v>10</x:v>
      </x:c>
      <x:c r="I140" s="24" t="n">
        <x:v>1</x:v>
      </x:c>
      <x:c r="J140" s="24" t="n">
        <x:v>1</x:v>
      </x:c>
      <x:c r="K140" s="22" t="str">
        <x:v>是</x:v>
      </x:c>
      <x:c r="L140" s="22" t="n">
        <x:v>0</x:v>
      </x:c>
      <x:c r="M140" s="22" t="n">
        <x:v>0</x:v>
      </x:c>
      <x:c r="N140" s="22" t="n">
        <x:v>0</x:v>
      </x:c>
      <x:c r="O140" s="22" t="n">
        <x:v>10</x:v>
      </x:c>
      <x:c r="P140" s="24" t="n">
        <x:v>4</x:v>
      </x:c>
      <x:c r="Q140" s="22" t="str">
        <x:v>["S0183"]</x:v>
      </x:c>
      <x:c r="R140" s="22" t="str">
        <x:v>evidence/student_evidence.jsonl；student_key=2025秋:259958</x:v>
      </x:c>
      <x:c r="S140" s="27" t="str"/>
    </x:row>
    <x:row r="141" ht="48" customHeight="1">
      <x:c r="A141" s="21" t="str">
        <x:v>全量观察(探索)</x:v>
      </x:c>
      <x:c r="B141" s="22" t="str">
        <x:v>突破优先型</x:v>
      </x:c>
      <x:c r="C141" s="22" t="str">
        <x:v>后20%</x:v>
      </x:c>
      <x:c r="D141" s="22" t="str">
        <x:v>严格进入</x:v>
      </x:c>
      <x:c r="E141" s="22" t="str">
        <x:v>2025秋:25A171</x:v>
      </x:c>
      <x:c r="F141" s="22" t="str">
        <x:v>s3</x:v>
      </x:c>
      <x:c r="G141" s="26" t="n">
        <x:v>162</x:v>
      </x:c>
      <x:c r="H141" s="25" t="n">
        <x:v>10</x:v>
      </x:c>
      <x:c r="I141" s="24" t="n">
        <x:v>1</x:v>
      </x:c>
      <x:c r="J141" s="24" t="n">
        <x:v>1</x:v>
      </x:c>
      <x:c r="K141" s="22" t="str">
        <x:v>是</x:v>
      </x:c>
      <x:c r="L141" s="22" t="n">
        <x:v>0</x:v>
      </x:c>
      <x:c r="M141" s="22" t="n">
        <x:v>0</x:v>
      </x:c>
      <x:c r="N141" s="22" t="n">
        <x:v>0</x:v>
      </x:c>
      <x:c r="O141" s="22" t="n">
        <x:v>10</x:v>
      </x:c>
      <x:c r="P141" s="24" t="n">
        <x:v>4</x:v>
      </x:c>
      <x:c r="Q141" s="22" t="str">
        <x:v>["S0258"]</x:v>
      </x:c>
      <x:c r="R141" s="22" t="str">
        <x:v>evidence/student_evidence.jsonl；student_key=2025秋:25A171</x:v>
      </x:c>
      <x:c r="S141" s="27" t="str">
        <x:v>同一锚点起止1条：未形成独立重复测量。</x:v>
      </x:c>
    </x:row>
    <x:row r="142" ht="48" customHeight="1">
      <x:c r="A142" s="21" t="str">
        <x:v>全量观察(探索)</x:v>
      </x:c>
      <x:c r="B142" s="22" t="str">
        <x:v>突破优先型</x:v>
      </x:c>
      <x:c r="C142" s="22" t="str">
        <x:v>后20%</x:v>
      </x:c>
      <x:c r="D142" s="22" t="str">
        <x:v>严格进入</x:v>
      </x:c>
      <x:c r="E142" s="22" t="str">
        <x:v>2026春:250845</x:v>
      </x:c>
      <x:c r="F142" s="22" t="str">
        <x:v>s6</x:v>
      </x:c>
      <x:c r="G142" s="26" t="n">
        <x:v>162</x:v>
      </x:c>
      <x:c r="H142" s="25" t="n">
        <x:v>10</x:v>
      </x:c>
      <x:c r="I142" s="24" t="n">
        <x:v>1</x:v>
      </x:c>
      <x:c r="J142" s="24" t="n">
        <x:v>1</x:v>
      </x:c>
      <x:c r="K142" s="22" t="str">
        <x:v>是</x:v>
      </x:c>
      <x:c r="L142" s="22" t="n">
        <x:v>0</x:v>
      </x:c>
      <x:c r="M142" s="22" t="n">
        <x:v>0</x:v>
      </x:c>
      <x:c r="N142" s="22" t="n">
        <x:v>0</x:v>
      </x:c>
      <x:c r="O142" s="22" t="n">
        <x:v>10</x:v>
      </x:c>
      <x:c r="P142" s="24" t="n">
        <x:v>4</x:v>
      </x:c>
      <x:c r="Q142" s="22" t="str">
        <x:v>["S0825"]</x:v>
      </x:c>
      <x:c r="R142" s="22" t="str">
        <x:v>evidence/student_evidence.jsonl；student_key=2026春:250845</x:v>
      </x:c>
      <x:c r="S142" s="27" t="str">
        <x:v>同一锚点起止1条：未形成独立重复测量。</x:v>
      </x:c>
    </x:row>
    <x:row r="143" ht="23" customHeight="1">
      <x:c r="A143" s="21" t="str">
        <x:v>全量观察(探索)</x:v>
      </x:c>
      <x:c r="B143" s="22" t="str">
        <x:v>突破优先型</x:v>
      </x:c>
      <x:c r="C143" s="22" t="str">
        <x:v>后20%</x:v>
      </x:c>
      <x:c r="D143" s="22" t="str">
        <x:v>严格进入</x:v>
      </x:c>
      <x:c r="E143" s="22" t="str">
        <x:v>2026春:258955</x:v>
      </x:c>
      <x:c r="F143" s="22" t="str">
        <x:v>s3</x:v>
      </x:c>
      <x:c r="G143" s="26" t="n">
        <x:v>162</x:v>
      </x:c>
      <x:c r="H143" s="25" t="n">
        <x:v>10</x:v>
      </x:c>
      <x:c r="I143" s="24" t="n">
        <x:v>1</x:v>
      </x:c>
      <x:c r="J143" s="24" t="n">
        <x:v>1</x:v>
      </x:c>
      <x:c r="K143" s="22" t="str">
        <x:v>是</x:v>
      </x:c>
      <x:c r="L143" s="22" t="n">
        <x:v>0</x:v>
      </x:c>
      <x:c r="M143" s="22" t="n">
        <x:v>0</x:v>
      </x:c>
      <x:c r="N143" s="22" t="n">
        <x:v>0</x:v>
      </x:c>
      <x:c r="O143" s="22" t="n">
        <x:v>10</x:v>
      </x:c>
      <x:c r="P143" s="24" t="n">
        <x:v>4</x:v>
      </x:c>
      <x:c r="Q143" s="22" t="str">
        <x:v>["S0838"]</x:v>
      </x:c>
      <x:c r="R143" s="22" t="str">
        <x:v>evidence/student_evidence.jsonl；student_key=2026春:258955</x:v>
      </x:c>
      <x:c r="S143" s="27" t="str"/>
    </x:row>
    <x:row r="144" ht="23" customHeight="1">
      <x:c r="A144" s="21" t="str">
        <x:v>全量观察(探索)</x:v>
      </x:c>
      <x:c r="B144" s="22" t="str">
        <x:v>突破优先型</x:v>
      </x:c>
      <x:c r="C144" s="22" t="str">
        <x:v>后20%</x:v>
      </x:c>
      <x:c r="D144" s="22" t="str">
        <x:v>严格进入</x:v>
      </x:c>
      <x:c r="E144" s="22" t="str">
        <x:v>2026春:268176</x:v>
      </x:c>
      <x:c r="F144" s="22" t="str">
        <x:v>s3</x:v>
      </x:c>
      <x:c r="G144" s="26" t="n">
        <x:v>162</x:v>
      </x:c>
      <x:c r="H144" s="25" t="n">
        <x:v>10</x:v>
      </x:c>
      <x:c r="I144" s="24" t="n">
        <x:v>1</x:v>
      </x:c>
      <x:c r="J144" s="24" t="n">
        <x:v>1</x:v>
      </x:c>
      <x:c r="K144" s="22" t="str">
        <x:v>是</x:v>
      </x:c>
      <x:c r="L144" s="22" t="n">
        <x:v>0</x:v>
      </x:c>
      <x:c r="M144" s="22" t="n">
        <x:v>0</x:v>
      </x:c>
      <x:c r="N144" s="22" t="n">
        <x:v>0</x:v>
      </x:c>
      <x:c r="O144" s="22" t="n">
        <x:v>10</x:v>
      </x:c>
      <x:c r="P144" s="24" t="n">
        <x:v>4</x:v>
      </x:c>
      <x:c r="Q144" s="22" t="str">
        <x:v>["S1047"]</x:v>
      </x:c>
      <x:c r="R144" s="22" t="str">
        <x:v>evidence/student_evidence.jsonl；student_key=2026春:268176</x:v>
      </x:c>
      <x:c r="S144" s="27" t="str"/>
    </x:row>
    <x:row r="145" ht="23" customHeight="1">
      <x:c r="A145" s="21" t="str">
        <x:v>全量观察(探索)</x:v>
      </x:c>
      <x:c r="B145" s="22" t="str">
        <x:v>突破优先型</x:v>
      </x:c>
      <x:c r="C145" s="22" t="str">
        <x:v>后20%</x:v>
      </x:c>
      <x:c r="D145" s="22" t="str">
        <x:v>严格进入</x:v>
      </x:c>
      <x:c r="E145" s="22" t="str">
        <x:v>2026春:268538</x:v>
      </x:c>
      <x:c r="F145" s="22" t="str">
        <x:v>s3</x:v>
      </x:c>
      <x:c r="G145" s="26" t="n">
        <x:v>162</x:v>
      </x:c>
      <x:c r="H145" s="25" t="n">
        <x:v>10</x:v>
      </x:c>
      <x:c r="I145" s="24" t="n">
        <x:v>1</x:v>
      </x:c>
      <x:c r="J145" s="24" t="n">
        <x:v>1</x:v>
      </x:c>
      <x:c r="K145" s="22" t="str">
        <x:v>是</x:v>
      </x:c>
      <x:c r="L145" s="22" t="n">
        <x:v>0</x:v>
      </x:c>
      <x:c r="M145" s="22" t="n">
        <x:v>0</x:v>
      </x:c>
      <x:c r="N145" s="22" t="n">
        <x:v>0</x:v>
      </x:c>
      <x:c r="O145" s="22" t="n">
        <x:v>10</x:v>
      </x:c>
      <x:c r="P145" s="24" t="n">
        <x:v>4</x:v>
      </x:c>
      <x:c r="Q145" s="22" t="str">
        <x:v>["S1276"]</x:v>
      </x:c>
      <x:c r="R145" s="22" t="str">
        <x:v>evidence/student_evidence.jsonl；student_key=2026春:268538</x:v>
      </x:c>
      <x:c r="S145" s="27" t="str"/>
    </x:row>
    <x:row r="146" ht="48" customHeight="1">
      <x:c r="A146" s="21" t="str">
        <x:v>全量观察(探索)</x:v>
      </x:c>
      <x:c r="B146" s="22" t="str">
        <x:v>突破优先型</x:v>
      </x:c>
      <x:c r="C146" s="22" t="str">
        <x:v>后20%</x:v>
      </x:c>
      <x:c r="D146" s="22" t="str">
        <x:v>严格进入</x:v>
      </x:c>
      <x:c r="E146" s="22" t="str">
        <x:v>2025秋:258269</x:v>
      </x:c>
      <x:c r="F146" s="22" t="str">
        <x:v>s3</x:v>
      </x:c>
      <x:c r="G146" s="26" t="n">
        <x:v>173.5</x:v>
      </x:c>
      <x:c r="H146" s="25" t="n">
        <x:v>6.666666666666667</x:v>
      </x:c>
      <x:c r="I146" s="24" t="n">
        <x:v>1</x:v>
      </x:c>
      <x:c r="J146" s="24" t="n">
        <x:v>1</x:v>
      </x:c>
      <x:c r="K146" s="22" t="str">
        <x:v>否</x:v>
      </x:c>
      <x:c r="L146" s="22" t="n">
        <x:v>0</x:v>
      </x:c>
      <x:c r="M146" s="22" t="n">
        <x:v>0</x:v>
      </x:c>
      <x:c r="N146" s="22" t="n">
        <x:v>0</x:v>
      </x:c>
      <x:c r="O146" s="22" t="n">
        <x:v>6.666666666666666</x:v>
      </x:c>
      <x:c r="P146" s="24" t="n">
        <x:v>4</x:v>
      </x:c>
      <x:c r="Q146" s="22" t="str">
        <x:v>["S0297"]</x:v>
      </x:c>
      <x:c r="R146" s="22" t="str">
        <x:v>evidence/student_evidence.jsonl；student_key=2025秋:258269</x:v>
      </x:c>
      <x:c r="S146" s="27" t="str">
        <x:v>同一锚点起止1条：未形成独立重复测量。</x:v>
      </x:c>
    </x:row>
    <x:row r="147" ht="23" customHeight="1">
      <x:c r="A147" s="21" t="str">
        <x:v>全量观察(探索)</x:v>
      </x:c>
      <x:c r="B147" s="22" t="str">
        <x:v>突破优先型</x:v>
      </x:c>
      <x:c r="C147" s="22" t="str">
        <x:v>后20%</x:v>
      </x:c>
      <x:c r="D147" s="22" t="str">
        <x:v>严格进入</x:v>
      </x:c>
      <x:c r="E147" s="22" t="str">
        <x:v>2025秋:259001</x:v>
      </x:c>
      <x:c r="F147" s="22" t="str">
        <x:v>s3</x:v>
      </x:c>
      <x:c r="G147" s="26" t="n">
        <x:v>173.5</x:v>
      </x:c>
      <x:c r="H147" s="25" t="n">
        <x:v>6.666666666666667</x:v>
      </x:c>
      <x:c r="I147" s="24" t="n">
        <x:v>1</x:v>
      </x:c>
      <x:c r="J147" s="24" t="n">
        <x:v>1</x:v>
      </x:c>
      <x:c r="K147" s="22" t="str">
        <x:v>否</x:v>
      </x:c>
      <x:c r="L147" s="22" t="n">
        <x:v>0</x:v>
      </x:c>
      <x:c r="M147" s="22" t="n">
        <x:v>0</x:v>
      </x:c>
      <x:c r="N147" s="22" t="n">
        <x:v>0</x:v>
      </x:c>
      <x:c r="O147" s="22" t="n">
        <x:v>6.666666666666666</x:v>
      </x:c>
      <x:c r="P147" s="24" t="n">
        <x:v>4</x:v>
      </x:c>
      <x:c r="Q147" s="22" t="str">
        <x:v>["S0159"]</x:v>
      </x:c>
      <x:c r="R147" s="22" t="str">
        <x:v>evidence/student_evidence.jsonl；student_key=2025秋:259001</x:v>
      </x:c>
      <x:c r="S147" s="27" t="str"/>
    </x:row>
    <x:row r="148" ht="48" customHeight="1">
      <x:c r="A148" s="21" t="str">
        <x:v>全量观察(探索)</x:v>
      </x:c>
      <x:c r="B148" s="22" t="str">
        <x:v>质量导向型（教学诊断对照）</x:v>
      </x:c>
      <x:c r="C148" s="22" t="str">
        <x:v>前20%</x:v>
      </x:c>
      <x:c r="D148" s="22" t="str">
        <x:v>严格进入</x:v>
      </x:c>
      <x:c r="E148" s="22" t="str">
        <x:v>2025秋:259329</x:v>
      </x:c>
      <x:c r="F148" s="22" t="str">
        <x:v>s6</x:v>
      </x:c>
      <x:c r="G148" s="26" t="n">
        <x:v>1</x:v>
      </x:c>
      <x:c r="H148" s="25" t="n">
        <x:v>68.66666666666667</x:v>
      </x:c>
      <x:c r="I148" s="24" t="n">
        <x:v>1</x:v>
      </x:c>
      <x:c r="J148" s="24" t="n">
        <x:v>1</x:v>
      </x:c>
      <x:c r="K148" s="22" t="str">
        <x:v>是</x:v>
      </x:c>
      <x:c r="L148" s="22" t="n">
        <x:v>1.6666666666666667</x:v>
      </x:c>
      <x:c r="M148" s="22" t="n">
        <x:v>24</x:v>
      </x:c>
      <x:c r="N148" s="22" t="n">
        <x:v>8</x:v>
      </x:c>
      <x:c r="O148" s="22" t="n">
        <x:v>35</x:v>
      </x:c>
      <x:c r="P148" s="24" t="n">
        <x:v>4</x:v>
      </x:c>
      <x:c r="Q148" s="22" t="str">
        <x:v>["S0112"]</x:v>
      </x:c>
      <x:c r="R148" s="22" t="str">
        <x:v>evidence/student_evidence.jsonl；student_key=2025秋:259329</x:v>
      </x:c>
      <x:c r="S148" s="27" t="str">
        <x:v>S0112库存案例为文字框架，未见完整方程、求解及验证；L6构造要求需复核。</x:v>
      </x:c>
    </x:row>
    <x:row r="149" ht="48" customHeight="1">
      <x:c r="A149" s="21" t="str">
        <x:v>全量观察(探索)</x:v>
      </x:c>
      <x:c r="B149" s="22" t="str">
        <x:v>质量导向型（教学诊断对照）</x:v>
      </x:c>
      <x:c r="C149" s="22" t="str">
        <x:v>前20%</x:v>
      </x:c>
      <x:c r="D149" s="22" t="str">
        <x:v>严格进入</x:v>
      </x:c>
      <x:c r="E149" s="22" t="str">
        <x:v>2025秋:259869</x:v>
      </x:c>
      <x:c r="F149" s="22" t="str">
        <x:v>s6</x:v>
      </x:c>
      <x:c r="G149" s="26" t="n">
        <x:v>2</x:v>
      </x:c>
      <x:c r="H149" s="25" t="n">
        <x:v>59.58333333333332</x:v>
      </x:c>
      <x:c r="I149" s="24" t="n">
        <x:v>1</x:v>
      </x:c>
      <x:c r="J149" s="24" t="n">
        <x:v>1</x:v>
      </x:c>
      <x:c r="K149" s="22" t="str">
        <x:v>是</x:v>
      </x:c>
      <x:c r="L149" s="22" t="n">
        <x:v>2.083333333333333</x:v>
      </x:c>
      <x:c r="M149" s="22" t="n">
        <x:v>30</x:v>
      </x:c>
      <x:c r="N149" s="22" t="n">
        <x:v>10</x:v>
      </x:c>
      <x:c r="O149" s="22" t="n">
        <x:v>17.5</x:v>
      </x:c>
      <x:c r="P149" s="24" t="n">
        <x:v>4</x:v>
      </x:c>
      <x:c r="Q149" s="22" t="str">
        <x:v>["S0220"]</x:v>
      </x:c>
      <x:c r="R149" s="22" t="str">
        <x:v>evidence/student_evidence.jsonl；student_key=2025秋:259869</x:v>
      </x:c>
      <x:c r="S149" s="27" t="str">
        <x:v>S0220 L1→L6。高点为无人机局部方案，未见独立求解及最优性验证；L6充分性待复核。</x:v>
      </x:c>
    </x:row>
    <x:row r="150" ht="23" customHeight="1">
      <x:c r="A150" s="21" t="str">
        <x:v>全量观察(探索)</x:v>
      </x:c>
      <x:c r="B150" s="22" t="str">
        <x:v>质量导向型（教学诊断对照）</x:v>
      </x:c>
      <x:c r="C150" s="22" t="str">
        <x:v>前20%</x:v>
      </x:c>
      <x:c r="D150" s="22" t="str">
        <x:v>严格进入</x:v>
      </x:c>
      <x:c r="E150" s="22" t="str">
        <x:v>2025秋:258902</x:v>
      </x:c>
      <x:c r="F150" s="22" t="str">
        <x:v>s3</x:v>
      </x:c>
      <x:c r="G150" s="26" t="n">
        <x:v>3.5</x:v>
      </x:c>
      <x:c r="H150" s="25" t="n">
        <x:v>56.15562406855439</x:v>
      </x:c>
      <x:c r="I150" s="24" t="n">
        <x:v>1</x:v>
      </x:c>
      <x:c r="J150" s="24" t="n">
        <x:v>1</x:v>
      </x:c>
      <x:c r="K150" s="22" t="str">
        <x:v>是</x:v>
      </x:c>
      <x:c r="L150" s="22" t="n">
        <x:v>1.0473081222056633</x:v>
      </x:c>
      <x:c r="M150" s="22" t="n">
        <x:v>15.081236959761549</x:v>
      </x:c>
      <x:c r="N150" s="22" t="n">
        <x:v>5.027078986587184</x:v>
      </x:c>
      <x:c r="O150" s="22" t="n">
        <x:v>35</x:v>
      </x:c>
      <x:c r="P150" s="24" t="n">
        <x:v>4</x:v>
      </x:c>
      <x:c r="Q150" s="22" t="str">
        <x:v>["S0149"]</x:v>
      </x:c>
      <x:c r="R150" s="22" t="str">
        <x:v>evidence/student_evidence.jsonl；student_key=2025秋:258902</x:v>
      </x:c>
      <x:c r="S150" s="27" t="str"/>
    </x:row>
    <x:row r="151" ht="23" customHeight="1">
      <x:c r="A151" s="21" t="str">
        <x:v>全量观察(探索)</x:v>
      </x:c>
      <x:c r="B151" s="22" t="str">
        <x:v>质量导向型（教学诊断对照）</x:v>
      </x:c>
      <x:c r="C151" s="22" t="str">
        <x:v>前20%</x:v>
      </x:c>
      <x:c r="D151" s="22" t="str">
        <x:v>严格进入</x:v>
      </x:c>
      <x:c r="E151" s="22" t="str">
        <x:v>2025秋:259407</x:v>
      </x:c>
      <x:c r="F151" s="22" t="str">
        <x:v>s3</x:v>
      </x:c>
      <x:c r="G151" s="26" t="n">
        <x:v>3.5</x:v>
      </x:c>
      <x:c r="H151" s="25" t="n">
        <x:v>56.15562406855439</x:v>
      </x:c>
      <x:c r="I151" s="24" t="n">
        <x:v>1</x:v>
      </x:c>
      <x:c r="J151" s="24" t="n">
        <x:v>1</x:v>
      </x:c>
      <x:c r="K151" s="22" t="str">
        <x:v>是</x:v>
      </x:c>
      <x:c r="L151" s="22" t="n">
        <x:v>1.0473081222056633</x:v>
      </x:c>
      <x:c r="M151" s="22" t="n">
        <x:v>15.081236959761549</x:v>
      </x:c>
      <x:c r="N151" s="22" t="n">
        <x:v>5.027078986587184</x:v>
      </x:c>
      <x:c r="O151" s="22" t="n">
        <x:v>35</x:v>
      </x:c>
      <x:c r="P151" s="24" t="n">
        <x:v>4</x:v>
      </x:c>
      <x:c r="Q151" s="22" t="str">
        <x:v>["S0036"]</x:v>
      </x:c>
      <x:c r="R151" s="22" t="str">
        <x:v>evidence/student_evidence.jsonl；student_key=2025秋:259407</x:v>
      </x:c>
      <x:c r="S151" s="27" t="str"/>
    </x:row>
    <x:row r="152" ht="23" customHeight="1">
      <x:c r="A152" s="21" t="str">
        <x:v>全量观察(探索)</x:v>
      </x:c>
      <x:c r="B152" s="22" t="str">
        <x:v>质量导向型（教学诊断对照）</x:v>
      </x:c>
      <x:c r="C152" s="22" t="str">
        <x:v>前20%</x:v>
      </x:c>
      <x:c r="D152" s="22" t="str">
        <x:v>严格进入</x:v>
      </x:c>
      <x:c r="E152" s="22" t="str">
        <x:v>2025秋:259021</x:v>
      </x:c>
      <x:c r="F152" s="22" t="str">
        <x:v>s3</x:v>
      </x:c>
      <x:c r="G152" s="26" t="n">
        <x:v>5.5</x:v>
      </x:c>
      <x:c r="H152" s="25" t="n">
        <x:v>55.87945305404516</x:v>
      </x:c>
      <x:c r="I152" s="24" t="n">
        <x:v>1</x:v>
      </x:c>
      <x:c r="J152" s="24" t="n">
        <x:v>1</x:v>
      </x:c>
      <x:c r="K152" s="22" t="str">
        <x:v>是</x:v>
      </x:c>
      <x:c r="L152" s="22" t="n">
        <x:v>1.0336362898042162</x:v>
      </x:c>
      <x:c r="M152" s="22" t="n">
        <x:v>14.884362573180713</x:v>
      </x:c>
      <x:c r="N152" s="22" t="n">
        <x:v>4.961454191060238</x:v>
      </x:c>
      <x:c r="O152" s="22" t="n">
        <x:v>35</x:v>
      </x:c>
      <x:c r="P152" s="24" t="n">
        <x:v>4</x:v>
      </x:c>
      <x:c r="Q152" s="22" t="str">
        <x:v>["S0464"]</x:v>
      </x:c>
      <x:c r="R152" s="22" t="str">
        <x:v>evidence/student_evidence.jsonl；student_key=2025秋:259021</x:v>
      </x:c>
      <x:c r="S152" s="27" t="str"/>
    </x:row>
    <x:row r="153" ht="23" customHeight="1">
      <x:c r="A153" s="21" t="str">
        <x:v>全量观察(探索)</x:v>
      </x:c>
      <x:c r="B153" s="22" t="str">
        <x:v>质量导向型（教学诊断对照）</x:v>
      </x:c>
      <x:c r="C153" s="22" t="str">
        <x:v>前20%</x:v>
      </x:c>
      <x:c r="D153" s="22" t="str">
        <x:v>严格进入</x:v>
      </x:c>
      <x:c r="E153" s="22" t="str">
        <x:v>2025秋:25A081</x:v>
      </x:c>
      <x:c r="F153" s="22" t="str">
        <x:v>s3</x:v>
      </x:c>
      <x:c r="G153" s="26" t="n">
        <x:v>5.5</x:v>
      </x:c>
      <x:c r="H153" s="25" t="n">
        <x:v>55.87945305404516</x:v>
      </x:c>
      <x:c r="I153" s="24" t="n">
        <x:v>1</x:v>
      </x:c>
      <x:c r="J153" s="24" t="n">
        <x:v>1</x:v>
      </x:c>
      <x:c r="K153" s="22" t="str">
        <x:v>是</x:v>
      </x:c>
      <x:c r="L153" s="22" t="n">
        <x:v>1.0336362898042162</x:v>
      </x:c>
      <x:c r="M153" s="22" t="n">
        <x:v>14.884362573180713</x:v>
      </x:c>
      <x:c r="N153" s="22" t="n">
        <x:v>4.961454191060238</x:v>
      </x:c>
      <x:c r="O153" s="22" t="n">
        <x:v>35</x:v>
      </x:c>
      <x:c r="P153" s="24" t="n">
        <x:v>4</x:v>
      </x:c>
      <x:c r="Q153" s="22" t="str">
        <x:v>["S0411"]</x:v>
      </x:c>
      <x:c r="R153" s="22" t="str">
        <x:v>evidence/student_evidence.jsonl；student_key=2025秋:25A081</x:v>
      </x:c>
      <x:c r="S153" s="27" t="str"/>
    </x:row>
    <x:row r="154" ht="23" customHeight="1">
      <x:c r="A154" s="21" t="str">
        <x:v>全量观察(探索)</x:v>
      </x:c>
      <x:c r="B154" s="22" t="str">
        <x:v>质量导向型（教学诊断对照）</x:v>
      </x:c>
      <x:c r="C154" s="22" t="str">
        <x:v>前20%</x:v>
      </x:c>
      <x:c r="D154" s="22" t="str">
        <x:v>严格进入</x:v>
      </x:c>
      <x:c r="E154" s="22" t="str">
        <x:v>2025秋:259401</x:v>
      </x:c>
      <x:c r="F154" s="22" t="str">
        <x:v>s3</x:v>
      </x:c>
      <x:c r="G154" s="26" t="n">
        <x:v>7.5</x:v>
      </x:c>
      <x:c r="H154" s="25" t="n">
        <x:v>55.75172254266392</x:v>
      </x:c>
      <x:c r="I154" s="24" t="n">
        <x:v>1</x:v>
      </x:c>
      <x:c r="J154" s="24" t="n">
        <x:v>1</x:v>
      </x:c>
      <x:c r="K154" s="22" t="str">
        <x:v>否</x:v>
      </x:c>
      <x:c r="L154" s="22" t="n">
        <x:v>1.0273129971615806</x:v>
      </x:c>
      <x:c r="M154" s="22" t="n">
        <x:v>14.793307159126758</x:v>
      </x:c>
      <x:c r="N154" s="22" t="n">
        <x:v>4.931102386375587</x:v>
      </x:c>
      <x:c r="O154" s="22" t="n">
        <x:v>35</x:v>
      </x:c>
      <x:c r="P154" s="24" t="n">
        <x:v>4</x:v>
      </x:c>
      <x:c r="Q154" s="22" t="str">
        <x:v>["S0378"]</x:v>
      </x:c>
      <x:c r="R154" s="22" t="str">
        <x:v>evidence/student_evidence.jsonl；student_key=2025秋:259401</x:v>
      </x:c>
      <x:c r="S154" s="27" t="str"/>
    </x:row>
    <x:row r="155" ht="23" customHeight="1">
      <x:c r="A155" s="21" t="str">
        <x:v>全量观察(探索)</x:v>
      </x:c>
      <x:c r="B155" s="22" t="str">
        <x:v>质量导向型（教学诊断对照）</x:v>
      </x:c>
      <x:c r="C155" s="22" t="str">
        <x:v>前20%</x:v>
      </x:c>
      <x:c r="D155" s="22" t="str">
        <x:v>严格进入</x:v>
      </x:c>
      <x:c r="E155" s="22" t="str">
        <x:v>2025秋:259961</x:v>
      </x:c>
      <x:c r="F155" s="22" t="str">
        <x:v>s3</x:v>
      </x:c>
      <x:c r="G155" s="26" t="n">
        <x:v>7.5</x:v>
      </x:c>
      <x:c r="H155" s="25" t="n">
        <x:v>55.75172254266392</x:v>
      </x:c>
      <x:c r="I155" s="24" t="n">
        <x:v>1</x:v>
      </x:c>
      <x:c r="J155" s="24" t="n">
        <x:v>1</x:v>
      </x:c>
      <x:c r="K155" s="22" t="str">
        <x:v>是</x:v>
      </x:c>
      <x:c r="L155" s="22" t="n">
        <x:v>1.0273129971615806</x:v>
      </x:c>
      <x:c r="M155" s="22" t="n">
        <x:v>14.793307159126758</x:v>
      </x:c>
      <x:c r="N155" s="22" t="n">
        <x:v>4.931102386375587</x:v>
      </x:c>
      <x:c r="O155" s="22" t="n">
        <x:v>35</x:v>
      </x:c>
      <x:c r="P155" s="24" t="n">
        <x:v>4</x:v>
      </x:c>
      <x:c r="Q155" s="22" t="str">
        <x:v>["S0296"]</x:v>
      </x:c>
      <x:c r="R155" s="22" t="str">
        <x:v>evidence/student_evidence.jsonl；student_key=2025秋:259961</x:v>
      </x:c>
      <x:c r="S155" s="27" t="str"/>
    </x:row>
    <x:row r="156" ht="23" customHeight="1">
      <x:c r="A156" s="21" t="str">
        <x:v>全量观察(探索)</x:v>
      </x:c>
      <x:c r="B156" s="22" t="str">
        <x:v>质量导向型（教学诊断对照）</x:v>
      </x:c>
      <x:c r="C156" s="22" t="str">
        <x:v>前20%</x:v>
      </x:c>
      <x:c r="D156" s="22" t="str">
        <x:v>严格进入</x:v>
      </x:c>
      <x:c r="E156" s="22" t="str">
        <x:v>2025秋:25A134</x:v>
      </x:c>
      <x:c r="F156" s="22" t="str">
        <x:v>s3</x:v>
      </x:c>
      <x:c r="G156" s="26" t="n">
        <x:v>9</x:v>
      </x:c>
      <x:c r="H156" s="25" t="n">
        <x:v>55.52300694565111</x:v>
      </x:c>
      <x:c r="I156" s="24" t="n">
        <x:v>1</x:v>
      </x:c>
      <x:c r="J156" s="24" t="n">
        <x:v>1</x:v>
      </x:c>
      <x:c r="K156" s="22" t="str">
        <x:v>是</x:v>
      </x:c>
      <x:c r="L156" s="22" t="n">
        <x:v>1.0159904428540152</x:v>
      </x:c>
      <x:c r="M156" s="22" t="n">
        <x:v>14.630262377097818</x:v>
      </x:c>
      <x:c r="N156" s="22" t="n">
        <x:v>4.876754125699273</x:v>
      </x:c>
      <x:c r="O156" s="22" t="n">
        <x:v>35</x:v>
      </x:c>
      <x:c r="P156" s="24" t="n">
        <x:v>4</x:v>
      </x:c>
      <x:c r="Q156" s="22" t="str">
        <x:v>["S0311"]</x:v>
      </x:c>
      <x:c r="R156" s="22" t="str">
        <x:v>evidence/student_evidence.jsonl；student_key=2025秋:25A134</x:v>
      </x:c>
      <x:c r="S156" s="27" t="str"/>
    </x:row>
    <x:row r="157" ht="23" customHeight="1">
      <x:c r="A157" s="21" t="str">
        <x:v>全量观察(探索)</x:v>
      </x:c>
      <x:c r="B157" s="22" t="str">
        <x:v>质量导向型（教学诊断对照）</x:v>
      </x:c>
      <x:c r="C157" s="22" t="str">
        <x:v>前20%</x:v>
      </x:c>
      <x:c r="D157" s="22" t="str">
        <x:v>严格进入</x:v>
      </x:c>
      <x:c r="E157" s="22" t="str">
        <x:v>2025秋:258878</x:v>
      </x:c>
      <x:c r="F157" s="22" t="str">
        <x:v>s3</x:v>
      </x:c>
      <x:c r="G157" s="26" t="n">
        <x:v>10.5</x:v>
      </x:c>
      <x:c r="H157" s="25" t="n">
        <x:v>55.49564988836476</x:v>
      </x:c>
      <x:c r="I157" s="24" t="n">
        <x:v>1</x:v>
      </x:c>
      <x:c r="J157" s="24" t="n">
        <x:v>1</x:v>
      </x:c>
      <x:c r="K157" s="22" t="str">
        <x:v>是</x:v>
      </x:c>
      <x:c r="L157" s="22" t="n">
        <x:v>1.0146361330873643</x:v>
      </x:c>
      <x:c r="M157" s="22" t="n">
        <x:v>14.610760316458045</x:v>
      </x:c>
      <x:c r="N157" s="22" t="n">
        <x:v>4.870253438819349</x:v>
      </x:c>
      <x:c r="O157" s="22" t="n">
        <x:v>35</x:v>
      </x:c>
      <x:c r="P157" s="24" t="n">
        <x:v>4</x:v>
      </x:c>
      <x:c r="Q157" s="22" t="str">
        <x:v>["S0364"]</x:v>
      </x:c>
      <x:c r="R157" s="22" t="str">
        <x:v>evidence/student_evidence.jsonl；student_key=2025秋:258878</x:v>
      </x:c>
      <x:c r="S157" s="27" t="str"/>
    </x:row>
    <x:row r="158" ht="23" customHeight="1">
      <x:c r="A158" s="21" t="str">
        <x:v>全量观察(探索)</x:v>
      </x:c>
      <x:c r="B158" s="22" t="str">
        <x:v>质量导向型（教学诊断对照）</x:v>
      </x:c>
      <x:c r="C158" s="22" t="str">
        <x:v>前20%</x:v>
      </x:c>
      <x:c r="D158" s="22" t="str">
        <x:v>严格进入</x:v>
      </x:c>
      <x:c r="E158" s="22" t="str">
        <x:v>2025秋:258888</x:v>
      </x:c>
      <x:c r="F158" s="22" t="str">
        <x:v>s3</x:v>
      </x:c>
      <x:c r="G158" s="26" t="n">
        <x:v>10.5</x:v>
      </x:c>
      <x:c r="H158" s="25" t="n">
        <x:v>55.49564988836476</x:v>
      </x:c>
      <x:c r="I158" s="24" t="n">
        <x:v>2</x:v>
      </x:c>
      <x:c r="J158" s="24" t="n">
        <x:v>1</x:v>
      </x:c>
      <x:c r="K158" s="22" t="str">
        <x:v>是</x:v>
      </x:c>
      <x:c r="L158" s="22" t="n">
        <x:v>1.0146361330873643</x:v>
      </x:c>
      <x:c r="M158" s="22" t="n">
        <x:v>14.610760316458045</x:v>
      </x:c>
      <x:c r="N158" s="22" t="n">
        <x:v>4.870253438819349</x:v>
      </x:c>
      <x:c r="O158" s="22" t="n">
        <x:v>35</x:v>
      </x:c>
      <x:c r="P158" s="24" t="n">
        <x:v>4</x:v>
      </x:c>
      <x:c r="Q158" s="22" t="str">
        <x:v>["S0190","S0365"]</x:v>
      </x:c>
      <x:c r="R158" s="22" t="str">
        <x:v>evidence/student_evidence.jsonl；student_key=2025秋:258888</x:v>
      </x:c>
      <x:c r="S158" s="27" t="str"/>
    </x:row>
    <x:row r="159" ht="23" customHeight="1">
      <x:c r="A159" s="21" t="str">
        <x:v>全量观察(探索)</x:v>
      </x:c>
      <x:c r="B159" s="22" t="str">
        <x:v>质量导向型（教学诊断对照）</x:v>
      </x:c>
      <x:c r="C159" s="22" t="str">
        <x:v>前20%</x:v>
      </x:c>
      <x:c r="D159" s="22" t="str">
        <x:v>严格进入</x:v>
      </x:c>
      <x:c r="E159" s="22" t="str">
        <x:v>2025秋:258988</x:v>
      </x:c>
      <x:c r="F159" s="22" t="str">
        <x:v>s3</x:v>
      </x:c>
      <x:c r="G159" s="26" t="n">
        <x:v>12</x:v>
      </x:c>
      <x:c r="H159" s="25" t="n">
        <x:v>55.33353385533369</x:v>
      </x:c>
      <x:c r="I159" s="24" t="n">
        <x:v>1</x:v>
      </x:c>
      <x:c r="J159" s="24" t="n">
        <x:v>1</x:v>
      </x:c>
      <x:c r="K159" s="22" t="str">
        <x:v>是</x:v>
      </x:c>
      <x:c r="L159" s="22" t="n">
        <x:v>1.006610586897708</x:v>
      </x:c>
      <x:c r="M159" s="22" t="n">
        <x:v>14.495192451326995</x:v>
      </x:c>
      <x:c r="N159" s="22" t="n">
        <x:v>4.8317308171089985</x:v>
      </x:c>
      <x:c r="O159" s="22" t="n">
        <x:v>35</x:v>
      </x:c>
      <x:c r="P159" s="24" t="n">
        <x:v>4</x:v>
      </x:c>
      <x:c r="Q159" s="22" t="str">
        <x:v>["S0315"]</x:v>
      </x:c>
      <x:c r="R159" s="22" t="str">
        <x:v>evidence/student_evidence.jsonl；student_key=2025秋:258988</x:v>
      </x:c>
      <x:c r="S159" s="27" t="str"/>
    </x:row>
    <x:row r="160" ht="23" customHeight="1">
      <x:c r="A160" s="21" t="str">
        <x:v>全量观察(探索)</x:v>
      </x:c>
      <x:c r="B160" s="22" t="str">
        <x:v>质量导向型（教学诊断对照）</x:v>
      </x:c>
      <x:c r="C160" s="22" t="str">
        <x:v>前20%</x:v>
      </x:c>
      <x:c r="D160" s="22" t="str">
        <x:v>严格进入</x:v>
      </x:c>
      <x:c r="E160" s="22" t="str">
        <x:v>2025秋:259044</x:v>
      </x:c>
      <x:c r="F160" s="22" t="str">
        <x:v>s3</x:v>
      </x:c>
      <x:c r="G160" s="26" t="n">
        <x:v>13</x:v>
      </x:c>
      <x:c r="H160" s="25" t="n">
        <x:v>55.26244343917166</x:v>
      </x:c>
      <x:c r="I160" s="24" t="n">
        <x:v>1</x:v>
      </x:c>
      <x:c r="J160" s="24" t="n">
        <x:v>1</x:v>
      </x:c>
      <x:c r="K160" s="22" t="str">
        <x:v>是</x:v>
      </x:c>
      <x:c r="L160" s="22" t="n">
        <x:v>1.0030912593649335</x:v>
      </x:c>
      <x:c r="M160" s="22" t="n">
        <x:v>14.444514134855044</x:v>
      </x:c>
      <x:c r="N160" s="22" t="n">
        <x:v>4.814838044951681</x:v>
      </x:c>
      <x:c r="O160" s="22" t="n">
        <x:v>35</x:v>
      </x:c>
      <x:c r="P160" s="24" t="n">
        <x:v>4</x:v>
      </x:c>
      <x:c r="Q160" s="22" t="str">
        <x:v>["S0074"]</x:v>
      </x:c>
      <x:c r="R160" s="22" t="str">
        <x:v>evidence/student_evidence.jsonl；student_key=2025秋:259044</x:v>
      </x:c>
      <x:c r="S160" s="27" t="str"/>
    </x:row>
    <x:row r="161" ht="23" customHeight="1">
      <x:c r="A161" s="21" t="str">
        <x:v>全量观察(探索)</x:v>
      </x:c>
      <x:c r="B161" s="22" t="str">
        <x:v>质量导向型（教学诊断对照）</x:v>
      </x:c>
      <x:c r="C161" s="22" t="str">
        <x:v>前20%</x:v>
      </x:c>
      <x:c r="D161" s="22" t="str">
        <x:v>严格进入</x:v>
      </x:c>
      <x:c r="E161" s="22" t="str">
        <x:v>2025秋:258430</x:v>
      </x:c>
      <x:c r="F161" s="22" t="str">
        <x:v>s3</x:v>
      </x:c>
      <x:c r="G161" s="26" t="n">
        <x:v>14</x:v>
      </x:c>
      <x:c r="H161" s="25" t="n">
        <x:v>53.1374230240847</x:v>
      </x:c>
      <x:c r="I161" s="24" t="n">
        <x:v>1</x:v>
      </x:c>
      <x:c r="J161" s="24" t="n">
        <x:v>1</x:v>
      </x:c>
      <x:c r="K161" s="22" t="str">
        <x:v>是</x:v>
      </x:c>
      <x:c r="L161" s="22" t="n">
        <x:v>0.897892228915084</x:v>
      </x:c>
      <x:c r="M161" s="22" t="n">
        <x:v>12.92964809637721</x:v>
      </x:c>
      <x:c r="N161" s="22" t="n">
        <x:v>4.3098826987924035</x:v>
      </x:c>
      <x:c r="O161" s="22" t="n">
        <x:v>35</x:v>
      </x:c>
      <x:c r="P161" s="24" t="n">
        <x:v>4</x:v>
      </x:c>
      <x:c r="Q161" s="22" t="str">
        <x:v>["S0052"]</x:v>
      </x:c>
      <x:c r="R161" s="22" t="str">
        <x:v>evidence/student_evidence.jsonl；student_key=2025秋:258430</x:v>
      </x:c>
      <x:c r="S161" s="27" t="str"/>
    </x:row>
    <x:row r="162" ht="23" customHeight="1">
      <x:c r="A162" s="21" t="str">
        <x:v>全量观察(探索)</x:v>
      </x:c>
      <x:c r="B162" s="22" t="str">
        <x:v>质量导向型（教学诊断对照）</x:v>
      </x:c>
      <x:c r="C162" s="22" t="str">
        <x:v>前20%</x:v>
      </x:c>
      <x:c r="D162" s="22" t="str">
        <x:v>严格进入</x:v>
      </x:c>
      <x:c r="E162" s="22" t="str">
        <x:v>2025秋:258858</x:v>
      </x:c>
      <x:c r="F162" s="22" t="str">
        <x:v>s3</x:v>
      </x:c>
      <x:c r="G162" s="26" t="n">
        <x:v>15</x:v>
      </x:c>
      <x:c r="H162" s="25" t="n">
        <x:v>52.244917385493636</x:v>
      </x:c>
      <x:c r="I162" s="24" t="n">
        <x:v>2</x:v>
      </x:c>
      <x:c r="J162" s="24" t="n">
        <x:v>2</x:v>
      </x:c>
      <x:c r="K162" s="22" t="str">
        <x:v>是</x:v>
      </x:c>
      <x:c r="L162" s="22" t="n">
        <x:v>1.6186936638196356</x:v>
      </x:c>
      <x:c r="M162" s="22" t="n">
        <x:v>11.654594379501376</x:v>
      </x:c>
      <x:c r="N162" s="22" t="n">
        <x:v>3.971629342172635</x:v>
      </x:c>
      <x:c r="O162" s="22" t="n">
        <x:v>35</x:v>
      </x:c>
      <x:c r="P162" s="24" t="n">
        <x:v>4</x:v>
      </x:c>
      <x:c r="Q162" s="22" t="str">
        <x:v>["S0103","S0232"]</x:v>
      </x:c>
      <x:c r="R162" s="22" t="str">
        <x:v>evidence/student_evidence.jsonl；student_key=2025秋:258858</x:v>
      </x:c>
      <x:c r="S162" s="27" t="str"/>
    </x:row>
    <x:row r="163" ht="48" customHeight="1">
      <x:c r="A163" s="21" t="str">
        <x:v>全量观察(探索)</x:v>
      </x:c>
      <x:c r="B163" s="22" t="str">
        <x:v>质量导向型（教学诊断对照）</x:v>
      </x:c>
      <x:c r="C163" s="22" t="str">
        <x:v>前20%</x:v>
      </x:c>
      <x:c r="D163" s="22" t="str">
        <x:v>严格进入</x:v>
      </x:c>
      <x:c r="E163" s="22" t="str">
        <x:v>2025秋:258524</x:v>
      </x:c>
      <x:c r="F163" s="22" t="str">
        <x:v>s6</x:v>
      </x:c>
      <x:c r="G163" s="26" t="n">
        <x:v>16</x:v>
      </x:c>
      <x:c r="H163" s="25" t="n">
        <x:v>51.16666666666667</x:v>
      </x:c>
      <x:c r="I163" s="24" t="n">
        <x:v>1</x:v>
      </x:c>
      <x:c r="J163" s="24" t="n">
        <x:v>1</x:v>
      </x:c>
      <x:c r="K163" s="22" t="str">
        <x:v>是</x:v>
      </x:c>
      <x:c r="L163" s="22" t="n">
        <x:v>1.6666666666666667</x:v>
      </x:c>
      <x:c r="M163" s="22" t="n">
        <x:v>24</x:v>
      </x:c>
      <x:c r="N163" s="22" t="n">
        <x:v>8</x:v>
      </x:c>
      <x:c r="O163" s="22" t="n">
        <x:v>17.5</x:v>
      </x:c>
      <x:c r="P163" s="24" t="n">
        <x:v>4</x:v>
      </x:c>
      <x:c r="Q163" s="22" t="str">
        <x:v>["S0041"]</x:v>
      </x:c>
      <x:c r="R163" s="22" t="str">
        <x:v>evidence/student_evidence.jsonl；student_key=2025秋:258524</x:v>
      </x:c>
      <x:c r="S163" s="27" t="str">
        <x:v>S0041低起点仅“长得漂亮”，大增量对L1起点敏感；末端为概念解释，知识基础及独立掌握待核。</x:v>
      </x:c>
    </x:row>
    <x:row r="164" ht="23" customHeight="1">
      <x:c r="A164" s="21" t="str">
        <x:v>全量观察(探索)</x:v>
      </x:c>
      <x:c r="B164" s="22" t="str">
        <x:v>质量导向型（教学诊断对照）</x:v>
      </x:c>
      <x:c r="C164" s="22" t="str">
        <x:v>前20%</x:v>
      </x:c>
      <x:c r="D164" s="22" t="str">
        <x:v>严格进入</x:v>
      </x:c>
      <x:c r="E164" s="22" t="str">
        <x:v>2025秋:259112</x:v>
      </x:c>
      <x:c r="F164" s="22" t="str">
        <x:v>s3</x:v>
      </x:c>
      <x:c r="G164" s="26" t="n">
        <x:v>18</x:v>
      </x:c>
      <x:c r="H164" s="25" t="n">
        <x:v>51.07096749701603</x:v>
      </x:c>
      <x:c r="I164" s="24" t="n">
        <x:v>1</x:v>
      </x:c>
      <x:c r="J164" s="24" t="n">
        <x:v>1</x:v>
      </x:c>
      <x:c r="K164" s="22" t="str">
        <x:v>是</x:v>
      </x:c>
      <x:c r="L164" s="22" t="n">
        <x:v>0.7955924503473282</x:v>
      </x:c>
      <x:c r="M164" s="22" t="n">
        <x:v>11.456531285001525</x:v>
      </x:c>
      <x:c r="N164" s="22" t="n">
        <x:v>3.818843761667175</x:v>
      </x:c>
      <x:c r="O164" s="22" t="n">
        <x:v>35</x:v>
      </x:c>
      <x:c r="P164" s="24" t="n">
        <x:v>4</x:v>
      </x:c>
      <x:c r="Q164" s="22" t="str">
        <x:v>["S0204"]</x:v>
      </x:c>
      <x:c r="R164" s="22" t="str">
        <x:v>evidence/student_evidence.jsonl；student_key=2025秋:259112</x:v>
      </x:c>
      <x:c r="S164" s="27" t="str"/>
    </x:row>
    <x:row r="165" ht="23" customHeight="1">
      <x:c r="A165" s="21" t="str">
        <x:v>全量观察(探索)</x:v>
      </x:c>
      <x:c r="B165" s="22" t="str">
        <x:v>质量导向型（教学诊断对照）</x:v>
      </x:c>
      <x:c r="C165" s="22" t="str">
        <x:v>前20%</x:v>
      </x:c>
      <x:c r="D165" s="22" t="str">
        <x:v>严格进入</x:v>
      </x:c>
      <x:c r="E165" s="22" t="str">
        <x:v>2025秋:259952</x:v>
      </x:c>
      <x:c r="F165" s="22" t="str">
        <x:v>s3</x:v>
      </x:c>
      <x:c r="G165" s="26" t="n">
        <x:v>18</x:v>
      </x:c>
      <x:c r="H165" s="25" t="n">
        <x:v>51.07096749701603</x:v>
      </x:c>
      <x:c r="I165" s="24" t="n">
        <x:v>1</x:v>
      </x:c>
      <x:c r="J165" s="24" t="n">
        <x:v>1</x:v>
      </x:c>
      <x:c r="K165" s="22" t="str">
        <x:v>否</x:v>
      </x:c>
      <x:c r="L165" s="22" t="n">
        <x:v>0.7955924503473282</x:v>
      </x:c>
      <x:c r="M165" s="22" t="n">
        <x:v>11.456531285001525</x:v>
      </x:c>
      <x:c r="N165" s="22" t="n">
        <x:v>3.818843761667175</x:v>
      </x:c>
      <x:c r="O165" s="22" t="n">
        <x:v>35</x:v>
      </x:c>
      <x:c r="P165" s="24" t="n">
        <x:v>4</x:v>
      </x:c>
      <x:c r="Q165" s="22" t="str">
        <x:v>["S0277"]</x:v>
      </x:c>
      <x:c r="R165" s="22" t="str">
        <x:v>evidence/student_evidence.jsonl；student_key=2025秋:259952</x:v>
      </x:c>
      <x:c r="S165" s="27" t="str"/>
    </x:row>
    <x:row r="166" ht="23" customHeight="1">
      <x:c r="A166" s="21" t="str">
        <x:v>全量观察(探索)</x:v>
      </x:c>
      <x:c r="B166" s="22" t="str">
        <x:v>质量导向型（教学诊断对照）</x:v>
      </x:c>
      <x:c r="C166" s="22" t="str">
        <x:v>前20%</x:v>
      </x:c>
      <x:c r="D166" s="22" t="str">
        <x:v>严格进入</x:v>
      </x:c>
      <x:c r="E166" s="22" t="str">
        <x:v>2026春:268183</x:v>
      </x:c>
      <x:c r="F166" s="22" t="str">
        <x:v>s3</x:v>
      </x:c>
      <x:c r="G166" s="26" t="n">
        <x:v>18</x:v>
      </x:c>
      <x:c r="H166" s="25" t="n">
        <x:v>51.07096749701603</x:v>
      </x:c>
      <x:c r="I166" s="24" t="n">
        <x:v>1</x:v>
      </x:c>
      <x:c r="J166" s="24" t="n">
        <x:v>1</x:v>
      </x:c>
      <x:c r="K166" s="22" t="str">
        <x:v>是</x:v>
      </x:c>
      <x:c r="L166" s="22" t="n">
        <x:v>0.7955924503473282</x:v>
      </x:c>
      <x:c r="M166" s="22" t="n">
        <x:v>11.456531285001525</x:v>
      </x:c>
      <x:c r="N166" s="22" t="n">
        <x:v>3.818843761667175</x:v>
      </x:c>
      <x:c r="O166" s="22" t="n">
        <x:v>35</x:v>
      </x:c>
      <x:c r="P166" s="24" t="n">
        <x:v>4</x:v>
      </x:c>
      <x:c r="Q166" s="22" t="str">
        <x:v>["S1051"]</x:v>
      </x:c>
      <x:c r="R166" s="22" t="str">
        <x:v>evidence/student_evidence.jsonl；student_key=2026春:268183</x:v>
      </x:c>
      <x:c r="S166" s="27" t="str"/>
    </x:row>
    <x:row r="167" ht="23" customHeight="1">
      <x:c r="A167" s="21" t="str">
        <x:v>全量观察(探索)</x:v>
      </x:c>
      <x:c r="B167" s="22" t="str">
        <x:v>质量导向型（教学诊断对照）</x:v>
      </x:c>
      <x:c r="C167" s="22" t="str">
        <x:v>前20%</x:v>
      </x:c>
      <x:c r="D167" s="22" t="str">
        <x:v>严格进入</x:v>
      </x:c>
      <x:c r="E167" s="22" t="str">
        <x:v>2025秋:258428</x:v>
      </x:c>
      <x:c r="F167" s="22" t="str">
        <x:v>s3</x:v>
      </x:c>
      <x:c r="G167" s="26" t="n">
        <x:v>21.5</x:v>
      </x:c>
      <x:c r="H167" s="25" t="n">
        <x:v>51.03376744821632</x:v>
      </x:c>
      <x:c r="I167" s="24" t="n">
        <x:v>1</x:v>
      </x:c>
      <x:c r="J167" s="24" t="n">
        <x:v>1</x:v>
      </x:c>
      <x:c r="K167" s="22" t="str">
        <x:v>是</x:v>
      </x:c>
      <x:c r="L167" s="22" t="n">
        <x:v>0.793750863773085</x:v>
      </x:c>
      <x:c r="M167" s="22" t="n">
        <x:v>11.430012438332422</x:v>
      </x:c>
      <x:c r="N167" s="22" t="n">
        <x:v>3.810004146110808</x:v>
      </x:c>
      <x:c r="O167" s="22" t="n">
        <x:v>35</x:v>
      </x:c>
      <x:c r="P167" s="24" t="n">
        <x:v>4</x:v>
      </x:c>
      <x:c r="Q167" s="22" t="str">
        <x:v>["S0096"]</x:v>
      </x:c>
      <x:c r="R167" s="22" t="str">
        <x:v>evidence/student_evidence.jsonl；student_key=2025秋:258428</x:v>
      </x:c>
      <x:c r="S167" s="27" t="str"/>
    </x:row>
    <x:row r="168" ht="23" customHeight="1">
      <x:c r="A168" s="21" t="str">
        <x:v>全量观察(探索)</x:v>
      </x:c>
      <x:c r="B168" s="22" t="str">
        <x:v>质量导向型（教学诊断对照）</x:v>
      </x:c>
      <x:c r="C168" s="22" t="str">
        <x:v>前20%</x:v>
      </x:c>
      <x:c r="D168" s="22" t="str">
        <x:v>严格进入</x:v>
      </x:c>
      <x:c r="E168" s="22" t="str">
        <x:v>2025秋:258922</x:v>
      </x:c>
      <x:c r="F168" s="22" t="str">
        <x:v>s3</x:v>
      </x:c>
      <x:c r="G168" s="26" t="n">
        <x:v>21.5</x:v>
      </x:c>
      <x:c r="H168" s="25" t="n">
        <x:v>51.03376744821632</x:v>
      </x:c>
      <x:c r="I168" s="24" t="n">
        <x:v>1</x:v>
      </x:c>
      <x:c r="J168" s="24" t="n">
        <x:v>1</x:v>
      </x:c>
      <x:c r="K168" s="22" t="str">
        <x:v>是</x:v>
      </x:c>
      <x:c r="L168" s="22" t="n">
        <x:v>0.793750863773085</x:v>
      </x:c>
      <x:c r="M168" s="22" t="n">
        <x:v>11.430012438332422</x:v>
      </x:c>
      <x:c r="N168" s="22" t="n">
        <x:v>3.810004146110808</x:v>
      </x:c>
      <x:c r="O168" s="22" t="n">
        <x:v>35</x:v>
      </x:c>
      <x:c r="P168" s="24" t="n">
        <x:v>4</x:v>
      </x:c>
      <x:c r="Q168" s="22" t="str">
        <x:v>["S0351"]</x:v>
      </x:c>
      <x:c r="R168" s="22" t="str">
        <x:v>evidence/student_evidence.jsonl；student_key=2025秋:258922</x:v>
      </x:c>
      <x:c r="S168" s="27" t="str"/>
    </x:row>
    <x:row r="169" ht="23" customHeight="1">
      <x:c r="A169" s="21" t="str">
        <x:v>全量观察(探索)</x:v>
      </x:c>
      <x:c r="B169" s="22" t="str">
        <x:v>质量导向型（教学诊断对照）</x:v>
      </x:c>
      <x:c r="C169" s="22" t="str">
        <x:v>前20%</x:v>
      </x:c>
      <x:c r="D169" s="22" t="str">
        <x:v>严格进入</x:v>
      </x:c>
      <x:c r="E169" s="22" t="str">
        <x:v>2025秋:259895</x:v>
      </x:c>
      <x:c r="F169" s="22" t="str">
        <x:v>s3</x:v>
      </x:c>
      <x:c r="G169" s="26" t="n">
        <x:v>21.5</x:v>
      </x:c>
      <x:c r="H169" s="25" t="n">
        <x:v>51.03376744821632</x:v>
      </x:c>
      <x:c r="I169" s="24" t="n">
        <x:v>1</x:v>
      </x:c>
      <x:c r="J169" s="24" t="n">
        <x:v>1</x:v>
      </x:c>
      <x:c r="K169" s="22" t="str">
        <x:v>是</x:v>
      </x:c>
      <x:c r="L169" s="22" t="n">
        <x:v>0.793750863773085</x:v>
      </x:c>
      <x:c r="M169" s="22" t="n">
        <x:v>11.430012438332422</x:v>
      </x:c>
      <x:c r="N169" s="22" t="n">
        <x:v>3.810004146110808</x:v>
      </x:c>
      <x:c r="O169" s="22" t="n">
        <x:v>35</x:v>
      </x:c>
      <x:c r="P169" s="24" t="n">
        <x:v>4</x:v>
      </x:c>
      <x:c r="Q169" s="22" t="str">
        <x:v>["S0407"]</x:v>
      </x:c>
      <x:c r="R169" s="22" t="str">
        <x:v>evidence/student_evidence.jsonl；student_key=2025秋:259895</x:v>
      </x:c>
      <x:c r="S169" s="27" t="str"/>
    </x:row>
    <x:row r="170" ht="23" customHeight="1">
      <x:c r="A170" s="21" t="str">
        <x:v>全量观察(探索)</x:v>
      </x:c>
      <x:c r="B170" s="22" t="str">
        <x:v>质量导向型（教学诊断对照）</x:v>
      </x:c>
      <x:c r="C170" s="22" t="str">
        <x:v>前20%</x:v>
      </x:c>
      <x:c r="D170" s="22" t="str">
        <x:v>严格进入</x:v>
      </x:c>
      <x:c r="E170" s="22" t="str">
        <x:v>2026春:259443</x:v>
      </x:c>
      <x:c r="F170" s="22" t="str">
        <x:v>s3</x:v>
      </x:c>
      <x:c r="G170" s="26" t="n">
        <x:v>21.5</x:v>
      </x:c>
      <x:c r="H170" s="25" t="n">
        <x:v>51.03376744821632</x:v>
      </x:c>
      <x:c r="I170" s="24" t="n">
        <x:v>1</x:v>
      </x:c>
      <x:c r="J170" s="24" t="n">
        <x:v>1</x:v>
      </x:c>
      <x:c r="K170" s="22" t="str">
        <x:v>是</x:v>
      </x:c>
      <x:c r="L170" s="22" t="n">
        <x:v>0.793750863773085</x:v>
      </x:c>
      <x:c r="M170" s="22" t="n">
        <x:v>11.430012438332422</x:v>
      </x:c>
      <x:c r="N170" s="22" t="n">
        <x:v>3.810004146110808</x:v>
      </x:c>
      <x:c r="O170" s="22" t="n">
        <x:v>35</x:v>
      </x:c>
      <x:c r="P170" s="24" t="n">
        <x:v>4</x:v>
      </x:c>
      <x:c r="Q170" s="22" t="str">
        <x:v>["S0850"]</x:v>
      </x:c>
      <x:c r="R170" s="22" t="str">
        <x:v>evidence/student_evidence.jsonl；student_key=2026春:259443</x:v>
      </x:c>
      <x:c r="S170" s="27" t="str"/>
    </x:row>
    <x:row r="171" ht="23" customHeight="1">
      <x:c r="A171" s="21" t="str">
        <x:v>全量观察(探索)</x:v>
      </x:c>
      <x:c r="B171" s="22" t="str">
        <x:v>质量导向型（教学诊断对照）</x:v>
      </x:c>
      <x:c r="C171" s="22" t="str">
        <x:v>前20%</x:v>
      </x:c>
      <x:c r="D171" s="22" t="str">
        <x:v>严格进入</x:v>
      </x:c>
      <x:c r="E171" s="22" t="str">
        <x:v>2025秋:25P025</x:v>
      </x:c>
      <x:c r="F171" s="22" t="str">
        <x:v>s3</x:v>
      </x:c>
      <x:c r="G171" s="26" t="n">
        <x:v>24</x:v>
      </x:c>
      <x:c r="H171" s="25" t="n">
        <x:v>50.983671860846805</x:v>
      </x:c>
      <x:c r="I171" s="24" t="n">
        <x:v>1</x:v>
      </x:c>
      <x:c r="J171" s="24" t="n">
        <x:v>1</x:v>
      </x:c>
      <x:c r="K171" s="22" t="str">
        <x:v>是</x:v>
      </x:c>
      <x:c r="L171" s="22" t="n">
        <x:v>0.7912708842003369</x:v>
      </x:c>
      <x:c r="M171" s="22" t="n">
        <x:v>11.39430073248485</x:v>
      </x:c>
      <x:c r="N171" s="22" t="n">
        <x:v>3.798100244161617</x:v>
      </x:c>
      <x:c r="O171" s="22" t="n">
        <x:v>35</x:v>
      </x:c>
      <x:c r="P171" s="24" t="n">
        <x:v>4</x:v>
      </x:c>
      <x:c r="Q171" s="22" t="str">
        <x:v>["S0130"]</x:v>
      </x:c>
      <x:c r="R171" s="22" t="str">
        <x:v>evidence/student_evidence.jsonl；student_key=2025秋:25P025</x:v>
      </x:c>
      <x:c r="S171" s="27" t="str"/>
    </x:row>
    <x:row r="172" ht="23" customHeight="1">
      <x:c r="A172" s="21" t="str">
        <x:v>全量观察(探索)</x:v>
      </x:c>
      <x:c r="B172" s="22" t="str">
        <x:v>质量导向型（教学诊断对照）</x:v>
      </x:c>
      <x:c r="C172" s="22" t="str">
        <x:v>前20%</x:v>
      </x:c>
      <x:c r="D172" s="22" t="str">
        <x:v>严格进入</x:v>
      </x:c>
      <x:c r="E172" s="22" t="str">
        <x:v>2025秋:25A148</x:v>
      </x:c>
      <x:c r="F172" s="22" t="str">
        <x:v>s3</x:v>
      </x:c>
      <x:c r="G172" s="26" t="n">
        <x:v>25.5</x:v>
      </x:c>
      <x:c r="H172" s="25" t="n">
        <x:v>50.26512516948547</x:v>
      </x:c>
      <x:c r="I172" s="24" t="n">
        <x:v>1</x:v>
      </x:c>
      <x:c r="J172" s="24" t="n">
        <x:v>1</x:v>
      </x:c>
      <x:c r="K172" s="22" t="str">
        <x:v>是</x:v>
      </x:c>
      <x:c r="L172" s="22" t="n">
        <x:v>0.7556992658161121</x:v>
      </x:c>
      <x:c r="M172" s="22" t="n">
        <x:v>10.882069427752015</x:v>
      </x:c>
      <x:c r="N172" s="22" t="n">
        <x:v>3.6273564759173382</x:v>
      </x:c>
      <x:c r="O172" s="22" t="n">
        <x:v>35</x:v>
      </x:c>
      <x:c r="P172" s="24" t="n">
        <x:v>4</x:v>
      </x:c>
      <x:c r="Q172" s="22" t="str">
        <x:v>["S0067"]</x:v>
      </x:c>
      <x:c r="R172" s="22" t="str">
        <x:v>evidence/student_evidence.jsonl；student_key=2025秋:25A148</x:v>
      </x:c>
      <x:c r="S172" s="27" t="str"/>
    </x:row>
    <x:row r="173" ht="23" customHeight="1">
      <x:c r="A173" s="21" t="str">
        <x:v>全量观察(探索)</x:v>
      </x:c>
      <x:c r="B173" s="22" t="str">
        <x:v>质量导向型（教学诊断对照）</x:v>
      </x:c>
      <x:c r="C173" s="22" t="str">
        <x:v>前20%</x:v>
      </x:c>
      <x:c r="D173" s="22" t="str">
        <x:v>严格进入</x:v>
      </x:c>
      <x:c r="E173" s="22" t="str">
        <x:v>2026春:268184</x:v>
      </x:c>
      <x:c r="F173" s="22" t="str">
        <x:v>s3</x:v>
      </x:c>
      <x:c r="G173" s="26" t="n">
        <x:v>25.5</x:v>
      </x:c>
      <x:c r="H173" s="25" t="n">
        <x:v>50.26512516948547</x:v>
      </x:c>
      <x:c r="I173" s="24" t="n">
        <x:v>1</x:v>
      </x:c>
      <x:c r="J173" s="24" t="n">
        <x:v>1</x:v>
      </x:c>
      <x:c r="K173" s="22" t="str">
        <x:v>是</x:v>
      </x:c>
      <x:c r="L173" s="22" t="n">
        <x:v>0.7556992658161121</x:v>
      </x:c>
      <x:c r="M173" s="22" t="n">
        <x:v>10.882069427752015</x:v>
      </x:c>
      <x:c r="N173" s="22" t="n">
        <x:v>3.6273564759173382</x:v>
      </x:c>
      <x:c r="O173" s="22" t="n">
        <x:v>35</x:v>
      </x:c>
      <x:c r="P173" s="24" t="n">
        <x:v>4</x:v>
      </x:c>
      <x:c r="Q173" s="22" t="str">
        <x:v>["S1054"]</x:v>
      </x:c>
      <x:c r="R173" s="22" t="str">
        <x:v>evidence/student_evidence.jsonl；student_key=2026春:268184</x:v>
      </x:c>
      <x:c r="S173" s="27" t="str"/>
    </x:row>
    <x:row r="174" ht="23" customHeight="1">
      <x:c r="A174" s="21" t="str">
        <x:v>全量观察(探索)</x:v>
      </x:c>
      <x:c r="B174" s="22" t="str">
        <x:v>质量导向型（教学诊断对照）</x:v>
      </x:c>
      <x:c r="C174" s="22" t="str">
        <x:v>前20%</x:v>
      </x:c>
      <x:c r="D174" s="22" t="str">
        <x:v>严格进入</x:v>
      </x:c>
      <x:c r="E174" s="22" t="str">
        <x:v>2025秋:240957</x:v>
      </x:c>
      <x:c r="F174" s="22" t="str">
        <x:v>s3</x:v>
      </x:c>
      <x:c r="G174" s="26" t="n">
        <x:v>28</x:v>
      </x:c>
      <x:c r="H174" s="25" t="n">
        <x:v>50.08113698224055</x:v>
      </x:c>
      <x:c r="I174" s="24" t="n">
        <x:v>1</x:v>
      </x:c>
      <x:c r="J174" s="24" t="n">
        <x:v>1</x:v>
      </x:c>
      <x:c r="K174" s="22" t="str">
        <x:v>是</x:v>
      </x:c>
      <x:c r="L174" s="22" t="n">
        <x:v>0.7465909397148786</x:v>
      </x:c>
      <x:c r="M174" s="22" t="n">
        <x:v>10.75090953189425</x:v>
      </x:c>
      <x:c r="N174" s="22" t="n">
        <x:v>3.583636510631417</x:v>
      </x:c>
      <x:c r="O174" s="22" t="n">
        <x:v>35</x:v>
      </x:c>
      <x:c r="P174" s="24" t="n">
        <x:v>4</x:v>
      </x:c>
      <x:c r="Q174" s="22" t="str">
        <x:v>["S0440"]</x:v>
      </x:c>
      <x:c r="R174" s="22" t="str">
        <x:v>evidence/student_evidence.jsonl；student_key=2025秋:240957</x:v>
      </x:c>
      <x:c r="S174" s="27" t="str"/>
    </x:row>
    <x:row r="175" ht="23" customHeight="1">
      <x:c r="A175" s="21" t="str">
        <x:v>全量观察(探索)</x:v>
      </x:c>
      <x:c r="B175" s="22" t="str">
        <x:v>质量导向型（教学诊断对照）</x:v>
      </x:c>
      <x:c r="C175" s="22" t="str">
        <x:v>前20%</x:v>
      </x:c>
      <x:c r="D175" s="22" t="str">
        <x:v>严格进入</x:v>
      </x:c>
      <x:c r="E175" s="22" t="str">
        <x:v>2025秋:259425</x:v>
      </x:c>
      <x:c r="F175" s="22" t="str">
        <x:v>s3</x:v>
      </x:c>
      <x:c r="G175" s="26" t="n">
        <x:v>28</x:v>
      </x:c>
      <x:c r="H175" s="25" t="n">
        <x:v>50.08113698224055</x:v>
      </x:c>
      <x:c r="I175" s="24" t="n">
        <x:v>1</x:v>
      </x:c>
      <x:c r="J175" s="24" t="n">
        <x:v>1</x:v>
      </x:c>
      <x:c r="K175" s="22" t="str">
        <x:v>是</x:v>
      </x:c>
      <x:c r="L175" s="22" t="n">
        <x:v>0.7465909397148786</x:v>
      </x:c>
      <x:c r="M175" s="22" t="n">
        <x:v>10.75090953189425</x:v>
      </x:c>
      <x:c r="N175" s="22" t="n">
        <x:v>3.583636510631417</x:v>
      </x:c>
      <x:c r="O175" s="22" t="n">
        <x:v>35</x:v>
      </x:c>
      <x:c r="P175" s="24" t="n">
        <x:v>4</x:v>
      </x:c>
      <x:c r="Q175" s="22" t="str">
        <x:v>["S0037"]</x:v>
      </x:c>
      <x:c r="R175" s="22" t="str">
        <x:v>evidence/student_evidence.jsonl；student_key=2025秋:259425</x:v>
      </x:c>
      <x:c r="S175" s="27" t="str"/>
    </x:row>
    <x:row r="176" ht="23" customHeight="1">
      <x:c r="A176" s="21" t="str">
        <x:v>全量观察(探索)</x:v>
      </x:c>
      <x:c r="B176" s="22" t="str">
        <x:v>质量导向型（教学诊断对照）</x:v>
      </x:c>
      <x:c r="C176" s="22" t="str">
        <x:v>前20%</x:v>
      </x:c>
      <x:c r="D176" s="22" t="str">
        <x:v>严格进入</x:v>
      </x:c>
      <x:c r="E176" s="22" t="str">
        <x:v>2026春:268502</x:v>
      </x:c>
      <x:c r="F176" s="22" t="str">
        <x:v>s3</x:v>
      </x:c>
      <x:c r="G176" s="26" t="n">
        <x:v>28</x:v>
      </x:c>
      <x:c r="H176" s="25" t="n">
        <x:v>50.08113698224055</x:v>
      </x:c>
      <x:c r="I176" s="24" t="n">
        <x:v>1</x:v>
      </x:c>
      <x:c r="J176" s="24" t="n">
        <x:v>1</x:v>
      </x:c>
      <x:c r="K176" s="22" t="str">
        <x:v>是</x:v>
      </x:c>
      <x:c r="L176" s="22" t="n">
        <x:v>0.7465909397148786</x:v>
      </x:c>
      <x:c r="M176" s="22" t="n">
        <x:v>10.75090953189425</x:v>
      </x:c>
      <x:c r="N176" s="22" t="n">
        <x:v>3.583636510631417</x:v>
      </x:c>
      <x:c r="O176" s="22" t="n">
        <x:v>35</x:v>
      </x:c>
      <x:c r="P176" s="24" t="n">
        <x:v>4</x:v>
      </x:c>
      <x:c r="Q176" s="22" t="str">
        <x:v>["S1220"]</x:v>
      </x:c>
      <x:c r="R176" s="22" t="str">
        <x:v>evidence/student_evidence.jsonl；student_key=2026春:268502</x:v>
      </x:c>
      <x:c r="S176" s="27" t="str"/>
    </x:row>
    <x:row r="177" ht="48" customHeight="1">
      <x:c r="A177" s="21" t="str">
        <x:v>全量观察(探索)</x:v>
      </x:c>
      <x:c r="B177" s="22" t="str">
        <x:v>质量导向型（教学诊断对照）</x:v>
      </x:c>
      <x:c r="C177" s="22" t="str">
        <x:v>前20%</x:v>
      </x:c>
      <x:c r="D177" s="22" t="str">
        <x:v>严格进入</x:v>
      </x:c>
      <x:c r="E177" s="22" t="str">
        <x:v>2025秋:258431</x:v>
      </x:c>
      <x:c r="F177" s="22" t="str">
        <x:v>s3</x:v>
      </x:c>
      <x:c r="G177" s="26" t="n">
        <x:v>31.5</x:v>
      </x:c>
      <x:c r="H177" s="25" t="n">
        <x:v>50.075151371671254</x:v>
      </x:c>
      <x:c r="I177" s="24" t="n">
        <x:v>2</x:v>
      </x:c>
      <x:c r="J177" s="24" t="n">
        <x:v>1</x:v>
      </x:c>
      <x:c r="K177" s="22" t="str">
        <x:v>是</x:v>
      </x:c>
      <x:c r="L177" s="22" t="n">
        <x:v>0.7462946223599631</x:v>
      </x:c>
      <x:c r="M177" s="22" t="n">
        <x:v>10.746642561983467</x:v>
      </x:c>
      <x:c r="N177" s="22" t="n">
        <x:v>3.582214187327823</x:v>
      </x:c>
      <x:c r="O177" s="22" t="n">
        <x:v>35</x:v>
      </x:c>
      <x:c r="P177" s="24" t="n">
        <x:v>4</x:v>
      </x:c>
      <x:c r="Q177" s="22" t="str">
        <x:v>["S0444","S0667"]</x:v>
      </x:c>
      <x:c r="R177" s="22" t="str">
        <x:v>evidence/student_evidence.jsonl；student_key=2025秋:258431</x:v>
      </x:c>
      <x:c r="S177" s="27" t="str">
        <x:v>同一锚点起止1条：未形成独立重复测量。</x:v>
      </x:c>
    </x:row>
    <x:row r="178" ht="23" customHeight="1">
      <x:c r="A178" s="21" t="str">
        <x:v>全量观察(探索)</x:v>
      </x:c>
      <x:c r="B178" s="22" t="str">
        <x:v>质量导向型（教学诊断对照）</x:v>
      </x:c>
      <x:c r="C178" s="22" t="str">
        <x:v>前20%</x:v>
      </x:c>
      <x:c r="D178" s="22" t="str">
        <x:v>严格进入</x:v>
      </x:c>
      <x:c r="E178" s="22" t="str">
        <x:v>2025秋:259050</x:v>
      </x:c>
      <x:c r="F178" s="22" t="str">
        <x:v>s3</x:v>
      </x:c>
      <x:c r="G178" s="26" t="n">
        <x:v>31.5</x:v>
      </x:c>
      <x:c r="H178" s="25" t="n">
        <x:v>50.075151371671254</x:v>
      </x:c>
      <x:c r="I178" s="24" t="n">
        <x:v>1</x:v>
      </x:c>
      <x:c r="J178" s="24" t="n">
        <x:v>1</x:v>
      </x:c>
      <x:c r="K178" s="22" t="str">
        <x:v>否</x:v>
      </x:c>
      <x:c r="L178" s="22" t="n">
        <x:v>0.7462946223599631</x:v>
      </x:c>
      <x:c r="M178" s="22" t="n">
        <x:v>10.746642561983467</x:v>
      </x:c>
      <x:c r="N178" s="22" t="n">
        <x:v>3.582214187327823</x:v>
      </x:c>
      <x:c r="O178" s="22" t="n">
        <x:v>35</x:v>
      </x:c>
      <x:c r="P178" s="24" t="n">
        <x:v>4</x:v>
      </x:c>
      <x:c r="Q178" s="22" t="str">
        <x:v>["S0455"]</x:v>
      </x:c>
      <x:c r="R178" s="22" t="str">
        <x:v>evidence/student_evidence.jsonl；student_key=2025秋:259050</x:v>
      </x:c>
      <x:c r="S178" s="27" t="str"/>
    </x:row>
    <x:row r="179" ht="23" customHeight="1">
      <x:c r="A179" s="21" t="str">
        <x:v>全量观察(探索)</x:v>
      </x:c>
      <x:c r="B179" s="22" t="str">
        <x:v>质量导向型（教学诊断对照）</x:v>
      </x:c>
      <x:c r="C179" s="22" t="str">
        <x:v>前20%</x:v>
      </x:c>
      <x:c r="D179" s="22" t="str">
        <x:v>严格进入</x:v>
      </x:c>
      <x:c r="E179" s="22" t="str">
        <x:v>2025秋:259326</x:v>
      </x:c>
      <x:c r="F179" s="22" t="str">
        <x:v>s3</x:v>
      </x:c>
      <x:c r="G179" s="26" t="n">
        <x:v>31.5</x:v>
      </x:c>
      <x:c r="H179" s="25" t="n">
        <x:v>50.075151371671254</x:v>
      </x:c>
      <x:c r="I179" s="24" t="n">
        <x:v>1</x:v>
      </x:c>
      <x:c r="J179" s="24" t="n">
        <x:v>1</x:v>
      </x:c>
      <x:c r="K179" s="22" t="str">
        <x:v>是</x:v>
      </x:c>
      <x:c r="L179" s="22" t="n">
        <x:v>0.7462946223599631</x:v>
      </x:c>
      <x:c r="M179" s="22" t="n">
        <x:v>10.746642561983467</x:v>
      </x:c>
      <x:c r="N179" s="22" t="n">
        <x:v>3.582214187327823</x:v>
      </x:c>
      <x:c r="O179" s="22" t="n">
        <x:v>35</x:v>
      </x:c>
      <x:c r="P179" s="24" t="n">
        <x:v>4</x:v>
      </x:c>
      <x:c r="Q179" s="22" t="str">
        <x:v>["S0496"]</x:v>
      </x:c>
      <x:c r="R179" s="22" t="str">
        <x:v>evidence/student_evidence.jsonl；student_key=2025秋:259326</x:v>
      </x:c>
      <x:c r="S179" s="27" t="str"/>
    </x:row>
    <x:row r="180" ht="23" customHeight="1">
      <x:c r="A180" s="21" t="str">
        <x:v>全量观察(探索)</x:v>
      </x:c>
      <x:c r="B180" s="22" t="str">
        <x:v>质量导向型（教学诊断对照）</x:v>
      </x:c>
      <x:c r="C180" s="22" t="str">
        <x:v>前20%</x:v>
      </x:c>
      <x:c r="D180" s="22" t="str">
        <x:v>严格进入</x:v>
      </x:c>
      <x:c r="E180" s="22" t="str">
        <x:v>2026春:268174</x:v>
      </x:c>
      <x:c r="F180" s="22" t="str">
        <x:v>s3</x:v>
      </x:c>
      <x:c r="G180" s="26" t="n">
        <x:v>31.5</x:v>
      </x:c>
      <x:c r="H180" s="25" t="n">
        <x:v>50.075151371671254</x:v>
      </x:c>
      <x:c r="I180" s="24" t="n">
        <x:v>1</x:v>
      </x:c>
      <x:c r="J180" s="24" t="n">
        <x:v>1</x:v>
      </x:c>
      <x:c r="K180" s="22" t="str">
        <x:v>是</x:v>
      </x:c>
      <x:c r="L180" s="22" t="n">
        <x:v>0.7462946223599631</x:v>
      </x:c>
      <x:c r="M180" s="22" t="n">
        <x:v>10.746642561983467</x:v>
      </x:c>
      <x:c r="N180" s="22" t="n">
        <x:v>3.582214187327823</x:v>
      </x:c>
      <x:c r="O180" s="22" t="n">
        <x:v>35</x:v>
      </x:c>
      <x:c r="P180" s="24" t="n">
        <x:v>4</x:v>
      </x:c>
      <x:c r="Q180" s="22" t="str">
        <x:v>["S1044"]</x:v>
      </x:c>
      <x:c r="R180" s="22" t="str">
        <x:v>evidence/student_evidence.jsonl；student_key=2026春:268174</x:v>
      </x:c>
      <x:c r="S180" s="27" t="str"/>
    </x:row>
    <x:row r="181" ht="23" customHeight="1">
      <x:c r="A181" s="21" t="str">
        <x:v>全量观察(探索)</x:v>
      </x:c>
      <x:c r="B181" s="22" t="str">
        <x:v>质量导向型（教学诊断对照）</x:v>
      </x:c>
      <x:c r="C181" s="22" t="str">
        <x:v>前20%</x:v>
      </x:c>
      <x:c r="D181" s="22" t="str">
        <x:v>边界同分</x:v>
      </x:c>
      <x:c r="E181" s="22" t="str">
        <x:v>2025秋:258924</x:v>
      </x:c>
      <x:c r="F181" s="22" t="str">
        <x:v>s3</x:v>
      </x:c>
      <x:c r="G181" s="26" t="n">
        <x:v>34.5</x:v>
      </x:c>
      <x:c r="H181" s="25" t="n">
        <x:v>49.82942070948266</x:v>
      </x:c>
      <x:c r="I181" s="24" t="n">
        <x:v>1</x:v>
      </x:c>
      <x:c r="J181" s="24" t="n">
        <x:v>1</x:v>
      </x:c>
      <x:c r="K181" s="22" t="str">
        <x:v>是</x:v>
      </x:c>
      <x:c r="L181" s="22" t="n">
        <x:v>0.7341297380932015</x:v>
      </x:c>
      <x:c r="M181" s="22" t="n">
        <x:v>10.571468228542098</x:v>
      </x:c>
      <x:c r="N181" s="22" t="n">
        <x:v>3.5238227428473667</x:v>
      </x:c>
      <x:c r="O181" s="22" t="n">
        <x:v>35</x:v>
      </x:c>
      <x:c r="P181" s="24" t="n">
        <x:v>3</x:v>
      </x:c>
      <x:c r="Q181" s="22" t="str">
        <x:v>["S0075"]</x:v>
      </x:c>
      <x:c r="R181" s="22" t="str">
        <x:v>evidence/student_evidence.jsonl；student_key=2025秋:258924</x:v>
      </x:c>
      <x:c r="S181" s="27" t="str"/>
    </x:row>
    <x:row r="182" ht="23" customHeight="1">
      <x:c r="A182" s="21" t="str">
        <x:v>全量观察(探索)</x:v>
      </x:c>
      <x:c r="B182" s="22" t="str">
        <x:v>质量导向型（教学诊断对照）</x:v>
      </x:c>
      <x:c r="C182" s="22" t="str">
        <x:v>前20%</x:v>
      </x:c>
      <x:c r="D182" s="22" t="str">
        <x:v>边界同分</x:v>
      </x:c>
      <x:c r="E182" s="22" t="str">
        <x:v>2025秋:259334</x:v>
      </x:c>
      <x:c r="F182" s="22" t="str">
        <x:v>s3</x:v>
      </x:c>
      <x:c r="G182" s="26" t="n">
        <x:v>34.5</x:v>
      </x:c>
      <x:c r="H182" s="25" t="n">
        <x:v>49.82942070948266</x:v>
      </x:c>
      <x:c r="I182" s="24" t="n">
        <x:v>1</x:v>
      </x:c>
      <x:c r="J182" s="24" t="n">
        <x:v>1</x:v>
      </x:c>
      <x:c r="K182" s="22" t="str">
        <x:v>是</x:v>
      </x:c>
      <x:c r="L182" s="22" t="n">
        <x:v>0.7341297380932015</x:v>
      </x:c>
      <x:c r="M182" s="22" t="n">
        <x:v>10.571468228542098</x:v>
      </x:c>
      <x:c r="N182" s="22" t="n">
        <x:v>3.5238227428473667</x:v>
      </x:c>
      <x:c r="O182" s="22" t="n">
        <x:v>35</x:v>
      </x:c>
      <x:c r="P182" s="24" t="n">
        <x:v>3</x:v>
      </x:c>
      <x:c r="Q182" s="22" t="str">
        <x:v>["S0399"]</x:v>
      </x:c>
      <x:c r="R182" s="22" t="str">
        <x:v>evidence/student_evidence.jsonl；student_key=2025秋:259334</x:v>
      </x:c>
      <x:c r="S182" s="27" t="str"/>
    </x:row>
    <x:row r="183" ht="23" customHeight="1">
      <x:c r="A183" s="21" t="str">
        <x:v>全量观察(探索)</x:v>
      </x:c>
      <x:c r="B183" s="22" t="str">
        <x:v>质量导向型（教学诊断对照）</x:v>
      </x:c>
      <x:c r="C183" s="22" t="str">
        <x:v>后20%</x:v>
      </x:c>
      <x:c r="D183" s="22" t="str">
        <x:v>边界同分</x:v>
      </x:c>
      <x:c r="E183" s="22" t="str">
        <x:v>2025秋:259339</x:v>
      </x:c>
      <x:c r="F183" s="22" t="str">
        <x:v>s3</x:v>
      </x:c>
      <x:c r="G183" s="26" t="n">
        <x:v>140</x:v>
      </x:c>
      <x:c r="H183" s="25" t="n">
        <x:v>23.707955961108883</x:v>
      </x:c>
      <x:c r="I183" s="24" t="n">
        <x:v>1</x:v>
      </x:c>
      <x:c r="J183" s="24" t="n">
        <x:v>1</x:v>
      </x:c>
      <x:c r="K183" s="22" t="str">
        <x:v>否</x:v>
      </x:c>
      <x:c r="L183" s="22" t="n">
        <x:v>0.5961034304179318</x:v>
      </x:c>
      <x:c r="M183" s="22" t="n">
        <x:v>8.583889398018217</x:v>
      </x:c>
      <x:c r="N183" s="22" t="n">
        <x:v>2.8612964660060727</x:v>
      </x:c>
      <x:c r="O183" s="22" t="n">
        <x:v>11.666666666666664</x:v>
      </x:c>
      <x:c r="P183" s="24" t="n">
        <x:v>1</x:v>
      </x:c>
      <x:c r="Q183" s="22" t="str">
        <x:v>["S0119"]</x:v>
      </x:c>
      <x:c r="R183" s="22" t="str">
        <x:v>evidence/student_evidence.jsonl；student_key=2025秋:259339</x:v>
      </x:c>
      <x:c r="S183" s="27" t="str"/>
    </x:row>
    <x:row r="184" ht="23" customHeight="1">
      <x:c r="A184" s="21" t="str">
        <x:v>全量观察(探索)</x:v>
      </x:c>
      <x:c r="B184" s="22" t="str">
        <x:v>质量导向型（教学诊断对照）</x:v>
      </x:c>
      <x:c r="C184" s="22" t="str">
        <x:v>后20%</x:v>
      </x:c>
      <x:c r="D184" s="22" t="str">
        <x:v>严格进入</x:v>
      </x:c>
      <x:c r="E184" s="22" t="str">
        <x:v>2025秋:259452</x:v>
      </x:c>
      <x:c r="F184" s="22" t="str">
        <x:v>s3</x:v>
      </x:c>
      <x:c r="G184" s="26" t="n">
        <x:v>141</x:v>
      </x:c>
      <x:c r="H184" s="25" t="n">
        <x:v>23.384678193638482</x:v>
      </x:c>
      <x:c r="I184" s="24" t="n">
        <x:v>1</x:v>
      </x:c>
      <x:c r="J184" s="24" t="n">
        <x:v>1</x:v>
      </x:c>
      <x:c r="K184" s="22" t="str">
        <x:v>是</x:v>
      </x:c>
      <x:c r="L184" s="22" t="n">
        <x:v>0.29132070265537047</x:v>
      </x:c>
      <x:c r="M184" s="22" t="n">
        <x:v>4.195018118237335</x:v>
      </x:c>
      <x:c r="N184" s="22" t="n">
        <x:v>1.3983393727457782</x:v>
      </x:c>
      <x:c r="O184" s="22" t="n">
        <x:v>17.5</x:v>
      </x:c>
      <x:c r="P184" s="24" t="n">
        <x:v>4</x:v>
      </x:c>
      <x:c r="Q184" s="22" t="str">
        <x:v>["S0501"]</x:v>
      </x:c>
      <x:c r="R184" s="22" t="str">
        <x:v>evidence/student_evidence.jsonl；student_key=2025秋:259452</x:v>
      </x:c>
      <x:c r="S184" s="27" t="str"/>
    </x:row>
    <x:row r="185" ht="48" customHeight="1">
      <x:c r="A185" s="21" t="str">
        <x:v>全量观察(探索)</x:v>
      </x:c>
      <x:c r="B185" s="22" t="str">
        <x:v>质量导向型（教学诊断对照）</x:v>
      </x:c>
      <x:c r="C185" s="22" t="str">
        <x:v>后20%</x:v>
      </x:c>
      <x:c r="D185" s="22" t="str">
        <x:v>严格进入</x:v>
      </x:c>
      <x:c r="E185" s="22" t="str">
        <x:v>2025秋:259325</x:v>
      </x:c>
      <x:c r="F185" s="22" t="str">
        <x:v>s3</x:v>
      </x:c>
      <x:c r="G185" s="26" t="n">
        <x:v>143</x:v>
      </x:c>
      <x:c r="H185" s="25" t="n">
        <x:v>23.333333333333332</x:v>
      </x:c>
      <x:c r="I185" s="24" t="n">
        <x:v>1</x:v>
      </x:c>
      <x:c r="J185" s="24" t="n">
        <x:v>1</x:v>
      </x:c>
      <x:c r="K185" s="22" t="str">
        <x:v>否</x:v>
      </x:c>
      <x:c r="L185" s="22" t="n">
        <x:v>0</x:v>
      </x:c>
      <x:c r="M185" s="22" t="n">
        <x:v>0</x:v>
      </x:c>
      <x:c r="N185" s="22" t="n">
        <x:v>0</x:v>
      </x:c>
      <x:c r="O185" s="22" t="n">
        <x:v>23.33333333333333</x:v>
      </x:c>
      <x:c r="P185" s="24" t="n">
        <x:v>4</x:v>
      </x:c>
      <x:c r="Q185" s="22" t="str">
        <x:v>["S0744"]</x:v>
      </x:c>
      <x:c r="R185" s="22" t="str">
        <x:v>evidence/student_evidence.jsonl；student_key=2025秋:259325</x:v>
      </x:c>
      <x:c r="S185" s="27" t="str">
        <x:v>同一锚点起止1条：未形成独立重复测量。</x:v>
      </x:c>
    </x:row>
    <x:row r="186" ht="48" customHeight="1">
      <x:c r="A186" s="21" t="str">
        <x:v>全量观察(探索)</x:v>
      </x:c>
      <x:c r="B186" s="22" t="str">
        <x:v>质量导向型（教学诊断对照）</x:v>
      </x:c>
      <x:c r="C186" s="22" t="str">
        <x:v>后20%</x:v>
      </x:c>
      <x:c r="D186" s="22" t="str">
        <x:v>严格进入</x:v>
      </x:c>
      <x:c r="E186" s="22" t="str">
        <x:v>2026春:268151</x:v>
      </x:c>
      <x:c r="F186" s="22" t="str">
        <x:v>s3</x:v>
      </x:c>
      <x:c r="G186" s="26" t="n">
        <x:v>143</x:v>
      </x:c>
      <x:c r="H186" s="25" t="n">
        <x:v>23.333333333333332</x:v>
      </x:c>
      <x:c r="I186" s="24" t="n">
        <x:v>1</x:v>
      </x:c>
      <x:c r="J186" s="24" t="n">
        <x:v>1</x:v>
      </x:c>
      <x:c r="K186" s="22" t="str">
        <x:v>否</x:v>
      </x:c>
      <x:c r="L186" s="22" t="n">
        <x:v>0</x:v>
      </x:c>
      <x:c r="M186" s="22" t="n">
        <x:v>0</x:v>
      </x:c>
      <x:c r="N186" s="22" t="n">
        <x:v>0</x:v>
      </x:c>
      <x:c r="O186" s="22" t="n">
        <x:v>23.33333333333333</x:v>
      </x:c>
      <x:c r="P186" s="24" t="n">
        <x:v>4</x:v>
      </x:c>
      <x:c r="Q186" s="22" t="str">
        <x:v>["S1004"]</x:v>
      </x:c>
      <x:c r="R186" s="22" t="str">
        <x:v>evidence/student_evidence.jsonl；student_key=2026春:268151</x:v>
      </x:c>
      <x:c r="S186" s="27" t="str">
        <x:v>同一锚点起止1条：未形成独立重复测量。</x:v>
      </x:c>
    </x:row>
    <x:row r="187" ht="48" customHeight="1">
      <x:c r="A187" s="21" t="str">
        <x:v>全量观察(探索)</x:v>
      </x:c>
      <x:c r="B187" s="22" t="str">
        <x:v>质量导向型（教学诊断对照）</x:v>
      </x:c>
      <x:c r="C187" s="22" t="str">
        <x:v>后20%</x:v>
      </x:c>
      <x:c r="D187" s="22" t="str">
        <x:v>严格进入</x:v>
      </x:c>
      <x:c r="E187" s="22" t="str">
        <x:v>2026春:268520</x:v>
      </x:c>
      <x:c r="F187" s="22" t="str">
        <x:v>s6</x:v>
      </x:c>
      <x:c r="G187" s="26" t="n">
        <x:v>143</x:v>
      </x:c>
      <x:c r="H187" s="25" t="n">
        <x:v>23.333333333333332</x:v>
      </x:c>
      <x:c r="I187" s="24" t="n">
        <x:v>1</x:v>
      </x:c>
      <x:c r="J187" s="24" t="n">
        <x:v>1</x:v>
      </x:c>
      <x:c r="K187" s="22" t="str">
        <x:v>是</x:v>
      </x:c>
      <x:c r="L187" s="22" t="n">
        <x:v>0</x:v>
      </x:c>
      <x:c r="M187" s="22" t="n">
        <x:v>0</x:v>
      </x:c>
      <x:c r="N187" s="22" t="n">
        <x:v>0</x:v>
      </x:c>
      <x:c r="O187" s="22" t="n">
        <x:v>23.33333333333333</x:v>
      </x:c>
      <x:c r="P187" s="24" t="n">
        <x:v>4</x:v>
      </x:c>
      <x:c r="Q187" s="22" t="str">
        <x:v>["S1244"]</x:v>
      </x:c>
      <x:c r="R187" s="22" t="str">
        <x:v>evidence/student_evidence.jsonl；student_key=2026春:268520</x:v>
      </x:c>
      <x:c r="S187" s="27" t="str">
        <x:v>同一锚点起止1条：未形成独立重复测量。</x:v>
      </x:c>
    </x:row>
    <x:row r="188" ht="23" customHeight="1">
      <x:c r="A188" s="21" t="str">
        <x:v>全量观察(探索)</x:v>
      </x:c>
      <x:c r="B188" s="22" t="str">
        <x:v>质量导向型（教学诊断对照）</x:v>
      </x:c>
      <x:c r="C188" s="22" t="str">
        <x:v>后20%</x:v>
      </x:c>
      <x:c r="D188" s="22" t="str">
        <x:v>严格进入</x:v>
      </x:c>
      <x:c r="E188" s="22" t="str">
        <x:v>2025秋:259321</x:v>
      </x:c>
      <x:c r="F188" s="22" t="str">
        <x:v>s3</x:v>
      </x:c>
      <x:c r="G188" s="26" t="n">
        <x:v>145</x:v>
      </x:c>
      <x:c r="H188" s="25" t="n">
        <x:v>23.03169613319177</x:v>
      </x:c>
      <x:c r="I188" s="24" t="n">
        <x:v>1</x:v>
      </x:c>
      <x:c r="J188" s="24" t="n">
        <x:v>1</x:v>
      </x:c>
      <x:c r="K188" s="22" t="str">
        <x:v>是</x:v>
      </x:c>
      <x:c r="L188" s="22" t="n">
        <x:v>0.2738463432273153</x:v>
      </x:c>
      <x:c r="M188" s="22" t="n">
        <x:v>3.9433873424733408</x:v>
      </x:c>
      <x:c r="N188" s="22" t="n">
        <x:v>1.3144624474911137</x:v>
      </x:c>
      <x:c r="O188" s="22" t="n">
        <x:v>17.5</x:v>
      </x:c>
      <x:c r="P188" s="24" t="n">
        <x:v>4</x:v>
      </x:c>
      <x:c r="Q188" s="22" t="str">
        <x:v>["S0288"]</x:v>
      </x:c>
      <x:c r="R188" s="22" t="str">
        <x:v>evidence/student_evidence.jsonl；student_key=2025秋:259321</x:v>
      </x:c>
      <x:c r="S188" s="27" t="str"/>
    </x:row>
    <x:row r="189" ht="23" customHeight="1">
      <x:c r="A189" s="21" t="str">
        <x:v>全量观察(探索)</x:v>
      </x:c>
      <x:c r="B189" s="22" t="str">
        <x:v>质量导向型（教学诊断对照）</x:v>
      </x:c>
      <x:c r="C189" s="22" t="str">
        <x:v>后20%</x:v>
      </x:c>
      <x:c r="D189" s="22" t="str">
        <x:v>严格进入</x:v>
      </x:c>
      <x:c r="E189" s="22" t="str">
        <x:v>2026春:268135</x:v>
      </x:c>
      <x:c r="F189" s="22" t="str">
        <x:v>s3</x:v>
      </x:c>
      <x:c r="G189" s="26" t="n">
        <x:v>146</x:v>
      </x:c>
      <x:c r="H189" s="25" t="n">
        <x:v>22.210860943797556</x:v>
      </x:c>
      <x:c r="I189" s="24" t="n">
        <x:v>1</x:v>
      </x:c>
      <x:c r="J189" s="24" t="n">
        <x:v>1</x:v>
      </x:c>
      <x:c r="K189" s="22" t="str">
        <x:v>是</x:v>
      </x:c>
      <x:c r="L189" s="22" t="n">
        <x:v>0.6663792546434434</x:v>
      </x:c>
      <x:c r="M189" s="22" t="n">
        <x:v>9.595861266865585</x:v>
      </x:c>
      <x:c r="N189" s="22" t="n">
        <x:v>3.1986204222885286</x:v>
      </x:c>
      <x:c r="O189" s="22" t="n">
        <x:v>8.75</x:v>
      </x:c>
      <x:c r="P189" s="24" t="n">
        <x:v>2</x:v>
      </x:c>
      <x:c r="Q189" s="22" t="str">
        <x:v>["S0948"]</x:v>
      </x:c>
      <x:c r="R189" s="22" t="str">
        <x:v>evidence/student_evidence.jsonl；student_key=2026春:268135</x:v>
      </x:c>
      <x:c r="S189" s="27" t="str"/>
    </x:row>
    <x:row r="190" ht="48" customHeight="1">
      <x:c r="A190" s="21" t="str">
        <x:v>全量观察(探索)</x:v>
      </x:c>
      <x:c r="B190" s="22" t="str">
        <x:v>质量导向型（教学诊断对照）</x:v>
      </x:c>
      <x:c r="C190" s="22" t="str">
        <x:v>后20%</x:v>
      </x:c>
      <x:c r="D190" s="22" t="str">
        <x:v>严格进入</x:v>
      </x:c>
      <x:c r="E190" s="22" t="str">
        <x:v>2025秋:259851</x:v>
      </x:c>
      <x:c r="F190" s="22" t="str">
        <x:v>s3</x:v>
      </x:c>
      <x:c r="G190" s="26" t="n">
        <x:v>147</x:v>
      </x:c>
      <x:c r="H190" s="25" t="n">
        <x:v>22.011978027517955</x:v>
      </x:c>
      <x:c r="I190" s="24" t="n">
        <x:v>1</x:v>
      </x:c>
      <x:c r="J190" s="24" t="n">
        <x:v>1</x:v>
      </x:c>
      <x:c r="K190" s="22" t="str">
        <x:v>否</x:v>
      </x:c>
      <x:c r="L190" s="22" t="n">
        <x:v>0.22336524888702738</x:v>
      </x:c>
      <x:c r="M190" s="22" t="n">
        <x:v>3.216459583973194</x:v>
      </x:c>
      <x:c r="N190" s="22" t="n">
        <x:v>1.0721531946577316</x:v>
      </x:c>
      <x:c r="O190" s="22" t="n">
        <x:v>17.5</x:v>
      </x:c>
      <x:c r="P190" s="24" t="n">
        <x:v>4</x:v>
      </x:c>
      <x:c r="Q190" s="22" t="str">
        <x:v>["S0057"]</x:v>
      </x:c>
      <x:c r="R190" s="22" t="str">
        <x:v>evidence/student_evidence.jsonl；student_key=2025秋:259851</x:v>
      </x:c>
      <x:c r="S190" s="27" t="str">
        <x:v>同一锚点起止1条：未形成独立重复测量。</x:v>
      </x:c>
    </x:row>
    <x:row r="191" ht="23" customHeight="1">
      <x:c r="A191" s="21" t="str">
        <x:v>全量观察(探索)</x:v>
      </x:c>
      <x:c r="B191" s="22" t="str">
        <x:v>质量导向型（教学诊断对照）</x:v>
      </x:c>
      <x:c r="C191" s="22" t="str">
        <x:v>后20%</x:v>
      </x:c>
      <x:c r="D191" s="22" t="str">
        <x:v>严格进入</x:v>
      </x:c>
      <x:c r="E191" s="22" t="str">
        <x:v>2026春:268498</x:v>
      </x:c>
      <x:c r="F191" s="22" t="str">
        <x:v>s3</x:v>
      </x:c>
      <x:c r="G191" s="26" t="n">
        <x:v>148</x:v>
      </x:c>
      <x:c r="H191" s="25" t="n">
        <x:v>19.35268721950934</x:v>
      </x:c>
      <x:c r="I191" s="24" t="n">
        <x:v>1</x:v>
      </x:c>
      <x:c r="J191" s="24" t="n">
        <x:v>1</x:v>
      </x:c>
      <x:c r="K191" s="22" t="str">
        <x:v>是</x:v>
      </x:c>
      <x:c r="L191" s="22" t="n">
        <x:v>0.264984515817294</x:v>
      </x:c>
      <x:c r="M191" s="22" t="n">
        <x:v>3.815777027769034</x:v>
      </x:c>
      <x:c r="N191" s="22" t="n">
        <x:v>1.2719256759230113</x:v>
      </x:c>
      <x:c r="O191" s="22" t="n">
        <x:v>14</x:v>
      </x:c>
      <x:c r="P191" s="24" t="n">
        <x:v>4</x:v>
      </x:c>
      <x:c r="Q191" s="22" t="str">
        <x:v>["S1207"]</x:v>
      </x:c>
      <x:c r="R191" s="22" t="str">
        <x:v>evidence/student_evidence.jsonl；student_key=2026春:268498</x:v>
      </x:c>
      <x:c r="S191" s="27" t="str"/>
    </x:row>
    <x:row r="192" ht="23" customHeight="1">
      <x:c r="A192" s="21" t="str">
        <x:v>全量观察(探索)</x:v>
      </x:c>
      <x:c r="B192" s="22" t="str">
        <x:v>质量导向型（教学诊断对照）</x:v>
      </x:c>
      <x:c r="C192" s="22" t="str">
        <x:v>后20%</x:v>
      </x:c>
      <x:c r="D192" s="22" t="str">
        <x:v>严格进入</x:v>
      </x:c>
      <x:c r="E192" s="22" t="str">
        <x:v>2026春:268130</x:v>
      </x:c>
      <x:c r="F192" s="22" t="str">
        <x:v>s3</x:v>
      </x:c>
      <x:c r="G192" s="26" t="n">
        <x:v>149</x:v>
      </x:c>
      <x:c r="H192" s="25" t="n">
        <x:v>17.898064239546233</x:v>
      </x:c>
      <x:c r="I192" s="24" t="n">
        <x:v>1</x:v>
      </x:c>
      <x:c r="J192" s="24" t="n">
        <x:v>1</x:v>
      </x:c>
      <x:c r="K192" s="22" t="str">
        <x:v>是</x:v>
      </x:c>
      <x:c r="L192" s="22" t="n">
        <x:v>0.3084850283603746</x:v>
      </x:c>
      <x:c r="M192" s="22" t="n">
        <x:v>4.4421844083893935</x:v>
      </x:c>
      <x:c r="N192" s="22" t="n">
        <x:v>1.4807281361297981</x:v>
      </x:c>
      <x:c r="O192" s="22" t="n">
        <x:v>11.666666666666664</x:v>
      </x:c>
      <x:c r="P192" s="24" t="n">
        <x:v>4</x:v>
      </x:c>
      <x:c r="Q192" s="22" t="str">
        <x:v>["S0938"]</x:v>
      </x:c>
      <x:c r="R192" s="22" t="str">
        <x:v>evidence/student_evidence.jsonl；student_key=2026春:268130</x:v>
      </x:c>
      <x:c r="S192" s="27" t="str"/>
    </x:row>
    <x:row r="193" ht="48" customHeight="1">
      <x:c r="A193" s="21" t="str">
        <x:v>全量观察(探索)</x:v>
      </x:c>
      <x:c r="B193" s="22" t="str">
        <x:v>质量导向型（教学诊断对照）</x:v>
      </x:c>
      <x:c r="C193" s="22" t="str">
        <x:v>后20%</x:v>
      </x:c>
      <x:c r="D193" s="22" t="str">
        <x:v>严格进入</x:v>
      </x:c>
      <x:c r="E193" s="22" t="str">
        <x:v>2025秋:258274</x:v>
      </x:c>
      <x:c r="F193" s="22" t="str">
        <x:v>s3</x:v>
      </x:c>
      <x:c r="G193" s="26" t="n">
        <x:v>160</x:v>
      </x:c>
      <x:c r="H193" s="25" t="n">
        <x:v>17.5</x:v>
      </x:c>
      <x:c r="I193" s="24" t="n">
        <x:v>1</x:v>
      </x:c>
      <x:c r="J193" s="24" t="n">
        <x:v>1</x:v>
      </x:c>
      <x:c r="K193" s="22" t="str">
        <x:v>是</x:v>
      </x:c>
      <x:c r="L193" s="22" t="n">
        <x:v>0</x:v>
      </x:c>
      <x:c r="M193" s="22" t="n">
        <x:v>0</x:v>
      </x:c>
      <x:c r="N193" s="22" t="n">
        <x:v>0</x:v>
      </x:c>
      <x:c r="O193" s="22" t="n">
        <x:v>17.5</x:v>
      </x:c>
      <x:c r="P193" s="24" t="n">
        <x:v>4</x:v>
      </x:c>
      <x:c r="Q193" s="22" t="str">
        <x:v>["S0275"]</x:v>
      </x:c>
      <x:c r="R193" s="22" t="str">
        <x:v>evidence/student_evidence.jsonl；student_key=2025秋:258274</x:v>
      </x:c>
      <x:c r="S193" s="27" t="str">
        <x:v>同一锚点起止1条：未形成独立重复测量。</x:v>
      </x:c>
    </x:row>
    <x:row r="194" ht="23" customHeight="1">
      <x:c r="A194" s="21" t="str">
        <x:v>全量观察(探索)</x:v>
      </x:c>
      <x:c r="B194" s="22" t="str">
        <x:v>质量导向型（教学诊断对照）</x:v>
      </x:c>
      <x:c r="C194" s="22" t="str">
        <x:v>后20%</x:v>
      </x:c>
      <x:c r="D194" s="22" t="str">
        <x:v>严格进入</x:v>
      </x:c>
      <x:c r="E194" s="22" t="str">
        <x:v>2025秋:258862</x:v>
      </x:c>
      <x:c r="F194" s="22" t="str">
        <x:v>s3</x:v>
      </x:c>
      <x:c r="G194" s="26" t="n">
        <x:v>160</x:v>
      </x:c>
      <x:c r="H194" s="25" t="n">
        <x:v>17.5</x:v>
      </x:c>
      <x:c r="I194" s="24" t="n">
        <x:v>1</x:v>
      </x:c>
      <x:c r="J194" s="24" t="n">
        <x:v>1</x:v>
      </x:c>
      <x:c r="K194" s="22" t="str">
        <x:v>否</x:v>
      </x:c>
      <x:c r="L194" s="22" t="n">
        <x:v>0</x:v>
      </x:c>
      <x:c r="M194" s="22" t="n">
        <x:v>0</x:v>
      </x:c>
      <x:c r="N194" s="22" t="n">
        <x:v>0</x:v>
      </x:c>
      <x:c r="O194" s="22" t="n">
        <x:v>17.5</x:v>
      </x:c>
      <x:c r="P194" s="24" t="n">
        <x:v>4</x:v>
      </x:c>
      <x:c r="Q194" s="22" t="str">
        <x:v>["S0151"]</x:v>
      </x:c>
      <x:c r="R194" s="22" t="str">
        <x:v>evidence/student_evidence.jsonl；student_key=2025秋:258862</x:v>
      </x:c>
      <x:c r="S194" s="27" t="str"/>
    </x:row>
    <x:row r="195" ht="23" customHeight="1">
      <x:c r="A195" s="21" t="str">
        <x:v>全量观察(探索)</x:v>
      </x:c>
      <x:c r="B195" s="22" t="str">
        <x:v>质量导向型（教学诊断对照）</x:v>
      </x:c>
      <x:c r="C195" s="22" t="str">
        <x:v>后20%</x:v>
      </x:c>
      <x:c r="D195" s="22" t="str">
        <x:v>严格进入</x:v>
      </x:c>
      <x:c r="E195" s="22" t="str">
        <x:v>2025秋:258907</x:v>
      </x:c>
      <x:c r="F195" s="22" t="str">
        <x:v>s3</x:v>
      </x:c>
      <x:c r="G195" s="26" t="n">
        <x:v>160</x:v>
      </x:c>
      <x:c r="H195" s="25" t="n">
        <x:v>17.5</x:v>
      </x:c>
      <x:c r="I195" s="24" t="n">
        <x:v>1</x:v>
      </x:c>
      <x:c r="J195" s="24" t="n">
        <x:v>1</x:v>
      </x:c>
      <x:c r="K195" s="22" t="str">
        <x:v>否</x:v>
      </x:c>
      <x:c r="L195" s="22" t="n">
        <x:v>0</x:v>
      </x:c>
      <x:c r="M195" s="22" t="n">
        <x:v>0</x:v>
      </x:c>
      <x:c r="N195" s="22" t="n">
        <x:v>0</x:v>
      </x:c>
      <x:c r="O195" s="22" t="n">
        <x:v>17.5</x:v>
      </x:c>
      <x:c r="P195" s="24" t="n">
        <x:v>4</x:v>
      </x:c>
      <x:c r="Q195" s="22" t="str">
        <x:v>["S0269"]</x:v>
      </x:c>
      <x:c r="R195" s="22" t="str">
        <x:v>evidence/student_evidence.jsonl；student_key=2025秋:258907</x:v>
      </x:c>
      <x:c r="S195" s="27" t="str"/>
    </x:row>
    <x:row r="196" ht="48" customHeight="1">
      <x:c r="A196" s="21" t="str">
        <x:v>全量观察(探索)</x:v>
      </x:c>
      <x:c r="B196" s="22" t="str">
        <x:v>质量导向型（教学诊断对照）</x:v>
      </x:c>
      <x:c r="C196" s="22" t="str">
        <x:v>后20%</x:v>
      </x:c>
      <x:c r="D196" s="22" t="str">
        <x:v>严格进入</x:v>
      </x:c>
      <x:c r="E196" s="22" t="str">
        <x:v>2025秋:258908</x:v>
      </x:c>
      <x:c r="F196" s="22" t="str">
        <x:v>s3</x:v>
      </x:c>
      <x:c r="G196" s="26" t="n">
        <x:v>160</x:v>
      </x:c>
      <x:c r="H196" s="25" t="n">
        <x:v>17.5</x:v>
      </x:c>
      <x:c r="I196" s="24" t="n">
        <x:v>1</x:v>
      </x:c>
      <x:c r="J196" s="24" t="n">
        <x:v>1</x:v>
      </x:c>
      <x:c r="K196" s="22" t="str">
        <x:v>否</x:v>
      </x:c>
      <x:c r="L196" s="22" t="n">
        <x:v>0</x:v>
      </x:c>
      <x:c r="M196" s="22" t="n">
        <x:v>0</x:v>
      </x:c>
      <x:c r="N196" s="22" t="n">
        <x:v>0</x:v>
      </x:c>
      <x:c r="O196" s="22" t="n">
        <x:v>17.5</x:v>
      </x:c>
      <x:c r="P196" s="24" t="n">
        <x:v>4</x:v>
      </x:c>
      <x:c r="Q196" s="22" t="str">
        <x:v>["S0292"]</x:v>
      </x:c>
      <x:c r="R196" s="22" t="str">
        <x:v>evidence/student_evidence.jsonl；student_key=2025秋:258908</x:v>
      </x:c>
      <x:c r="S196" s="27" t="str">
        <x:v>同一锚点起止1条：未形成独立重复测量。</x:v>
      </x:c>
    </x:row>
    <x:row r="197" ht="23" customHeight="1">
      <x:c r="A197" s="21" t="str">
        <x:v>全量观察(探索)</x:v>
      </x:c>
      <x:c r="B197" s="22" t="str">
        <x:v>质量导向型（教学诊断对照）</x:v>
      </x:c>
      <x:c r="C197" s="22" t="str">
        <x:v>后20%</x:v>
      </x:c>
      <x:c r="D197" s="22" t="str">
        <x:v>严格进入</x:v>
      </x:c>
      <x:c r="E197" s="22" t="str">
        <x:v>2025秋:258912</x:v>
      </x:c>
      <x:c r="F197" s="22" t="str">
        <x:v>s3</x:v>
      </x:c>
      <x:c r="G197" s="26" t="n">
        <x:v>160</x:v>
      </x:c>
      <x:c r="H197" s="25" t="n">
        <x:v>17.5</x:v>
      </x:c>
      <x:c r="I197" s="24" t="n">
        <x:v>1</x:v>
      </x:c>
      <x:c r="J197" s="24" t="n">
        <x:v>1</x:v>
      </x:c>
      <x:c r="K197" s="22" t="str">
        <x:v>是</x:v>
      </x:c>
      <x:c r="L197" s="22" t="n">
        <x:v>0</x:v>
      </x:c>
      <x:c r="M197" s="22" t="n">
        <x:v>0</x:v>
      </x:c>
      <x:c r="N197" s="22" t="n">
        <x:v>0</x:v>
      </x:c>
      <x:c r="O197" s="22" t="n">
        <x:v>17.5</x:v>
      </x:c>
      <x:c r="P197" s="24" t="n">
        <x:v>4</x:v>
      </x:c>
      <x:c r="Q197" s="22" t="str">
        <x:v>["S0092"]</x:v>
      </x:c>
      <x:c r="R197" s="22" t="str">
        <x:v>evidence/student_evidence.jsonl；student_key=2025秋:258912</x:v>
      </x:c>
      <x:c r="S197" s="27" t="str"/>
    </x:row>
    <x:row r="198" ht="48" customHeight="1">
      <x:c r="A198" s="21" t="str">
        <x:v>全量观察(探索)</x:v>
      </x:c>
      <x:c r="B198" s="22" t="str">
        <x:v>质量导向型（教学诊断对照）</x:v>
      </x:c>
      <x:c r="C198" s="22" t="str">
        <x:v>后20%</x:v>
      </x:c>
      <x:c r="D198" s="22" t="str">
        <x:v>严格进入</x:v>
      </x:c>
      <x:c r="E198" s="22" t="str">
        <x:v>2025秋:258918</x:v>
      </x:c>
      <x:c r="F198" s="22" t="str">
        <x:v>s3</x:v>
      </x:c>
      <x:c r="G198" s="26" t="n">
        <x:v>160</x:v>
      </x:c>
      <x:c r="H198" s="25" t="n">
        <x:v>17.5</x:v>
      </x:c>
      <x:c r="I198" s="24" t="n">
        <x:v>1</x:v>
      </x:c>
      <x:c r="J198" s="24" t="n">
        <x:v>1</x:v>
      </x:c>
      <x:c r="K198" s="22" t="str">
        <x:v>否</x:v>
      </x:c>
      <x:c r="L198" s="22" t="n">
        <x:v>0</x:v>
      </x:c>
      <x:c r="M198" s="22" t="n">
        <x:v>0</x:v>
      </x:c>
      <x:c r="N198" s="22" t="n">
        <x:v>0</x:v>
      </x:c>
      <x:c r="O198" s="22" t="n">
        <x:v>17.5</x:v>
      </x:c>
      <x:c r="P198" s="24" t="n">
        <x:v>4</x:v>
      </x:c>
      <x:c r="Q198" s="22" t="str">
        <x:v>["S0287"]</x:v>
      </x:c>
      <x:c r="R198" s="22" t="str">
        <x:v>evidence/student_evidence.jsonl；student_key=2025秋:258918</x:v>
      </x:c>
      <x:c r="S198" s="27" t="str">
        <x:v>同一锚点起止1条：未形成独立重复测量。</x:v>
      </x:c>
    </x:row>
    <x:row r="199" ht="48" customHeight="1">
      <x:c r="A199" s="21" t="str">
        <x:v>全量观察(探索)</x:v>
      </x:c>
      <x:c r="B199" s="22" t="str">
        <x:v>质量导向型（教学诊断对照）</x:v>
      </x:c>
      <x:c r="C199" s="22" t="str">
        <x:v>后20%</x:v>
      </x:c>
      <x:c r="D199" s="22" t="str">
        <x:v>严格进入</x:v>
      </x:c>
      <x:c r="E199" s="22" t="str">
        <x:v>2025秋:258923</x:v>
      </x:c>
      <x:c r="F199" s="22" t="str">
        <x:v>s3</x:v>
      </x:c>
      <x:c r="G199" s="26" t="n">
        <x:v>160</x:v>
      </x:c>
      <x:c r="H199" s="25" t="n">
        <x:v>17.5</x:v>
      </x:c>
      <x:c r="I199" s="24" t="n">
        <x:v>1</x:v>
      </x:c>
      <x:c r="J199" s="24" t="n">
        <x:v>1</x:v>
      </x:c>
      <x:c r="K199" s="22" t="str">
        <x:v>是</x:v>
      </x:c>
      <x:c r="L199" s="22" t="n">
        <x:v>0</x:v>
      </x:c>
      <x:c r="M199" s="22" t="n">
        <x:v>0</x:v>
      </x:c>
      <x:c r="N199" s="22" t="n">
        <x:v>0</x:v>
      </x:c>
      <x:c r="O199" s="22" t="n">
        <x:v>17.5</x:v>
      </x:c>
      <x:c r="P199" s="24" t="n">
        <x:v>4</x:v>
      </x:c>
      <x:c r="Q199" s="22" t="str">
        <x:v>["S0120"]</x:v>
      </x:c>
      <x:c r="R199" s="22" t="str">
        <x:v>evidence/student_evidence.jsonl；student_key=2025秋:258923</x:v>
      </x:c>
      <x:c r="S199" s="27" t="str">
        <x:v>同一锚点起止1条：未形成独立重复测量。</x:v>
      </x:c>
    </x:row>
    <x:row r="200" ht="48" customHeight="1">
      <x:c r="A200" s="21" t="str">
        <x:v>全量观察(探索)</x:v>
      </x:c>
      <x:c r="B200" s="22" t="str">
        <x:v>质量导向型（教学诊断对照）</x:v>
      </x:c>
      <x:c r="C200" s="22" t="str">
        <x:v>后20%</x:v>
      </x:c>
      <x:c r="D200" s="22" t="str">
        <x:v>严格进入</x:v>
      </x:c>
      <x:c r="E200" s="22" t="str">
        <x:v>2025秋:258945</x:v>
      </x:c>
      <x:c r="F200" s="22" t="str">
        <x:v>s3</x:v>
      </x:c>
      <x:c r="G200" s="26" t="n">
        <x:v>160</x:v>
      </x:c>
      <x:c r="H200" s="25" t="n">
        <x:v>17.5</x:v>
      </x:c>
      <x:c r="I200" s="24" t="n">
        <x:v>1</x:v>
      </x:c>
      <x:c r="J200" s="24" t="n">
        <x:v>1</x:v>
      </x:c>
      <x:c r="K200" s="22" t="str">
        <x:v>否</x:v>
      </x:c>
      <x:c r="L200" s="22" t="n">
        <x:v>0</x:v>
      </x:c>
      <x:c r="M200" s="22" t="n">
        <x:v>0</x:v>
      </x:c>
      <x:c r="N200" s="22" t="n">
        <x:v>0</x:v>
      </x:c>
      <x:c r="O200" s="22" t="n">
        <x:v>17.5</x:v>
      </x:c>
      <x:c r="P200" s="24" t="n">
        <x:v>4</x:v>
      </x:c>
      <x:c r="Q200" s="22" t="str">
        <x:v>["S0048"]</x:v>
      </x:c>
      <x:c r="R200" s="22" t="str">
        <x:v>evidence/student_evidence.jsonl；student_key=2025秋:258945</x:v>
      </x:c>
      <x:c r="S200" s="27" t="str">
        <x:v>同一锚点起止1条：未形成独立重复测量。</x:v>
      </x:c>
    </x:row>
    <x:row r="201" ht="23" customHeight="1">
      <x:c r="A201" s="21" t="str">
        <x:v>全量观察(探索)</x:v>
      </x:c>
      <x:c r="B201" s="22" t="str">
        <x:v>质量导向型（教学诊断对照）</x:v>
      </x:c>
      <x:c r="C201" s="22" t="str">
        <x:v>后20%</x:v>
      </x:c>
      <x:c r="D201" s="22" t="str">
        <x:v>严格进入</x:v>
      </x:c>
      <x:c r="E201" s="22" t="str">
        <x:v>2025秋:259059</x:v>
      </x:c>
      <x:c r="F201" s="22" t="str">
        <x:v>s3</x:v>
      </x:c>
      <x:c r="G201" s="26" t="n">
        <x:v>160</x:v>
      </x:c>
      <x:c r="H201" s="25" t="n">
        <x:v>17.5</x:v>
      </x:c>
      <x:c r="I201" s="24" t="n">
        <x:v>1</x:v>
      </x:c>
      <x:c r="J201" s="24" t="n">
        <x:v>1</x:v>
      </x:c>
      <x:c r="K201" s="22" t="str">
        <x:v>是</x:v>
      </x:c>
      <x:c r="L201" s="22" t="n">
        <x:v>0</x:v>
      </x:c>
      <x:c r="M201" s="22" t="n">
        <x:v>0</x:v>
      </x:c>
      <x:c r="N201" s="22" t="n">
        <x:v>0</x:v>
      </x:c>
      <x:c r="O201" s="22" t="n">
        <x:v>17.5</x:v>
      </x:c>
      <x:c r="P201" s="24" t="n">
        <x:v>4</x:v>
      </x:c>
      <x:c r="Q201" s="22" t="str">
        <x:v>["S0426"]</x:v>
      </x:c>
      <x:c r="R201" s="22" t="str">
        <x:v>evidence/student_evidence.jsonl；student_key=2025秋:259059</x:v>
      </x:c>
      <x:c r="S201" s="27" t="str"/>
    </x:row>
    <x:row r="202" ht="23" customHeight="1">
      <x:c r="A202" s="21" t="str">
        <x:v>全量观察(探索)</x:v>
      </x:c>
      <x:c r="B202" s="22" t="str">
        <x:v>质量导向型（教学诊断对照）</x:v>
      </x:c>
      <x:c r="C202" s="22" t="str">
        <x:v>后20%</x:v>
      </x:c>
      <x:c r="D202" s="22" t="str">
        <x:v>严格进入</x:v>
      </x:c>
      <x:c r="E202" s="22" t="str">
        <x:v>2025秋:259106</x:v>
      </x:c>
      <x:c r="F202" s="22" t="str">
        <x:v>s3</x:v>
      </x:c>
      <x:c r="G202" s="26" t="n">
        <x:v>160</x:v>
      </x:c>
      <x:c r="H202" s="25" t="n">
        <x:v>17.5</x:v>
      </x:c>
      <x:c r="I202" s="24" t="n">
        <x:v>1</x:v>
      </x:c>
      <x:c r="J202" s="24" t="n">
        <x:v>1</x:v>
      </x:c>
      <x:c r="K202" s="22" t="str">
        <x:v>是</x:v>
      </x:c>
      <x:c r="L202" s="22" t="n">
        <x:v>0</x:v>
      </x:c>
      <x:c r="M202" s="22" t="n">
        <x:v>0</x:v>
      </x:c>
      <x:c r="N202" s="22" t="n">
        <x:v>0</x:v>
      </x:c>
      <x:c r="O202" s="22" t="n">
        <x:v>17.5</x:v>
      </x:c>
      <x:c r="P202" s="24" t="n">
        <x:v>4</x:v>
      </x:c>
      <x:c r="Q202" s="22" t="str">
        <x:v>["S0005"]</x:v>
      </x:c>
      <x:c r="R202" s="22" t="str">
        <x:v>evidence/student_evidence.jsonl；student_key=2025秋:259106</x:v>
      </x:c>
      <x:c r="S202" s="27" t="str"/>
    </x:row>
    <x:row r="203" ht="23" customHeight="1">
      <x:c r="A203" s="21" t="str">
        <x:v>全量观察(探索)</x:v>
      </x:c>
      <x:c r="B203" s="22" t="str">
        <x:v>质量导向型（教学诊断对照）</x:v>
      </x:c>
      <x:c r="C203" s="22" t="str">
        <x:v>后20%</x:v>
      </x:c>
      <x:c r="D203" s="22" t="str">
        <x:v>严格进入</x:v>
      </x:c>
      <x:c r="E203" s="22" t="str">
        <x:v>2025秋:259315</x:v>
      </x:c>
      <x:c r="F203" s="22" t="str">
        <x:v>s3</x:v>
      </x:c>
      <x:c r="G203" s="26" t="n">
        <x:v>160</x:v>
      </x:c>
      <x:c r="H203" s="25" t="n">
        <x:v>17.5</x:v>
      </x:c>
      <x:c r="I203" s="24" t="n">
        <x:v>1</x:v>
      </x:c>
      <x:c r="J203" s="24" t="n">
        <x:v>1</x:v>
      </x:c>
      <x:c r="K203" s="22" t="str">
        <x:v>是</x:v>
      </x:c>
      <x:c r="L203" s="22" t="n">
        <x:v>0</x:v>
      </x:c>
      <x:c r="M203" s="22" t="n">
        <x:v>0</x:v>
      </x:c>
      <x:c r="N203" s="22" t="n">
        <x:v>0</x:v>
      </x:c>
      <x:c r="O203" s="22" t="n">
        <x:v>17.5</x:v>
      </x:c>
      <x:c r="P203" s="24" t="n">
        <x:v>4</x:v>
      </x:c>
      <x:c r="Q203" s="22" t="str">
        <x:v>["S0405"]</x:v>
      </x:c>
      <x:c r="R203" s="22" t="str">
        <x:v>evidence/student_evidence.jsonl；student_key=2025秋:259315</x:v>
      </x:c>
      <x:c r="S203" s="27" t="str"/>
    </x:row>
    <x:row r="204" ht="48" customHeight="1">
      <x:c r="A204" s="21" t="str">
        <x:v>全量观察(探索)</x:v>
      </x:c>
      <x:c r="B204" s="22" t="str">
        <x:v>质量导向型（教学诊断对照）</x:v>
      </x:c>
      <x:c r="C204" s="22" t="str">
        <x:v>后20%</x:v>
      </x:c>
      <x:c r="D204" s="22" t="str">
        <x:v>严格进入</x:v>
      </x:c>
      <x:c r="E204" s="22" t="str">
        <x:v>2025秋:259346</x:v>
      </x:c>
      <x:c r="F204" s="22" t="str">
        <x:v>s3</x:v>
      </x:c>
      <x:c r="G204" s="26" t="n">
        <x:v>160</x:v>
      </x:c>
      <x:c r="H204" s="25" t="n">
        <x:v>17.5</x:v>
      </x:c>
      <x:c r="I204" s="24" t="n">
        <x:v>1</x:v>
      </x:c>
      <x:c r="J204" s="24" t="n">
        <x:v>1</x:v>
      </x:c>
      <x:c r="K204" s="22" t="str">
        <x:v>是</x:v>
      </x:c>
      <x:c r="L204" s="22" t="n">
        <x:v>0</x:v>
      </x:c>
      <x:c r="M204" s="22" t="n">
        <x:v>0</x:v>
      </x:c>
      <x:c r="N204" s="22" t="n">
        <x:v>0</x:v>
      </x:c>
      <x:c r="O204" s="22" t="n">
        <x:v>17.5</x:v>
      </x:c>
      <x:c r="P204" s="24" t="n">
        <x:v>4</x:v>
      </x:c>
      <x:c r="Q204" s="22" t="str">
        <x:v>["S0672"]</x:v>
      </x:c>
      <x:c r="R204" s="22" t="str">
        <x:v>evidence/student_evidence.jsonl；student_key=2025秋:259346</x:v>
      </x:c>
      <x:c r="S204" s="27" t="str">
        <x:v>同一锚点起止1条：未形成独立重复测量。</x:v>
      </x:c>
    </x:row>
    <x:row r="205" ht="23" customHeight="1">
      <x:c r="A205" s="21" t="str">
        <x:v>全量观察(探索)</x:v>
      </x:c>
      <x:c r="B205" s="22" t="str">
        <x:v>质量导向型（教学诊断对照）</x:v>
      </x:c>
      <x:c r="C205" s="22" t="str">
        <x:v>后20%</x:v>
      </x:c>
      <x:c r="D205" s="22" t="str">
        <x:v>严格进入</x:v>
      </x:c>
      <x:c r="E205" s="22" t="str">
        <x:v>2025秋:259405</x:v>
      </x:c>
      <x:c r="F205" s="22" t="str">
        <x:v>s3</x:v>
      </x:c>
      <x:c r="G205" s="26" t="n">
        <x:v>160</x:v>
      </x:c>
      <x:c r="H205" s="25" t="n">
        <x:v>17.5</x:v>
      </x:c>
      <x:c r="I205" s="24" t="n">
        <x:v>1</x:v>
      </x:c>
      <x:c r="J205" s="24" t="n">
        <x:v>1</x:v>
      </x:c>
      <x:c r="K205" s="22" t="str">
        <x:v>否</x:v>
      </x:c>
      <x:c r="L205" s="22" t="n">
        <x:v>0</x:v>
      </x:c>
      <x:c r="M205" s="22" t="n">
        <x:v>0</x:v>
      </x:c>
      <x:c r="N205" s="22" t="n">
        <x:v>0</x:v>
      </x:c>
      <x:c r="O205" s="22" t="n">
        <x:v>17.5</x:v>
      </x:c>
      <x:c r="P205" s="24" t="n">
        <x:v>4</x:v>
      </x:c>
      <x:c r="Q205" s="22" t="str">
        <x:v>["S0219"]</x:v>
      </x:c>
      <x:c r="R205" s="22" t="str">
        <x:v>evidence/student_evidence.jsonl；student_key=2025秋:259405</x:v>
      </x:c>
      <x:c r="S205" s="27" t="str"/>
    </x:row>
    <x:row r="206" ht="23" customHeight="1">
      <x:c r="A206" s="21" t="str">
        <x:v>全量观察(探索)</x:v>
      </x:c>
      <x:c r="B206" s="22" t="str">
        <x:v>质量导向型（教学诊断对照）</x:v>
      </x:c>
      <x:c r="C206" s="22" t="str">
        <x:v>后20%</x:v>
      </x:c>
      <x:c r="D206" s="22" t="str">
        <x:v>严格进入</x:v>
      </x:c>
      <x:c r="E206" s="22" t="str">
        <x:v>2025秋:259422</x:v>
      </x:c>
      <x:c r="F206" s="22" t="str">
        <x:v>s3</x:v>
      </x:c>
      <x:c r="G206" s="26" t="n">
        <x:v>160</x:v>
      </x:c>
      <x:c r="H206" s="25" t="n">
        <x:v>17.5</x:v>
      </x:c>
      <x:c r="I206" s="24" t="n">
        <x:v>1</x:v>
      </x:c>
      <x:c r="J206" s="24" t="n">
        <x:v>1</x:v>
      </x:c>
      <x:c r="K206" s="22" t="str">
        <x:v>是</x:v>
      </x:c>
      <x:c r="L206" s="22" t="n">
        <x:v>0</x:v>
      </x:c>
      <x:c r="M206" s="22" t="n">
        <x:v>0</x:v>
      </x:c>
      <x:c r="N206" s="22" t="n">
        <x:v>0</x:v>
      </x:c>
      <x:c r="O206" s="22" t="n">
        <x:v>17.5</x:v>
      </x:c>
      <x:c r="P206" s="24" t="n">
        <x:v>4</x:v>
      </x:c>
      <x:c r="Q206" s="22" t="str">
        <x:v>["S0421"]</x:v>
      </x:c>
      <x:c r="R206" s="22" t="str">
        <x:v>evidence/student_evidence.jsonl；student_key=2025秋:259422</x:v>
      </x:c>
      <x:c r="S206" s="27" t="str"/>
    </x:row>
    <x:row r="207" ht="48" customHeight="1">
      <x:c r="A207" s="21" t="str">
        <x:v>全量观察(探索)</x:v>
      </x:c>
      <x:c r="B207" s="22" t="str">
        <x:v>质量导向型（教学诊断对照）</x:v>
      </x:c>
      <x:c r="C207" s="22" t="str">
        <x:v>后20%</x:v>
      </x:c>
      <x:c r="D207" s="22" t="str">
        <x:v>严格进入</x:v>
      </x:c>
      <x:c r="E207" s="22" t="str">
        <x:v>2025秋:259927</x:v>
      </x:c>
      <x:c r="F207" s="22" t="str">
        <x:v>s3</x:v>
      </x:c>
      <x:c r="G207" s="26" t="n">
        <x:v>160</x:v>
      </x:c>
      <x:c r="H207" s="25" t="n">
        <x:v>17.5</x:v>
      </x:c>
      <x:c r="I207" s="24" t="n">
        <x:v>1</x:v>
      </x:c>
      <x:c r="J207" s="24" t="n">
        <x:v>1</x:v>
      </x:c>
      <x:c r="K207" s="22" t="str">
        <x:v>否</x:v>
      </x:c>
      <x:c r="L207" s="22" t="n">
        <x:v>0</x:v>
      </x:c>
      <x:c r="M207" s="22" t="n">
        <x:v>0</x:v>
      </x:c>
      <x:c r="N207" s="22" t="n">
        <x:v>0</x:v>
      </x:c>
      <x:c r="O207" s="22" t="n">
        <x:v>17.5</x:v>
      </x:c>
      <x:c r="P207" s="24" t="n">
        <x:v>4</x:v>
      </x:c>
      <x:c r="Q207" s="22" t="str">
        <x:v>["S0271"]</x:v>
      </x:c>
      <x:c r="R207" s="22" t="str">
        <x:v>evidence/student_evidence.jsonl；student_key=2025秋:259927</x:v>
      </x:c>
      <x:c r="S207" s="27" t="str">
        <x:v>同一锚点起止1条：未形成独立重复测量。</x:v>
      </x:c>
    </x:row>
    <x:row r="208" ht="23" customHeight="1">
      <x:c r="A208" s="21" t="str">
        <x:v>全量观察(探索)</x:v>
      </x:c>
      <x:c r="B208" s="22" t="str">
        <x:v>质量导向型（教学诊断对照）</x:v>
      </x:c>
      <x:c r="C208" s="22" t="str">
        <x:v>后20%</x:v>
      </x:c>
      <x:c r="D208" s="22" t="str">
        <x:v>严格进入</x:v>
      </x:c>
      <x:c r="E208" s="22" t="str">
        <x:v>2025秋:259958</x:v>
      </x:c>
      <x:c r="F208" s="22" t="str">
        <x:v>s3</x:v>
      </x:c>
      <x:c r="G208" s="26" t="n">
        <x:v>160</x:v>
      </x:c>
      <x:c r="H208" s="25" t="n">
        <x:v>17.5</x:v>
      </x:c>
      <x:c r="I208" s="24" t="n">
        <x:v>1</x:v>
      </x:c>
      <x:c r="J208" s="24" t="n">
        <x:v>1</x:v>
      </x:c>
      <x:c r="K208" s="22" t="str">
        <x:v>是</x:v>
      </x:c>
      <x:c r="L208" s="22" t="n">
        <x:v>0</x:v>
      </x:c>
      <x:c r="M208" s="22" t="n">
        <x:v>0</x:v>
      </x:c>
      <x:c r="N208" s="22" t="n">
        <x:v>0</x:v>
      </x:c>
      <x:c r="O208" s="22" t="n">
        <x:v>17.5</x:v>
      </x:c>
      <x:c r="P208" s="24" t="n">
        <x:v>4</x:v>
      </x:c>
      <x:c r="Q208" s="22" t="str">
        <x:v>["S0183"]</x:v>
      </x:c>
      <x:c r="R208" s="22" t="str">
        <x:v>evidence/student_evidence.jsonl；student_key=2025秋:259958</x:v>
      </x:c>
      <x:c r="S208" s="27" t="str"/>
    </x:row>
    <x:row r="209" ht="48" customHeight="1">
      <x:c r="A209" s="21" t="str">
        <x:v>全量观察(探索)</x:v>
      </x:c>
      <x:c r="B209" s="22" t="str">
        <x:v>质量导向型（教学诊断对照）</x:v>
      </x:c>
      <x:c r="C209" s="22" t="str">
        <x:v>后20%</x:v>
      </x:c>
      <x:c r="D209" s="22" t="str">
        <x:v>严格进入</x:v>
      </x:c>
      <x:c r="E209" s="22" t="str">
        <x:v>2025秋:25A171</x:v>
      </x:c>
      <x:c r="F209" s="22" t="str">
        <x:v>s3</x:v>
      </x:c>
      <x:c r="G209" s="26" t="n">
        <x:v>160</x:v>
      </x:c>
      <x:c r="H209" s="25" t="n">
        <x:v>17.5</x:v>
      </x:c>
      <x:c r="I209" s="24" t="n">
        <x:v>1</x:v>
      </x:c>
      <x:c r="J209" s="24" t="n">
        <x:v>1</x:v>
      </x:c>
      <x:c r="K209" s="22" t="str">
        <x:v>是</x:v>
      </x:c>
      <x:c r="L209" s="22" t="n">
        <x:v>0</x:v>
      </x:c>
      <x:c r="M209" s="22" t="n">
        <x:v>0</x:v>
      </x:c>
      <x:c r="N209" s="22" t="n">
        <x:v>0</x:v>
      </x:c>
      <x:c r="O209" s="22" t="n">
        <x:v>17.5</x:v>
      </x:c>
      <x:c r="P209" s="24" t="n">
        <x:v>4</x:v>
      </x:c>
      <x:c r="Q209" s="22" t="str">
        <x:v>["S0258"]</x:v>
      </x:c>
      <x:c r="R209" s="22" t="str">
        <x:v>evidence/student_evidence.jsonl；student_key=2025秋:25A171</x:v>
      </x:c>
      <x:c r="S209" s="27" t="str">
        <x:v>同一锚点起止1条：未形成独立重复测量。</x:v>
      </x:c>
    </x:row>
    <x:row r="210" ht="48" customHeight="1">
      <x:c r="A210" s="21" t="str">
        <x:v>全量观察(探索)</x:v>
      </x:c>
      <x:c r="B210" s="22" t="str">
        <x:v>质量导向型（教学诊断对照）</x:v>
      </x:c>
      <x:c r="C210" s="22" t="str">
        <x:v>后20%</x:v>
      </x:c>
      <x:c r="D210" s="22" t="str">
        <x:v>严格进入</x:v>
      </x:c>
      <x:c r="E210" s="22" t="str">
        <x:v>2026春:250845</x:v>
      </x:c>
      <x:c r="F210" s="22" t="str">
        <x:v>s6</x:v>
      </x:c>
      <x:c r="G210" s="26" t="n">
        <x:v>160</x:v>
      </x:c>
      <x:c r="H210" s="25" t="n">
        <x:v>17.5</x:v>
      </x:c>
      <x:c r="I210" s="24" t="n">
        <x:v>1</x:v>
      </x:c>
      <x:c r="J210" s="24" t="n">
        <x:v>1</x:v>
      </x:c>
      <x:c r="K210" s="22" t="str">
        <x:v>是</x:v>
      </x:c>
      <x:c r="L210" s="22" t="n">
        <x:v>0</x:v>
      </x:c>
      <x:c r="M210" s="22" t="n">
        <x:v>0</x:v>
      </x:c>
      <x:c r="N210" s="22" t="n">
        <x:v>0</x:v>
      </x:c>
      <x:c r="O210" s="22" t="n">
        <x:v>17.5</x:v>
      </x:c>
      <x:c r="P210" s="24" t="n">
        <x:v>4</x:v>
      </x:c>
      <x:c r="Q210" s="22" t="str">
        <x:v>["S0825"]</x:v>
      </x:c>
      <x:c r="R210" s="22" t="str">
        <x:v>evidence/student_evidence.jsonl；student_key=2026春:250845</x:v>
      </x:c>
      <x:c r="S210" s="27" t="str">
        <x:v>同一锚点起止1条：未形成独立重复测量。</x:v>
      </x:c>
    </x:row>
    <x:row r="211" ht="23" customHeight="1">
      <x:c r="A211" s="21" t="str">
        <x:v>全量观察(探索)</x:v>
      </x:c>
      <x:c r="B211" s="22" t="str">
        <x:v>质量导向型（教学诊断对照）</x:v>
      </x:c>
      <x:c r="C211" s="22" t="str">
        <x:v>后20%</x:v>
      </x:c>
      <x:c r="D211" s="22" t="str">
        <x:v>严格进入</x:v>
      </x:c>
      <x:c r="E211" s="22" t="str">
        <x:v>2026春:258955</x:v>
      </x:c>
      <x:c r="F211" s="22" t="str">
        <x:v>s3</x:v>
      </x:c>
      <x:c r="G211" s="26" t="n">
        <x:v>160</x:v>
      </x:c>
      <x:c r="H211" s="25" t="n">
        <x:v>17.5</x:v>
      </x:c>
      <x:c r="I211" s="24" t="n">
        <x:v>1</x:v>
      </x:c>
      <x:c r="J211" s="24" t="n">
        <x:v>1</x:v>
      </x:c>
      <x:c r="K211" s="22" t="str">
        <x:v>是</x:v>
      </x:c>
      <x:c r="L211" s="22" t="n">
        <x:v>0</x:v>
      </x:c>
      <x:c r="M211" s="22" t="n">
        <x:v>0</x:v>
      </x:c>
      <x:c r="N211" s="22" t="n">
        <x:v>0</x:v>
      </x:c>
      <x:c r="O211" s="22" t="n">
        <x:v>17.5</x:v>
      </x:c>
      <x:c r="P211" s="24" t="n">
        <x:v>4</x:v>
      </x:c>
      <x:c r="Q211" s="22" t="str">
        <x:v>["S0838"]</x:v>
      </x:c>
      <x:c r="R211" s="22" t="str">
        <x:v>evidence/student_evidence.jsonl；student_key=2026春:258955</x:v>
      </x:c>
      <x:c r="S211" s="27" t="str"/>
    </x:row>
    <x:row r="212" ht="23" customHeight="1">
      <x:c r="A212" s="21" t="str">
        <x:v>全量观察(探索)</x:v>
      </x:c>
      <x:c r="B212" s="22" t="str">
        <x:v>质量导向型（教学诊断对照）</x:v>
      </x:c>
      <x:c r="C212" s="22" t="str">
        <x:v>后20%</x:v>
      </x:c>
      <x:c r="D212" s="22" t="str">
        <x:v>严格进入</x:v>
      </x:c>
      <x:c r="E212" s="22" t="str">
        <x:v>2026春:268176</x:v>
      </x:c>
      <x:c r="F212" s="22" t="str">
        <x:v>s3</x:v>
      </x:c>
      <x:c r="G212" s="26" t="n">
        <x:v>160</x:v>
      </x:c>
      <x:c r="H212" s="25" t="n">
        <x:v>17.5</x:v>
      </x:c>
      <x:c r="I212" s="24" t="n">
        <x:v>1</x:v>
      </x:c>
      <x:c r="J212" s="24" t="n">
        <x:v>1</x:v>
      </x:c>
      <x:c r="K212" s="22" t="str">
        <x:v>是</x:v>
      </x:c>
      <x:c r="L212" s="22" t="n">
        <x:v>0</x:v>
      </x:c>
      <x:c r="M212" s="22" t="n">
        <x:v>0</x:v>
      </x:c>
      <x:c r="N212" s="22" t="n">
        <x:v>0</x:v>
      </x:c>
      <x:c r="O212" s="22" t="n">
        <x:v>17.5</x:v>
      </x:c>
      <x:c r="P212" s="24" t="n">
        <x:v>4</x:v>
      </x:c>
      <x:c r="Q212" s="22" t="str">
        <x:v>["S1047"]</x:v>
      </x:c>
      <x:c r="R212" s="22" t="str">
        <x:v>evidence/student_evidence.jsonl；student_key=2026春:268176</x:v>
      </x:c>
      <x:c r="S212" s="27" t="str"/>
    </x:row>
    <x:row r="213" ht="23" customHeight="1">
      <x:c r="A213" s="21" t="str">
        <x:v>全量观察(探索)</x:v>
      </x:c>
      <x:c r="B213" s="22" t="str">
        <x:v>质量导向型（教学诊断对照）</x:v>
      </x:c>
      <x:c r="C213" s="22" t="str">
        <x:v>后20%</x:v>
      </x:c>
      <x:c r="D213" s="22" t="str">
        <x:v>严格进入</x:v>
      </x:c>
      <x:c r="E213" s="22" t="str">
        <x:v>2026春:268538</x:v>
      </x:c>
      <x:c r="F213" s="22" t="str">
        <x:v>s3</x:v>
      </x:c>
      <x:c r="G213" s="26" t="n">
        <x:v>160</x:v>
      </x:c>
      <x:c r="H213" s="25" t="n">
        <x:v>17.5</x:v>
      </x:c>
      <x:c r="I213" s="24" t="n">
        <x:v>1</x:v>
      </x:c>
      <x:c r="J213" s="24" t="n">
        <x:v>1</x:v>
      </x:c>
      <x:c r="K213" s="22" t="str">
        <x:v>是</x:v>
      </x:c>
      <x:c r="L213" s="22" t="n">
        <x:v>0</x:v>
      </x:c>
      <x:c r="M213" s="22" t="n">
        <x:v>0</x:v>
      </x:c>
      <x:c r="N213" s="22" t="n">
        <x:v>0</x:v>
      </x:c>
      <x:c r="O213" s="22" t="n">
        <x:v>17.5</x:v>
      </x:c>
      <x:c r="P213" s="24" t="n">
        <x:v>4</x:v>
      </x:c>
      <x:c r="Q213" s="22" t="str">
        <x:v>["S1276"]</x:v>
      </x:c>
      <x:c r="R213" s="22" t="str">
        <x:v>evidence/student_evidence.jsonl；student_key=2026春:268538</x:v>
      </x:c>
      <x:c r="S213" s="27" t="str"/>
    </x:row>
    <x:row r="214" ht="23" customHeight="1">
      <x:c r="A214" s="21" t="str">
        <x:v>全量观察(探索)</x:v>
      </x:c>
      <x:c r="B214" s="22" t="str">
        <x:v>质量导向型（教学诊断对照）</x:v>
      </x:c>
      <x:c r="C214" s="22" t="str">
        <x:v>后20%</x:v>
      </x:c>
      <x:c r="D214" s="22" t="str">
        <x:v>严格进入</x:v>
      </x:c>
      <x:c r="E214" s="22" t="str">
        <x:v>2026春:268133</x:v>
      </x:c>
      <x:c r="F214" s="22" t="str">
        <x:v>s3</x:v>
      </x:c>
      <x:c r="G214" s="26" t="n">
        <x:v>171</x:v>
      </x:c>
      <x:c r="H214" s="25" t="n">
        <x:v>14.236597373178462</x:v>
      </x:c>
      <x:c r="I214" s="24" t="n">
        <x:v>1</x:v>
      </x:c>
      <x:c r="J214" s="24" t="n">
        <x:v>1</x:v>
      </x:c>
      <x:c r="K214" s="22" t="str">
        <x:v>是</x:v>
      </x:c>
      <x:c r="L214" s="22" t="n">
        <x:v>0.27161373134546835</x:v>
      </x:c>
      <x:c r="M214" s="22" t="n">
        <x:v>3.9112377313747437</x:v>
      </x:c>
      <x:c r="N214" s="22" t="n">
        <x:v>1.303745910458248</x:v>
      </x:c>
      <x:c r="O214" s="22" t="n">
        <x:v>8.75</x:v>
      </x:c>
      <x:c r="P214" s="24" t="n">
        <x:v>4</x:v>
      </x:c>
      <x:c r="Q214" s="22" t="str">
        <x:v>["S0944"]</x:v>
      </x:c>
      <x:c r="R214" s="22" t="str">
        <x:v>evidence/student_evidence.jsonl；student_key=2026春:268133</x:v>
      </x:c>
      <x:c r="S214" s="27" t="str"/>
    </x:row>
    <x:row r="215" ht="23" customHeight="1">
      <x:c r="A215" s="21" t="str">
        <x:v>全量观察(探索)</x:v>
      </x:c>
      <x:c r="B215" s="22" t="str">
        <x:v>质量导向型（教学诊断对照）</x:v>
      </x:c>
      <x:c r="C215" s="22" t="str">
        <x:v>后20%</x:v>
      </x:c>
      <x:c r="D215" s="22" t="str">
        <x:v>严格进入</x:v>
      </x:c>
      <x:c r="E215" s="22" t="str">
        <x:v>2026春:250868</x:v>
      </x:c>
      <x:c r="F215" s="22" t="str">
        <x:v>s3</x:v>
      </x:c>
      <x:c r="G215" s="26" t="n">
        <x:v>172</x:v>
      </x:c>
      <x:c r="H215" s="25" t="n">
        <x:v>13.937292067500401</x:v>
      </x:c>
      <x:c r="I215" s="24" t="n">
        <x:v>1</x:v>
      </x:c>
      <x:c r="J215" s="24" t="n">
        <x:v>1</x:v>
      </x:c>
      <x:c r="K215" s="22" t="str">
        <x:v>是</x:v>
      </x:c>
      <x:c r="L215" s="22" t="n">
        <x:v>0.2567966370049704</x:v>
      </x:c>
      <x:c r="M215" s="22" t="n">
        <x:v>3.697871572871574</x:v>
      </x:c>
      <x:c r="N215" s="22" t="n">
        <x:v>1.2326238576238582</x:v>
      </x:c>
      <x:c r="O215" s="22" t="n">
        <x:v>8.75</x:v>
      </x:c>
      <x:c r="P215" s="24" t="n">
        <x:v>4</x:v>
      </x:c>
      <x:c r="Q215" s="22" t="str">
        <x:v>["S0828"]</x:v>
      </x:c>
      <x:c r="R215" s="22" t="str">
        <x:v>evidence/student_evidence.jsonl；student_key=2026春:250868</x:v>
      </x:c>
      <x:c r="S215" s="27" t="str"/>
    </x:row>
    <x:row r="216" ht="48" customHeight="1">
      <x:c r="A216" s="21" t="str">
        <x:v>全量观察(探索)</x:v>
      </x:c>
      <x:c r="B216" s="22" t="str">
        <x:v>质量导向型（教学诊断对照）</x:v>
      </x:c>
      <x:c r="C216" s="22" t="str">
        <x:v>后20%</x:v>
      </x:c>
      <x:c r="D216" s="22" t="str">
        <x:v>严格进入</x:v>
      </x:c>
      <x:c r="E216" s="22" t="str">
        <x:v>2025秋:258269</x:v>
      </x:c>
      <x:c r="F216" s="22" t="str">
        <x:v>s3</x:v>
      </x:c>
      <x:c r="G216" s="26" t="n">
        <x:v>173.5</x:v>
      </x:c>
      <x:c r="H216" s="25" t="n">
        <x:v>11.666666666666666</x:v>
      </x:c>
      <x:c r="I216" s="24" t="n">
        <x:v>1</x:v>
      </x:c>
      <x:c r="J216" s="24" t="n">
        <x:v>1</x:v>
      </x:c>
      <x:c r="K216" s="22" t="str">
        <x:v>否</x:v>
      </x:c>
      <x:c r="L216" s="22" t="n">
        <x:v>0</x:v>
      </x:c>
      <x:c r="M216" s="22" t="n">
        <x:v>0</x:v>
      </x:c>
      <x:c r="N216" s="22" t="n">
        <x:v>0</x:v>
      </x:c>
      <x:c r="O216" s="22" t="n">
        <x:v>11.666666666666664</x:v>
      </x:c>
      <x:c r="P216" s="24" t="n">
        <x:v>4</x:v>
      </x:c>
      <x:c r="Q216" s="22" t="str">
        <x:v>["S0297"]</x:v>
      </x:c>
      <x:c r="R216" s="22" t="str">
        <x:v>evidence/student_evidence.jsonl；student_key=2025秋:258269</x:v>
      </x:c>
      <x:c r="S216" s="27" t="str">
        <x:v>同一锚点起止1条：未形成独立重复测量。</x:v>
      </x:c>
    </x:row>
    <x:row r="217" ht="23" customHeight="1">
      <x:c r="A217" s="21" t="str">
        <x:v>全量观察(探索)</x:v>
      </x:c>
      <x:c r="B217" s="22" t="str">
        <x:v>质量导向型（教学诊断对照）</x:v>
      </x:c>
      <x:c r="C217" s="22" t="str">
        <x:v>后20%</x:v>
      </x:c>
      <x:c r="D217" s="22" t="str">
        <x:v>严格进入</x:v>
      </x:c>
      <x:c r="E217" s="22" t="str">
        <x:v>2025秋:259001</x:v>
      </x:c>
      <x:c r="F217" s="22" t="str">
        <x:v>s3</x:v>
      </x:c>
      <x:c r="G217" s="26" t="n">
        <x:v>173.5</x:v>
      </x:c>
      <x:c r="H217" s="25" t="n">
        <x:v>11.666666666666666</x:v>
      </x:c>
      <x:c r="I217" s="24" t="n">
        <x:v>1</x:v>
      </x:c>
      <x:c r="J217" s="24" t="n">
        <x:v>1</x:v>
      </x:c>
      <x:c r="K217" s="22" t="str">
        <x:v>否</x:v>
      </x:c>
      <x:c r="L217" s="22" t="n">
        <x:v>0</x:v>
      </x:c>
      <x:c r="M217" s="22" t="n">
        <x:v>0</x:v>
      </x:c>
      <x:c r="N217" s="22" t="n">
        <x:v>0</x:v>
      </x:c>
      <x:c r="O217" s="22" t="n">
        <x:v>11.666666666666664</x:v>
      </x:c>
      <x:c r="P217" s="24" t="n">
        <x:v>4</x:v>
      </x:c>
      <x:c r="Q217" s="22" t="str">
        <x:v>["S0159"]</x:v>
      </x:c>
      <x:c r="R217" s="22" t="str">
        <x:v>evidence/student_evidence.jsonl；student_key=2025秋:259001</x:v>
      </x:c>
      <x:c r="S217" s="27" t="str"/>
    </x:row>
    <x:row r="218" ht="48" customHeight="1">
      <x:c r="A218" s="21" t="str">
        <x:v>全量观察(探索)</x:v>
      </x:c>
      <x:c r="B218" s="22" t="str">
        <x:v>分组熵权型</x:v>
      </x:c>
      <x:c r="C218" s="22" t="str">
        <x:v>前20%</x:v>
      </x:c>
      <x:c r="D218" s="22" t="str">
        <x:v>严格进入</x:v>
      </x:c>
      <x:c r="E218" s="22" t="str">
        <x:v>2025秋:259329</x:v>
      </x:c>
      <x:c r="F218" s="22" t="str">
        <x:v>s6</x:v>
      </x:c>
      <x:c r="G218" s="26" t="n">
        <x:v>1</x:v>
      </x:c>
      <x:c r="H218" s="25" t="n">
        <x:v>68.86018196123493</x:v>
      </x:c>
      <x:c r="I218" s="24" t="n">
        <x:v>1</x:v>
      </x:c>
      <x:c r="J218" s="24" t="n">
        <x:v>1</x:v>
      </x:c>
      <x:c r="K218" s="22" t="str">
        <x:v>是</x:v>
      </x:c>
      <x:c r="L218" s="22" t="n">
        <x:v>1.55816527625137</x:v>
      </x:c>
      <x:c r="M218" s="22" t="n">
        <x:v>18.803401534545667</x:v>
      </x:c>
      <x:c r="N218" s="22" t="n">
        <x:v>18.498615150437885</x:v>
      </x:c>
      <x:c r="O218" s="22" t="n">
        <x:v>30</x:v>
      </x:c>
      <x:c r="P218" s="24" t="n">
        <x:v>4</x:v>
      </x:c>
      <x:c r="Q218" s="22" t="str">
        <x:v>["S0112"]</x:v>
      </x:c>
      <x:c r="R218" s="22" t="str">
        <x:v>evidence/student_evidence.jsonl；student_key=2025秋:259329</x:v>
      </x:c>
      <x:c r="S218" s="27" t="str">
        <x:v>S0112库存案例为文字框架，未见完整方程、求解及验证；L6构造要求需复核。</x:v>
      </x:c>
    </x:row>
    <x:row r="219" ht="48" customHeight="1">
      <x:c r="A219" s="21" t="str">
        <x:v>全量观察(探索)</x:v>
      </x:c>
      <x:c r="B219" s="22" t="str">
        <x:v>分组熵权型</x:v>
      </x:c>
      <x:c r="C219" s="22" t="str">
        <x:v>前20%</x:v>
      </x:c>
      <x:c r="D219" s="22" t="str">
        <x:v>严格进入</x:v>
      </x:c>
      <x:c r="E219" s="22" t="str">
        <x:v>2025秋:259869</x:v>
      </x:c>
      <x:c r="F219" s="22" t="str">
        <x:v>s6</x:v>
      </x:c>
      <x:c r="G219" s="26" t="n">
        <x:v>2</x:v>
      </x:c>
      <x:c r="H219" s="25" t="n">
        <x:v>63.57522745154366</x:v>
      </x:c>
      <x:c r="I219" s="24" t="n">
        <x:v>1</x:v>
      </x:c>
      <x:c r="J219" s="24" t="n">
        <x:v>1</x:v>
      </x:c>
      <x:c r="K219" s="22" t="str">
        <x:v>是</x:v>
      </x:c>
      <x:c r="L219" s="22" t="n">
        <x:v>1.9477065953142123</x:v>
      </x:c>
      <x:c r="M219" s="22" t="n">
        <x:v>23.504251918182085</x:v>
      </x:c>
      <x:c r="N219" s="22" t="n">
        <x:v>23.12326893804736</x:v>
      </x:c>
      <x:c r="O219" s="22" t="n">
        <x:v>15</x:v>
      </x:c>
      <x:c r="P219" s="24" t="n">
        <x:v>4</x:v>
      </x:c>
      <x:c r="Q219" s="22" t="str">
        <x:v>["S0220"]</x:v>
      </x:c>
      <x:c r="R219" s="22" t="str">
        <x:v>evidence/student_evidence.jsonl；student_key=2025秋:259869</x:v>
      </x:c>
      <x:c r="S219" s="27" t="str">
        <x:v>S0220 L1→L6。高点为无人机局部方案，未见独立求解及最优性验证；L6充分性待复核。</x:v>
      </x:c>
    </x:row>
    <x:row r="220" ht="23" customHeight="1">
      <x:c r="A220" s="21" t="str">
        <x:v>全量观察(探索)</x:v>
      </x:c>
      <x:c r="B220" s="22" t="str">
        <x:v>分组熵权型</x:v>
      </x:c>
      <x:c r="C220" s="22" t="str">
        <x:v>前20%</x:v>
      </x:c>
      <x:c r="D220" s="22" t="str">
        <x:v>严格进入</x:v>
      </x:c>
      <x:c r="E220" s="22" t="str">
        <x:v>2025秋:258902</x:v>
      </x:c>
      <x:c r="F220" s="22" t="str">
        <x:v>s3</x:v>
      </x:c>
      <x:c r="G220" s="26" t="n">
        <x:v>3.5</x:v>
      </x:c>
      <x:c r="H220" s="25" t="n">
        <x:v>54.4191505190348</x:v>
      </x:c>
      <x:c r="I220" s="24" t="n">
        <x:v>1</x:v>
      </x:c>
      <x:c r="J220" s="24" t="n">
        <x:v>1</x:v>
      </x:c>
      <x:c r="K220" s="22" t="str">
        <x:v>是</x:v>
      </x:c>
      <x:c r="L220" s="22" t="n">
        <x:v>0.9791274897341345</x:v>
      </x:c>
      <x:c r="M220" s="22" t="n">
        <x:v>11.815773091334465</x:v>
      </x:c>
      <x:c r="N220" s="22" t="n">
        <x:v>11.624249937966201</x:v>
      </x:c>
      <x:c r="O220" s="22" t="n">
        <x:v>30</x:v>
      </x:c>
      <x:c r="P220" s="24" t="n">
        <x:v>4</x:v>
      </x:c>
      <x:c r="Q220" s="22" t="str">
        <x:v>["S0149"]</x:v>
      </x:c>
      <x:c r="R220" s="22" t="str">
        <x:v>evidence/student_evidence.jsonl；student_key=2025秋:258902</x:v>
      </x:c>
      <x:c r="S220" s="27" t="str"/>
    </x:row>
    <x:row r="221" ht="23" customHeight="1">
      <x:c r="A221" s="21" t="str">
        <x:v>全量观察(探索)</x:v>
      </x:c>
      <x:c r="B221" s="22" t="str">
        <x:v>分组熵权型</x:v>
      </x:c>
      <x:c r="C221" s="22" t="str">
        <x:v>前20%</x:v>
      </x:c>
      <x:c r="D221" s="22" t="str">
        <x:v>严格进入</x:v>
      </x:c>
      <x:c r="E221" s="22" t="str">
        <x:v>2025秋:259407</x:v>
      </x:c>
      <x:c r="F221" s="22" t="str">
        <x:v>s3</x:v>
      </x:c>
      <x:c r="G221" s="26" t="n">
        <x:v>3.5</x:v>
      </x:c>
      <x:c r="H221" s="25" t="n">
        <x:v>54.4191505190348</x:v>
      </x:c>
      <x:c r="I221" s="24" t="n">
        <x:v>1</x:v>
      </x:c>
      <x:c r="J221" s="24" t="n">
        <x:v>1</x:v>
      </x:c>
      <x:c r="K221" s="22" t="str">
        <x:v>是</x:v>
      </x:c>
      <x:c r="L221" s="22" t="n">
        <x:v>0.9791274897341345</x:v>
      </x:c>
      <x:c r="M221" s="22" t="n">
        <x:v>11.815773091334465</x:v>
      </x:c>
      <x:c r="N221" s="22" t="n">
        <x:v>11.624249937966201</x:v>
      </x:c>
      <x:c r="O221" s="22" t="n">
        <x:v>30</x:v>
      </x:c>
      <x:c r="P221" s="24" t="n">
        <x:v>4</x:v>
      </x:c>
      <x:c r="Q221" s="22" t="str">
        <x:v>["S0036"]</x:v>
      </x:c>
      <x:c r="R221" s="22" t="str">
        <x:v>evidence/student_evidence.jsonl；student_key=2025秋:259407</x:v>
      </x:c>
      <x:c r="S221" s="27" t="str"/>
    </x:row>
    <x:row r="222" ht="23" customHeight="1">
      <x:c r="A222" s="21" t="str">
        <x:v>全量观察(探索)</x:v>
      </x:c>
      <x:c r="B222" s="22" t="str">
        <x:v>分组熵权型</x:v>
      </x:c>
      <x:c r="C222" s="22" t="str">
        <x:v>前20%</x:v>
      </x:c>
      <x:c r="D222" s="22" t="str">
        <x:v>严格进入</x:v>
      </x:c>
      <x:c r="E222" s="22" t="str">
        <x:v>2025秋:259021</x:v>
      </x:c>
      <x:c r="F222" s="22" t="str">
        <x:v>s3</x:v>
      </x:c>
      <x:c r="G222" s="26" t="n">
        <x:v>5.5</x:v>
      </x:c>
      <x:c r="H222" s="25" t="n">
        <x:v>54.10037658211655</x:v>
      </x:c>
      <x:c r="I222" s="24" t="n">
        <x:v>1</x:v>
      </x:c>
      <x:c r="J222" s="24" t="n">
        <x:v>1</x:v>
      </x:c>
      <x:c r="K222" s="22" t="str">
        <x:v>是</x:v>
      </x:c>
      <x:c r="L222" s="22" t="n">
        <x:v>0.9663457050277365</x:v>
      </x:c>
      <x:c r="M222" s="22" t="n">
        <x:v>11.661526918720012</x:v>
      </x:c>
      <x:c r="N222" s="22" t="n">
        <x:v>11.472503958368808</x:v>
      </x:c>
      <x:c r="O222" s="22" t="n">
        <x:v>30</x:v>
      </x:c>
      <x:c r="P222" s="24" t="n">
        <x:v>4</x:v>
      </x:c>
      <x:c r="Q222" s="22" t="str">
        <x:v>["S0464"]</x:v>
      </x:c>
      <x:c r="R222" s="22" t="str">
        <x:v>evidence/student_evidence.jsonl；student_key=2025秋:259021</x:v>
      </x:c>
      <x:c r="S222" s="27" t="str"/>
    </x:row>
    <x:row r="223" ht="23" customHeight="1">
      <x:c r="A223" s="21" t="str">
        <x:v>全量观察(探索)</x:v>
      </x:c>
      <x:c r="B223" s="22" t="str">
        <x:v>分组熵权型</x:v>
      </x:c>
      <x:c r="C223" s="22" t="str">
        <x:v>前20%</x:v>
      </x:c>
      <x:c r="D223" s="22" t="str">
        <x:v>严格进入</x:v>
      </x:c>
      <x:c r="E223" s="22" t="str">
        <x:v>2025秋:25A081</x:v>
      </x:c>
      <x:c r="F223" s="22" t="str">
        <x:v>s3</x:v>
      </x:c>
      <x:c r="G223" s="26" t="n">
        <x:v>5.5</x:v>
      </x:c>
      <x:c r="H223" s="25" t="n">
        <x:v>54.10037658211655</x:v>
      </x:c>
      <x:c r="I223" s="24" t="n">
        <x:v>1</x:v>
      </x:c>
      <x:c r="J223" s="24" t="n">
        <x:v>1</x:v>
      </x:c>
      <x:c r="K223" s="22" t="str">
        <x:v>是</x:v>
      </x:c>
      <x:c r="L223" s="22" t="n">
        <x:v>0.9663457050277365</x:v>
      </x:c>
      <x:c r="M223" s="22" t="n">
        <x:v>11.661526918720012</x:v>
      </x:c>
      <x:c r="N223" s="22" t="n">
        <x:v>11.472503958368808</x:v>
      </x:c>
      <x:c r="O223" s="22" t="n">
        <x:v>30</x:v>
      </x:c>
      <x:c r="P223" s="24" t="n">
        <x:v>4</x:v>
      </x:c>
      <x:c r="Q223" s="22" t="str">
        <x:v>["S0411"]</x:v>
      </x:c>
      <x:c r="R223" s="22" t="str">
        <x:v>evidence/student_evidence.jsonl；student_key=2025秋:25A081</x:v>
      </x:c>
      <x:c r="S223" s="27" t="str"/>
    </x:row>
    <x:row r="224" ht="23" customHeight="1">
      <x:c r="A224" s="21" t="str">
        <x:v>全量观察(探索)</x:v>
      </x:c>
      <x:c r="B224" s="22" t="str">
        <x:v>分组熵权型</x:v>
      </x:c>
      <x:c r="C224" s="22" t="str">
        <x:v>前20%</x:v>
      </x:c>
      <x:c r="D224" s="22" t="str">
        <x:v>严格进入</x:v>
      </x:c>
      <x:c r="E224" s="22" t="str">
        <x:v>2025秋:259401</x:v>
      </x:c>
      <x:c r="F224" s="22" t="str">
        <x:v>s3</x:v>
      </x:c>
      <x:c r="G224" s="26" t="n">
        <x:v>7.5</x:v>
      </x:c>
      <x:c r="H224" s="25" t="n">
        <x:v>53.95294200050438</x:v>
      </x:c>
      <x:c r="I224" s="24" t="n">
        <x:v>1</x:v>
      </x:c>
      <x:c r="J224" s="24" t="n">
        <x:v>1</x:v>
      </x:c>
      <x:c r="K224" s="22" t="str">
        <x:v>否</x:v>
      </x:c>
      <x:c r="L224" s="22" t="n">
        <x:v>0.9604340640113384</x:v>
      </x:c>
      <x:c r="M224" s="22" t="n">
        <x:v>11.590187272372063</x:v>
      </x:c>
      <x:c r="N224" s="22" t="n">
        <x:v>11.40232066412098</x:v>
      </x:c>
      <x:c r="O224" s="22" t="n">
        <x:v>30</x:v>
      </x:c>
      <x:c r="P224" s="24" t="n">
        <x:v>4</x:v>
      </x:c>
      <x:c r="Q224" s="22" t="str">
        <x:v>["S0378"]</x:v>
      </x:c>
      <x:c r="R224" s="22" t="str">
        <x:v>evidence/student_evidence.jsonl；student_key=2025秋:259401</x:v>
      </x:c>
      <x:c r="S224" s="27" t="str"/>
    </x:row>
    <x:row r="225" ht="23" customHeight="1">
      <x:c r="A225" s="21" t="str">
        <x:v>全量观察(探索)</x:v>
      </x:c>
      <x:c r="B225" s="22" t="str">
        <x:v>分组熵权型</x:v>
      </x:c>
      <x:c r="C225" s="22" t="str">
        <x:v>前20%</x:v>
      </x:c>
      <x:c r="D225" s="22" t="str">
        <x:v>严格进入</x:v>
      </x:c>
      <x:c r="E225" s="22" t="str">
        <x:v>2025秋:259961</x:v>
      </x:c>
      <x:c r="F225" s="22" t="str">
        <x:v>s3</x:v>
      </x:c>
      <x:c r="G225" s="26" t="n">
        <x:v>7.5</x:v>
      </x:c>
      <x:c r="H225" s="25" t="n">
        <x:v>53.95294200050438</x:v>
      </x:c>
      <x:c r="I225" s="24" t="n">
        <x:v>1</x:v>
      </x:c>
      <x:c r="J225" s="24" t="n">
        <x:v>1</x:v>
      </x:c>
      <x:c r="K225" s="22" t="str">
        <x:v>是</x:v>
      </x:c>
      <x:c r="L225" s="22" t="n">
        <x:v>0.9604340640113384</x:v>
      </x:c>
      <x:c r="M225" s="22" t="n">
        <x:v>11.590187272372063</x:v>
      </x:c>
      <x:c r="N225" s="22" t="n">
        <x:v>11.40232066412098</x:v>
      </x:c>
      <x:c r="O225" s="22" t="n">
        <x:v>30</x:v>
      </x:c>
      <x:c r="P225" s="24" t="n">
        <x:v>4</x:v>
      </x:c>
      <x:c r="Q225" s="22" t="str">
        <x:v>["S0296"]</x:v>
      </x:c>
      <x:c r="R225" s="22" t="str">
        <x:v>evidence/student_evidence.jsonl；student_key=2025秋:259961</x:v>
      </x:c>
      <x:c r="S225" s="27" t="str"/>
    </x:row>
    <x:row r="226" ht="48" customHeight="1">
      <x:c r="A226" s="21" t="str">
        <x:v>全量观察(探索)</x:v>
      </x:c>
      <x:c r="B226" s="22" t="str">
        <x:v>分组熵权型</x:v>
      </x:c>
      <x:c r="C226" s="22" t="str">
        <x:v>前20%</x:v>
      </x:c>
      <x:c r="D226" s="22" t="str">
        <x:v>严格进入</x:v>
      </x:c>
      <x:c r="E226" s="22" t="str">
        <x:v>2025秋:258524</x:v>
      </x:c>
      <x:c r="F226" s="22" t="str">
        <x:v>s6</x:v>
      </x:c>
      <x:c r="G226" s="26" t="n">
        <x:v>9</x:v>
      </x:c>
      <x:c r="H226" s="25" t="n">
        <x:v>53.86018196123493</x:v>
      </x:c>
      <x:c r="I226" s="24" t="n">
        <x:v>1</x:v>
      </x:c>
      <x:c r="J226" s="24" t="n">
        <x:v>1</x:v>
      </x:c>
      <x:c r="K226" s="22" t="str">
        <x:v>是</x:v>
      </x:c>
      <x:c r="L226" s="22" t="n">
        <x:v>1.55816527625137</x:v>
      </x:c>
      <x:c r="M226" s="22" t="n">
        <x:v>18.803401534545667</x:v>
      </x:c>
      <x:c r="N226" s="22" t="n">
        <x:v>18.498615150437885</x:v>
      </x:c>
      <x:c r="O226" s="22" t="n">
        <x:v>15</x:v>
      </x:c>
      <x:c r="P226" s="24" t="n">
        <x:v>4</x:v>
      </x:c>
      <x:c r="Q226" s="22" t="str">
        <x:v>["S0041"]</x:v>
      </x:c>
      <x:c r="R226" s="22" t="str">
        <x:v>evidence/student_evidence.jsonl；student_key=2025秋:258524</x:v>
      </x:c>
      <x:c r="S226" s="27" t="str">
        <x:v>S0041低起点仅“长得漂亮”，大增量对L1起点敏感；末端为概念解释，知识基础及独立掌握待核。</x:v>
      </x:c>
    </x:row>
    <x:row r="227" ht="23" customHeight="1">
      <x:c r="A227" s="21" t="str">
        <x:v>全量观察(探索)</x:v>
      </x:c>
      <x:c r="B227" s="22" t="str">
        <x:v>分组熵权型</x:v>
      </x:c>
      <x:c r="C227" s="22" t="str">
        <x:v>前20%</x:v>
      </x:c>
      <x:c r="D227" s="22" t="str">
        <x:v>严格进入</x:v>
      </x:c>
      <x:c r="E227" s="22" t="str">
        <x:v>2025秋:25A134</x:v>
      </x:c>
      <x:c r="F227" s="22" t="str">
        <x:v>s3</x:v>
      </x:c>
      <x:c r="G227" s="26" t="n">
        <x:v>10</x:v>
      </x:c>
      <x:c r="H227" s="25" t="n">
        <x:v>53.6889440881096</x:v>
      </x:c>
      <x:c r="I227" s="24" t="n">
        <x:v>1</x:v>
      </x:c>
      <x:c r="J227" s="24" t="n">
        <x:v>1</x:v>
      </x:c>
      <x:c r="K227" s="22" t="str">
        <x:v>是</x:v>
      </x:c>
      <x:c r="L227" s="22" t="n">
        <x:v>0.949848617435027</x:v>
      </x:c>
      <x:c r="M227" s="22" t="n">
        <x:v>11.462445751346953</x:v>
      </x:c>
      <x:c r="N227" s="22" t="n">
        <x:v>11.27664971932763</x:v>
      </x:c>
      <x:c r="O227" s="22" t="n">
        <x:v>30</x:v>
      </x:c>
      <x:c r="P227" s="24" t="n">
        <x:v>4</x:v>
      </x:c>
      <x:c r="Q227" s="22" t="str">
        <x:v>["S0311"]</x:v>
      </x:c>
      <x:c r="R227" s="22" t="str">
        <x:v>evidence/student_evidence.jsonl；student_key=2025秋:25A134</x:v>
      </x:c>
      <x:c r="S227" s="27" t="str"/>
    </x:row>
    <x:row r="228" ht="23" customHeight="1">
      <x:c r="A228" s="21" t="str">
        <x:v>全量观察(探索)</x:v>
      </x:c>
      <x:c r="B228" s="22" t="str">
        <x:v>分组熵权型</x:v>
      </x:c>
      <x:c r="C228" s="22" t="str">
        <x:v>前20%</x:v>
      </x:c>
      <x:c r="D228" s="22" t="str">
        <x:v>严格进入</x:v>
      </x:c>
      <x:c r="E228" s="22" t="str">
        <x:v>2025秋:258878</x:v>
      </x:c>
      <x:c r="F228" s="22" t="str">
        <x:v>s3</x:v>
      </x:c>
      <x:c r="G228" s="26" t="n">
        <x:v>11.5</x:v>
      </x:c>
      <x:c r="H228" s="25" t="n">
        <x:v>53.65736685373125</x:v>
      </x:c>
      <x:c r="I228" s="24" t="n">
        <x:v>1</x:v>
      </x:c>
      <x:c r="J228" s="24" t="n">
        <x:v>1</x:v>
      </x:c>
      <x:c r="K228" s="22" t="str">
        <x:v>是</x:v>
      </x:c>
      <x:c r="L228" s="22" t="n">
        <x:v>0.9485824743640169</x:v>
      </x:c>
      <x:c r="M228" s="22" t="n">
        <x:v>11.447166373140256</x:v>
      </x:c>
      <x:c r="N228" s="22" t="n">
        <x:v>11.261618006226977</x:v>
      </x:c>
      <x:c r="O228" s="22" t="n">
        <x:v>30</x:v>
      </x:c>
      <x:c r="P228" s="24" t="n">
        <x:v>4</x:v>
      </x:c>
      <x:c r="Q228" s="22" t="str">
        <x:v>["S0364"]</x:v>
      </x:c>
      <x:c r="R228" s="22" t="str">
        <x:v>evidence/student_evidence.jsonl；student_key=2025秋:258878</x:v>
      </x:c>
      <x:c r="S228" s="27" t="str"/>
    </x:row>
    <x:row r="229" ht="23" customHeight="1">
      <x:c r="A229" s="21" t="str">
        <x:v>全量观察(探索)</x:v>
      </x:c>
      <x:c r="B229" s="22" t="str">
        <x:v>分组熵权型</x:v>
      </x:c>
      <x:c r="C229" s="22" t="str">
        <x:v>前20%</x:v>
      </x:c>
      <x:c r="D229" s="22" t="str">
        <x:v>严格进入</x:v>
      </x:c>
      <x:c r="E229" s="22" t="str">
        <x:v>2025秋:258888</x:v>
      </x:c>
      <x:c r="F229" s="22" t="str">
        <x:v>s3</x:v>
      </x:c>
      <x:c r="G229" s="26" t="n">
        <x:v>11.5</x:v>
      </x:c>
      <x:c r="H229" s="25" t="n">
        <x:v>53.65736685373125</x:v>
      </x:c>
      <x:c r="I229" s="24" t="n">
        <x:v>2</x:v>
      </x:c>
      <x:c r="J229" s="24" t="n">
        <x:v>1</x:v>
      </x:c>
      <x:c r="K229" s="22" t="str">
        <x:v>是</x:v>
      </x:c>
      <x:c r="L229" s="22" t="n">
        <x:v>0.9485824743640169</x:v>
      </x:c>
      <x:c r="M229" s="22" t="n">
        <x:v>11.447166373140256</x:v>
      </x:c>
      <x:c r="N229" s="22" t="n">
        <x:v>11.261618006226977</x:v>
      </x:c>
      <x:c r="O229" s="22" t="n">
        <x:v>30</x:v>
      </x:c>
      <x:c r="P229" s="24" t="n">
        <x:v>4</x:v>
      </x:c>
      <x:c r="Q229" s="22" t="str">
        <x:v>["S0190","S0365"]</x:v>
      </x:c>
      <x:c r="R229" s="22" t="str">
        <x:v>evidence/student_evidence.jsonl；student_key=2025秋:258888</x:v>
      </x:c>
      <x:c r="S229" s="27" t="str"/>
    </x:row>
    <x:row r="230" ht="23" customHeight="1">
      <x:c r="A230" s="21" t="str">
        <x:v>全量观察(探索)</x:v>
      </x:c>
      <x:c r="B230" s="22" t="str">
        <x:v>分组熵权型</x:v>
      </x:c>
      <x:c r="C230" s="22" t="str">
        <x:v>前20%</x:v>
      </x:c>
      <x:c r="D230" s="22" t="str">
        <x:v>严格进入</x:v>
      </x:c>
      <x:c r="E230" s="22" t="str">
        <x:v>2025秋:258988</x:v>
      </x:c>
      <x:c r="F230" s="22" t="str">
        <x:v>s3</x:v>
      </x:c>
      <x:c r="G230" s="26" t="n">
        <x:v>13</x:v>
      </x:c>
      <x:c r="H230" s="25" t="n">
        <x:v>53.47024234257025</x:v>
      </x:c>
      <x:c r="I230" s="24" t="n">
        <x:v>1</x:v>
      </x:c>
      <x:c r="J230" s="24" t="n">
        <x:v>1</x:v>
      </x:c>
      <x:c r="K230" s="22" t="str">
        <x:v>是</x:v>
      </x:c>
      <x:c r="L230" s="22" t="n">
        <x:v>0.9410793979266125</x:v>
      </x:c>
      <x:c r="M230" s="22" t="n">
        <x:v>11.356621832617366</x:v>
      </x:c>
      <x:c r="N230" s="22" t="n">
        <x:v>11.172541112026268</x:v>
      </x:c>
      <x:c r="O230" s="22" t="n">
        <x:v>30</x:v>
      </x:c>
      <x:c r="P230" s="24" t="n">
        <x:v>4</x:v>
      </x:c>
      <x:c r="Q230" s="22" t="str">
        <x:v>["S0315"]</x:v>
      </x:c>
      <x:c r="R230" s="22" t="str">
        <x:v>evidence/student_evidence.jsonl；student_key=2025秋:258988</x:v>
      </x:c>
      <x:c r="S230" s="27" t="str"/>
    </x:row>
    <x:row r="231" ht="23" customHeight="1">
      <x:c r="A231" s="21" t="str">
        <x:v>全量观察(探索)</x:v>
      </x:c>
      <x:c r="B231" s="22" t="str">
        <x:v>分组熵权型</x:v>
      </x:c>
      <x:c r="C231" s="22" t="str">
        <x:v>前20%</x:v>
      </x:c>
      <x:c r="D231" s="22" t="str">
        <x:v>严格进入</x:v>
      </x:c>
      <x:c r="E231" s="22" t="str">
        <x:v>2025秋:259044</x:v>
      </x:c>
      <x:c r="F231" s="22" t="str">
        <x:v>s3</x:v>
      </x:c>
      <x:c r="G231" s="26" t="n">
        <x:v>14</x:v>
      </x:c>
      <x:c r="H231" s="25" t="n">
        <x:v>53.388185317587364</x:v>
      </x:c>
      <x:c r="I231" s="24" t="n">
        <x:v>1</x:v>
      </x:c>
      <x:c r="J231" s="24" t="n">
        <x:v>1</x:v>
      </x:c>
      <x:c r="K231" s="22" t="str">
        <x:v>是</x:v>
      </x:c>
      <x:c r="L231" s="22" t="n">
        <x:v>0.9377891815522177</x:v>
      </x:c>
      <x:c r="M231" s="22" t="n">
        <x:v>11.316916635379163</x:v>
      </x:c>
      <x:c r="N231" s="22" t="n">
        <x:v>11.133479500655989</x:v>
      </x:c>
      <x:c r="O231" s="22" t="n">
        <x:v>30</x:v>
      </x:c>
      <x:c r="P231" s="24" t="n">
        <x:v>4</x:v>
      </x:c>
      <x:c r="Q231" s="22" t="str">
        <x:v>["S0074"]</x:v>
      </x:c>
      <x:c r="R231" s="22" t="str">
        <x:v>evidence/student_evidence.jsonl；student_key=2025秋:259044</x:v>
      </x:c>
      <x:c r="S231" s="27" t="str"/>
    </x:row>
    <x:row r="232" ht="23" customHeight="1">
      <x:c r="A232" s="21" t="str">
        <x:v>全量观察(探索)</x:v>
      </x:c>
      <x:c r="B232" s="22" t="str">
        <x:v>分组熵权型</x:v>
      </x:c>
      <x:c r="C232" s="22" t="str">
        <x:v>前20%</x:v>
      </x:c>
      <x:c r="D232" s="22" t="str">
        <x:v>严格进入</x:v>
      </x:c>
      <x:c r="E232" s="22" t="str">
        <x:v>2025秋:258430</x:v>
      </x:c>
      <x:c r="F232" s="22" t="str">
        <x:v>s3</x:v>
      </x:c>
      <x:c r="G232" s="26" t="n">
        <x:v>15</x:v>
      </x:c>
      <x:c r="H232" s="25" t="n">
        <x:v>50.93535323833138</x:v>
      </x:c>
      <x:c r="I232" s="24" t="n">
        <x:v>1</x:v>
      </x:c>
      <x:c r="J232" s="24" t="n">
        <x:v>1</x:v>
      </x:c>
      <x:c r="K232" s="22" t="str">
        <x:v>是</x:v>
      </x:c>
      <x:c r="L232" s="22" t="n">
        <x:v>0.8394386957468581</x:v>
      </x:c>
      <x:c r="M232" s="22" t="n">
        <x:v>10.130056869023113</x:v>
      </x:c>
      <x:c r="N232" s="22" t="n">
        <x:v>9.96585767356141</x:v>
      </x:c>
      <x:c r="O232" s="22" t="n">
        <x:v>30</x:v>
      </x:c>
      <x:c r="P232" s="24" t="n">
        <x:v>4</x:v>
      </x:c>
      <x:c r="Q232" s="22" t="str">
        <x:v>["S0052"]</x:v>
      </x:c>
      <x:c r="R232" s="22" t="str">
        <x:v>evidence/student_evidence.jsonl；student_key=2025秋:258430</x:v>
      </x:c>
      <x:c r="S232" s="27" t="str"/>
    </x:row>
    <x:row r="233" ht="23" customHeight="1">
      <x:c r="A233" s="21" t="str">
        <x:v>全量观察(探索)</x:v>
      </x:c>
      <x:c r="B233" s="22" t="str">
        <x:v>分组熵权型</x:v>
      </x:c>
      <x:c r="C233" s="22" t="str">
        <x:v>前20%</x:v>
      </x:c>
      <x:c r="D233" s="22" t="str">
        <x:v>严格进入</x:v>
      </x:c>
      <x:c r="E233" s="22" t="str">
        <x:v>2025秋:258858</x:v>
      </x:c>
      <x:c r="F233" s="22" t="str">
        <x:v>s3</x:v>
      </x:c>
      <x:c r="G233" s="26" t="n">
        <x:v>16</x:v>
      </x:c>
      <x:c r="H233" s="25" t="n">
        <x:v>49.828104772708556</x:v>
      </x:c>
      <x:c r="I233" s="24" t="n">
        <x:v>2</x:v>
      </x:c>
      <x:c r="J233" s="24" t="n">
        <x:v>2</x:v>
      </x:c>
      <x:c r="K233" s="22" t="str">
        <x:v>是</x:v>
      </x:c>
      <x:c r="L233" s="22" t="n">
        <x:v>1.5133153559111188</x:v>
      </x:c>
      <x:c r="M233" s="22" t="n">
        <x:v>9.131084076667644</x:v>
      </x:c>
      <x:c r="N233" s="22" t="n">
        <x:v>9.183705340129796</x:v>
      </x:c>
      <x:c r="O233" s="22" t="n">
        <x:v>30</x:v>
      </x:c>
      <x:c r="P233" s="24" t="n">
        <x:v>4</x:v>
      </x:c>
      <x:c r="Q233" s="22" t="str">
        <x:v>["S0103","S0232"]</x:v>
      </x:c>
      <x:c r="R233" s="22" t="str">
        <x:v>evidence/student_evidence.jsonl；student_key=2025秋:258858</x:v>
      </x:c>
      <x:c r="S233" s="27" t="str"/>
    </x:row>
    <x:row r="234" ht="23" customHeight="1">
      <x:c r="A234" s="21" t="str">
        <x:v>全量观察(探索)</x:v>
      </x:c>
      <x:c r="B234" s="22" t="str">
        <x:v>分组熵权型</x:v>
      </x:c>
      <x:c r="C234" s="22" t="str">
        <x:v>前20%</x:v>
      </x:c>
      <x:c r="D234" s="22" t="str">
        <x:v>严格进入</x:v>
      </x:c>
      <x:c r="E234" s="22" t="str">
        <x:v>2025秋:259112</x:v>
      </x:c>
      <x:c r="F234" s="22" t="str">
        <x:v>s3</x:v>
      </x:c>
      <x:c r="G234" s="26" t="n">
        <x:v>18</x:v>
      </x:c>
      <x:c r="H234" s="25" t="n">
        <x:v>48.55012043248916</x:v>
      </x:c>
      <x:c r="I234" s="24" t="n">
        <x:v>1</x:v>
      </x:c>
      <x:c r="J234" s="24" t="n">
        <x:v>1</x:v>
      </x:c>
      <x:c r="K234" s="22" t="str">
        <x:v>是</x:v>
      </x:c>
      <x:c r="L234" s="22" t="n">
        <x:v>0.7437987181073694</x:v>
      </x:c>
      <x:c r="M234" s="22" t="n">
        <x:v>8.975906581040338</x:v>
      </x:c>
      <x:c r="N234" s="22" t="n">
        <x:v>8.830415133341452</x:v>
      </x:c>
      <x:c r="O234" s="22" t="n">
        <x:v>30</x:v>
      </x:c>
      <x:c r="P234" s="24" t="n">
        <x:v>4</x:v>
      </x:c>
      <x:c r="Q234" s="22" t="str">
        <x:v>["S0204"]</x:v>
      </x:c>
      <x:c r="R234" s="22" t="str">
        <x:v>evidence/student_evidence.jsonl；student_key=2025秋:259112</x:v>
      </x:c>
      <x:c r="S234" s="27" t="str"/>
    </x:row>
    <x:row r="235" ht="23" customHeight="1">
      <x:c r="A235" s="21" t="str">
        <x:v>全量观察(探索)</x:v>
      </x:c>
      <x:c r="B235" s="22" t="str">
        <x:v>分组熵权型</x:v>
      </x:c>
      <x:c r="C235" s="22" t="str">
        <x:v>前20%</x:v>
      </x:c>
      <x:c r="D235" s="22" t="str">
        <x:v>严格进入</x:v>
      </x:c>
      <x:c r="E235" s="22" t="str">
        <x:v>2025秋:259952</x:v>
      </x:c>
      <x:c r="F235" s="22" t="str">
        <x:v>s3</x:v>
      </x:c>
      <x:c r="G235" s="26" t="n">
        <x:v>18</x:v>
      </x:c>
      <x:c r="H235" s="25" t="n">
        <x:v>48.55012043248916</x:v>
      </x:c>
      <x:c r="I235" s="24" t="n">
        <x:v>1</x:v>
      </x:c>
      <x:c r="J235" s="24" t="n">
        <x:v>1</x:v>
      </x:c>
      <x:c r="K235" s="22" t="str">
        <x:v>否</x:v>
      </x:c>
      <x:c r="L235" s="22" t="n">
        <x:v>0.7437987181073694</x:v>
      </x:c>
      <x:c r="M235" s="22" t="n">
        <x:v>8.975906581040338</x:v>
      </x:c>
      <x:c r="N235" s="22" t="n">
        <x:v>8.830415133341452</x:v>
      </x:c>
      <x:c r="O235" s="22" t="n">
        <x:v>30</x:v>
      </x:c>
      <x:c r="P235" s="24" t="n">
        <x:v>4</x:v>
      </x:c>
      <x:c r="Q235" s="22" t="str">
        <x:v>["S0277"]</x:v>
      </x:c>
      <x:c r="R235" s="22" t="str">
        <x:v>evidence/student_evidence.jsonl；student_key=2025秋:259952</x:v>
      </x:c>
      <x:c r="S235" s="27" t="str"/>
    </x:row>
    <x:row r="236" ht="23" customHeight="1">
      <x:c r="A236" s="21" t="str">
        <x:v>全量观察(探索)</x:v>
      </x:c>
      <x:c r="B236" s="22" t="str">
        <x:v>分组熵权型</x:v>
      </x:c>
      <x:c r="C236" s="22" t="str">
        <x:v>前20%</x:v>
      </x:c>
      <x:c r="D236" s="22" t="str">
        <x:v>严格进入</x:v>
      </x:c>
      <x:c r="E236" s="22" t="str">
        <x:v>2026春:268183</x:v>
      </x:c>
      <x:c r="F236" s="22" t="str">
        <x:v>s3</x:v>
      </x:c>
      <x:c r="G236" s="26" t="n">
        <x:v>18</x:v>
      </x:c>
      <x:c r="H236" s="25" t="n">
        <x:v>48.55012043248916</x:v>
      </x:c>
      <x:c r="I236" s="24" t="n">
        <x:v>1</x:v>
      </x:c>
      <x:c r="J236" s="24" t="n">
        <x:v>1</x:v>
      </x:c>
      <x:c r="K236" s="22" t="str">
        <x:v>是</x:v>
      </x:c>
      <x:c r="L236" s="22" t="n">
        <x:v>0.7437987181073694</x:v>
      </x:c>
      <x:c r="M236" s="22" t="n">
        <x:v>8.975906581040338</x:v>
      </x:c>
      <x:c r="N236" s="22" t="n">
        <x:v>8.830415133341452</x:v>
      </x:c>
      <x:c r="O236" s="22" t="n">
        <x:v>30</x:v>
      </x:c>
      <x:c r="P236" s="24" t="n">
        <x:v>4</x:v>
      </x:c>
      <x:c r="Q236" s="22" t="str">
        <x:v>["S1051"]</x:v>
      </x:c>
      <x:c r="R236" s="22" t="str">
        <x:v>evidence/student_evidence.jsonl；student_key=2026春:268183</x:v>
      </x:c>
      <x:c r="S236" s="27" t="str"/>
    </x:row>
    <x:row r="237" ht="23" customHeight="1">
      <x:c r="A237" s="21" t="str">
        <x:v>全量观察(探索)</x:v>
      </x:c>
      <x:c r="B237" s="22" t="str">
        <x:v>分组熵权型</x:v>
      </x:c>
      <x:c r="C237" s="22" t="str">
        <x:v>前20%</x:v>
      </x:c>
      <x:c r="D237" s="22" t="str">
        <x:v>严格进入</x:v>
      </x:c>
      <x:c r="E237" s="22" t="str">
        <x:v>2025秋:258428</x:v>
      </x:c>
      <x:c r="F237" s="22" t="str">
        <x:v>s3</x:v>
      </x:c>
      <x:c r="G237" s="26" t="n">
        <x:v>21.5</x:v>
      </x:c>
      <x:c r="H237" s="25" t="n">
        <x:v>48.50718179886569</x:v>
      </x:c>
      <x:c r="I237" s="24" t="n">
        <x:v>1</x:v>
      </x:c>
      <x:c r="J237" s="24" t="n">
        <x:v>1</x:v>
      </x:c>
      <x:c r="K237" s="22" t="str">
        <x:v>是</x:v>
      </x:c>
      <x:c r="L237" s="22" t="n">
        <x:v>0.7420770203554515</x:v>
      </x:c>
      <x:c r="M237" s="22" t="n">
        <x:v>8.955129725950664</x:v>
      </x:c>
      <x:c r="N237" s="22" t="n">
        <x:v>8.809975052559569</x:v>
      </x:c>
      <x:c r="O237" s="22" t="n">
        <x:v>30</x:v>
      </x:c>
      <x:c r="P237" s="24" t="n">
        <x:v>4</x:v>
      </x:c>
      <x:c r="Q237" s="22" t="str">
        <x:v>["S0096"]</x:v>
      </x:c>
      <x:c r="R237" s="22" t="str">
        <x:v>evidence/student_evidence.jsonl；student_key=2025秋:258428</x:v>
      </x:c>
      <x:c r="S237" s="27" t="str"/>
    </x:row>
    <x:row r="238" ht="23" customHeight="1">
      <x:c r="A238" s="21" t="str">
        <x:v>全量观察(探索)</x:v>
      </x:c>
      <x:c r="B238" s="22" t="str">
        <x:v>分组熵权型</x:v>
      </x:c>
      <x:c r="C238" s="22" t="str">
        <x:v>前20%</x:v>
      </x:c>
      <x:c r="D238" s="22" t="str">
        <x:v>严格进入</x:v>
      </x:c>
      <x:c r="E238" s="22" t="str">
        <x:v>2025秋:258922</x:v>
      </x:c>
      <x:c r="F238" s="22" t="str">
        <x:v>s3</x:v>
      </x:c>
      <x:c r="G238" s="26" t="n">
        <x:v>21.5</x:v>
      </x:c>
      <x:c r="H238" s="25" t="n">
        <x:v>48.50718179886569</x:v>
      </x:c>
      <x:c r="I238" s="24" t="n">
        <x:v>1</x:v>
      </x:c>
      <x:c r="J238" s="24" t="n">
        <x:v>1</x:v>
      </x:c>
      <x:c r="K238" s="22" t="str">
        <x:v>是</x:v>
      </x:c>
      <x:c r="L238" s="22" t="n">
        <x:v>0.7420770203554515</x:v>
      </x:c>
      <x:c r="M238" s="22" t="n">
        <x:v>8.955129725950664</x:v>
      </x:c>
      <x:c r="N238" s="22" t="n">
        <x:v>8.809975052559569</x:v>
      </x:c>
      <x:c r="O238" s="22" t="n">
        <x:v>30</x:v>
      </x:c>
      <x:c r="P238" s="24" t="n">
        <x:v>4</x:v>
      </x:c>
      <x:c r="Q238" s="22" t="str">
        <x:v>["S0351"]</x:v>
      </x:c>
      <x:c r="R238" s="22" t="str">
        <x:v>evidence/student_evidence.jsonl；student_key=2025秋:258922</x:v>
      </x:c>
      <x:c r="S238" s="27" t="str"/>
    </x:row>
    <x:row r="239" ht="23" customHeight="1">
      <x:c r="A239" s="21" t="str">
        <x:v>全量观察(探索)</x:v>
      </x:c>
      <x:c r="B239" s="22" t="str">
        <x:v>分组熵权型</x:v>
      </x:c>
      <x:c r="C239" s="22" t="str">
        <x:v>前20%</x:v>
      </x:c>
      <x:c r="D239" s="22" t="str">
        <x:v>严格进入</x:v>
      </x:c>
      <x:c r="E239" s="22" t="str">
        <x:v>2025秋:259895</x:v>
      </x:c>
      <x:c r="F239" s="22" t="str">
        <x:v>s3</x:v>
      </x:c>
      <x:c r="G239" s="26" t="n">
        <x:v>21.5</x:v>
      </x:c>
      <x:c r="H239" s="25" t="n">
        <x:v>48.50718179886569</x:v>
      </x:c>
      <x:c r="I239" s="24" t="n">
        <x:v>1</x:v>
      </x:c>
      <x:c r="J239" s="24" t="n">
        <x:v>1</x:v>
      </x:c>
      <x:c r="K239" s="22" t="str">
        <x:v>是</x:v>
      </x:c>
      <x:c r="L239" s="22" t="n">
        <x:v>0.7420770203554515</x:v>
      </x:c>
      <x:c r="M239" s="22" t="n">
        <x:v>8.955129725950664</x:v>
      </x:c>
      <x:c r="N239" s="22" t="n">
        <x:v>8.809975052559569</x:v>
      </x:c>
      <x:c r="O239" s="22" t="n">
        <x:v>30</x:v>
      </x:c>
      <x:c r="P239" s="24" t="n">
        <x:v>4</x:v>
      </x:c>
      <x:c r="Q239" s="22" t="str">
        <x:v>["S0407"]</x:v>
      </x:c>
      <x:c r="R239" s="22" t="str">
        <x:v>evidence/student_evidence.jsonl；student_key=2025秋:259895</x:v>
      </x:c>
      <x:c r="S239" s="27" t="str"/>
    </x:row>
    <x:row r="240" ht="23" customHeight="1">
      <x:c r="A240" s="21" t="str">
        <x:v>全量观察(探索)</x:v>
      </x:c>
      <x:c r="B240" s="22" t="str">
        <x:v>分组熵权型</x:v>
      </x:c>
      <x:c r="C240" s="22" t="str">
        <x:v>前20%</x:v>
      </x:c>
      <x:c r="D240" s="22" t="str">
        <x:v>严格进入</x:v>
      </x:c>
      <x:c r="E240" s="22" t="str">
        <x:v>2026春:259443</x:v>
      </x:c>
      <x:c r="F240" s="22" t="str">
        <x:v>s3</x:v>
      </x:c>
      <x:c r="G240" s="26" t="n">
        <x:v>21.5</x:v>
      </x:c>
      <x:c r="H240" s="25" t="n">
        <x:v>48.50718179886569</x:v>
      </x:c>
      <x:c r="I240" s="24" t="n">
        <x:v>1</x:v>
      </x:c>
      <x:c r="J240" s="24" t="n">
        <x:v>1</x:v>
      </x:c>
      <x:c r="K240" s="22" t="str">
        <x:v>是</x:v>
      </x:c>
      <x:c r="L240" s="22" t="n">
        <x:v>0.7420770203554515</x:v>
      </x:c>
      <x:c r="M240" s="22" t="n">
        <x:v>8.955129725950664</x:v>
      </x:c>
      <x:c r="N240" s="22" t="n">
        <x:v>8.809975052559569</x:v>
      </x:c>
      <x:c r="O240" s="22" t="n">
        <x:v>30</x:v>
      </x:c>
      <x:c r="P240" s="24" t="n">
        <x:v>4</x:v>
      </x:c>
      <x:c r="Q240" s="22" t="str">
        <x:v>["S0850"]</x:v>
      </x:c>
      <x:c r="R240" s="22" t="str">
        <x:v>evidence/student_evidence.jsonl；student_key=2026春:259443</x:v>
      </x:c>
      <x:c r="S240" s="27" t="str"/>
    </x:row>
    <x:row r="241" ht="23" customHeight="1">
      <x:c r="A241" s="21" t="str">
        <x:v>全量观察(探索)</x:v>
      </x:c>
      <x:c r="B241" s="22" t="str">
        <x:v>分组熵权型</x:v>
      </x:c>
      <x:c r="C241" s="22" t="str">
        <x:v>前20%</x:v>
      </x:c>
      <x:c r="D241" s="22" t="str">
        <x:v>严格进入</x:v>
      </x:c>
      <x:c r="E241" s="22" t="str">
        <x:v>2025秋:25P025</x:v>
      </x:c>
      <x:c r="F241" s="22" t="str">
        <x:v>s3</x:v>
      </x:c>
      <x:c r="G241" s="26" t="n">
        <x:v>24</x:v>
      </x:c>
      <x:c r="H241" s="25" t="n">
        <x:v>48.4493583243914</x:v>
      </x:c>
      <x:c r="I241" s="24" t="n">
        <x:v>1</x:v>
      </x:c>
      <x:c r="J241" s="24" t="n">
        <x:v>1</x:v>
      </x:c>
      <x:c r="K241" s="22" t="str">
        <x:v>是</x:v>
      </x:c>
      <x:c r="L241" s="22" t="n">
        <x:v>0.7397584895218102</x:v>
      </x:c>
      <x:c r="M241" s="22" t="n">
        <x:v>8.927150494928354</x:v>
      </x:c>
      <x:c r="N241" s="22" t="n">
        <x:v>8.782449339941241</x:v>
      </x:c>
      <x:c r="O241" s="22" t="n">
        <x:v>30</x:v>
      </x:c>
      <x:c r="P241" s="24" t="n">
        <x:v>4</x:v>
      </x:c>
      <x:c r="Q241" s="22" t="str">
        <x:v>["S0130"]</x:v>
      </x:c>
      <x:c r="R241" s="22" t="str">
        <x:v>evidence/student_evidence.jsonl；student_key=2025秋:25P025</x:v>
      </x:c>
      <x:c r="S241" s="27" t="str"/>
    </x:row>
    <x:row r="242" ht="23" customHeight="1">
      <x:c r="A242" s="21" t="str">
        <x:v>全量观察(探索)</x:v>
      </x:c>
      <x:c r="B242" s="22" t="str">
        <x:v>分组熵权型</x:v>
      </x:c>
      <x:c r="C242" s="22" t="str">
        <x:v>前20%</x:v>
      </x:c>
      <x:c r="D242" s="22" t="str">
        <x:v>严格进入</x:v>
      </x:c>
      <x:c r="E242" s="22" t="str">
        <x:v>2025秋:25A148</x:v>
      </x:c>
      <x:c r="F242" s="22" t="str">
        <x:v>s3</x:v>
      </x:c>
      <x:c r="G242" s="26" t="n">
        <x:v>25.5</x:v>
      </x:c>
      <x:c r="H242" s="25" t="n">
        <x:v>47.619966586551456</x:v>
      </x:c>
      <x:c r="I242" s="24" t="n">
        <x:v>1</x:v>
      </x:c>
      <x:c r="J242" s="24" t="n">
        <x:v>1</x:v>
      </x:c>
      <x:c r="K242" s="22" t="str">
        <x:v>是</x:v>
      </x:c>
      <x:c r="L242" s="22" t="n">
        <x:v>0.7065026131699919</x:v>
      </x:c>
      <x:c r="M242" s="22" t="n">
        <x:v>8.525830040701031</x:v>
      </x:c>
      <x:c r="N242" s="22" t="n">
        <x:v>8.387633932680432</x:v>
      </x:c>
      <x:c r="O242" s="22" t="n">
        <x:v>30</x:v>
      </x:c>
      <x:c r="P242" s="24" t="n">
        <x:v>4</x:v>
      </x:c>
      <x:c r="Q242" s="22" t="str">
        <x:v>["S0067"]</x:v>
      </x:c>
      <x:c r="R242" s="22" t="str">
        <x:v>evidence/student_evidence.jsonl；student_key=2025秋:25A148</x:v>
      </x:c>
      <x:c r="S242" s="27" t="str"/>
    </x:row>
    <x:row r="243" ht="23" customHeight="1">
      <x:c r="A243" s="21" t="str">
        <x:v>全量观察(探索)</x:v>
      </x:c>
      <x:c r="B243" s="22" t="str">
        <x:v>分组熵权型</x:v>
      </x:c>
      <x:c r="C243" s="22" t="str">
        <x:v>前20%</x:v>
      </x:c>
      <x:c r="D243" s="22" t="str">
        <x:v>严格进入</x:v>
      </x:c>
      <x:c r="E243" s="22" t="str">
        <x:v>2026春:268184</x:v>
      </x:c>
      <x:c r="F243" s="22" t="str">
        <x:v>s3</x:v>
      </x:c>
      <x:c r="G243" s="26" t="n">
        <x:v>25.5</x:v>
      </x:c>
      <x:c r="H243" s="25" t="n">
        <x:v>47.619966586551456</x:v>
      </x:c>
      <x:c r="I243" s="24" t="n">
        <x:v>1</x:v>
      </x:c>
      <x:c r="J243" s="24" t="n">
        <x:v>1</x:v>
      </x:c>
      <x:c r="K243" s="22" t="str">
        <x:v>是</x:v>
      </x:c>
      <x:c r="L243" s="22" t="n">
        <x:v>0.7065026131699919</x:v>
      </x:c>
      <x:c r="M243" s="22" t="n">
        <x:v>8.525830040701031</x:v>
      </x:c>
      <x:c r="N243" s="22" t="n">
        <x:v>8.387633932680432</x:v>
      </x:c>
      <x:c r="O243" s="22" t="n">
        <x:v>30</x:v>
      </x:c>
      <x:c r="P243" s="24" t="n">
        <x:v>4</x:v>
      </x:c>
      <x:c r="Q243" s="22" t="str">
        <x:v>["S1054"]</x:v>
      </x:c>
      <x:c r="R243" s="22" t="str">
        <x:v>evidence/student_evidence.jsonl；student_key=2026春:268184</x:v>
      </x:c>
      <x:c r="S243" s="27" t="str"/>
    </x:row>
    <x:row r="244" ht="23" customHeight="1">
      <x:c r="A244" s="21" t="str">
        <x:v>全量观察(探索)</x:v>
      </x:c>
      <x:c r="B244" s="22" t="str">
        <x:v>分组熵权型</x:v>
      </x:c>
      <x:c r="C244" s="22" t="str">
        <x:v>前20%</x:v>
      </x:c>
      <x:c r="D244" s="22" t="str">
        <x:v>严格进入</x:v>
      </x:c>
      <x:c r="E244" s="22" t="str">
        <x:v>2025秋:240957</x:v>
      </x:c>
      <x:c r="F244" s="22" t="str">
        <x:v>s3</x:v>
      </x:c>
      <x:c r="G244" s="26" t="n">
        <x:v>28</x:v>
      </x:c>
      <x:c r="H244" s="25" t="n">
        <x:v>47.40759586075774</x:v>
      </x:c>
      <x:c r="I244" s="24" t="n">
        <x:v>1</x:v>
      </x:c>
      <x:c r="J244" s="24" t="n">
        <x:v>1</x:v>
      </x:c>
      <x:c r="K244" s="22" t="str">
        <x:v>是</x:v>
      </x:c>
      <x:c r="L244" s="22" t="n">
        <x:v>0.6979872466965622</x:v>
      </x:c>
      <x:c r="M244" s="22" t="n">
        <x:v>8.423069532907583</x:v>
      </x:c>
      <x:c r="N244" s="22" t="n">
        <x:v>8.286539081153586</x:v>
      </x:c>
      <x:c r="O244" s="22" t="n">
        <x:v>30</x:v>
      </x:c>
      <x:c r="P244" s="24" t="n">
        <x:v>4</x:v>
      </x:c>
      <x:c r="Q244" s="22" t="str">
        <x:v>["S0440"]</x:v>
      </x:c>
      <x:c r="R244" s="22" t="str">
        <x:v>evidence/student_evidence.jsonl；student_key=2025秋:240957</x:v>
      </x:c>
      <x:c r="S244" s="27" t="str"/>
    </x:row>
    <x:row r="245" ht="23" customHeight="1">
      <x:c r="A245" s="21" t="str">
        <x:v>全量观察(探索)</x:v>
      </x:c>
      <x:c r="B245" s="22" t="str">
        <x:v>分组熵权型</x:v>
      </x:c>
      <x:c r="C245" s="22" t="str">
        <x:v>前20%</x:v>
      </x:c>
      <x:c r="D245" s="22" t="str">
        <x:v>严格进入</x:v>
      </x:c>
      <x:c r="E245" s="22" t="str">
        <x:v>2025秋:259425</x:v>
      </x:c>
      <x:c r="F245" s="22" t="str">
        <x:v>s3</x:v>
      </x:c>
      <x:c r="G245" s="26" t="n">
        <x:v>28</x:v>
      </x:c>
      <x:c r="H245" s="25" t="n">
        <x:v>47.40759586075774</x:v>
      </x:c>
      <x:c r="I245" s="24" t="n">
        <x:v>1</x:v>
      </x:c>
      <x:c r="J245" s="24" t="n">
        <x:v>1</x:v>
      </x:c>
      <x:c r="K245" s="22" t="str">
        <x:v>是</x:v>
      </x:c>
      <x:c r="L245" s="22" t="n">
        <x:v>0.6979872466965622</x:v>
      </x:c>
      <x:c r="M245" s="22" t="n">
        <x:v>8.423069532907583</x:v>
      </x:c>
      <x:c r="N245" s="22" t="n">
        <x:v>8.286539081153586</x:v>
      </x:c>
      <x:c r="O245" s="22" t="n">
        <x:v>30</x:v>
      </x:c>
      <x:c r="P245" s="24" t="n">
        <x:v>4</x:v>
      </x:c>
      <x:c r="Q245" s="22" t="str">
        <x:v>["S0037"]</x:v>
      </x:c>
      <x:c r="R245" s="22" t="str">
        <x:v>evidence/student_evidence.jsonl；student_key=2025秋:259425</x:v>
      </x:c>
      <x:c r="S245" s="27" t="str"/>
    </x:row>
    <x:row r="246" ht="23" customHeight="1">
      <x:c r="A246" s="21" t="str">
        <x:v>全量观察(探索)</x:v>
      </x:c>
      <x:c r="B246" s="22" t="str">
        <x:v>分组熵权型</x:v>
      </x:c>
      <x:c r="C246" s="22" t="str">
        <x:v>前20%</x:v>
      </x:c>
      <x:c r="D246" s="22" t="str">
        <x:v>严格进入</x:v>
      </x:c>
      <x:c r="E246" s="22" t="str">
        <x:v>2026春:268502</x:v>
      </x:c>
      <x:c r="F246" s="22" t="str">
        <x:v>s3</x:v>
      </x:c>
      <x:c r="G246" s="26" t="n">
        <x:v>28</x:v>
      </x:c>
      <x:c r="H246" s="25" t="n">
        <x:v>47.40759586075774</x:v>
      </x:c>
      <x:c r="I246" s="24" t="n">
        <x:v>1</x:v>
      </x:c>
      <x:c r="J246" s="24" t="n">
        <x:v>1</x:v>
      </x:c>
      <x:c r="K246" s="22" t="str">
        <x:v>是</x:v>
      </x:c>
      <x:c r="L246" s="22" t="n">
        <x:v>0.6979872466965622</x:v>
      </x:c>
      <x:c r="M246" s="22" t="n">
        <x:v>8.423069532907583</x:v>
      </x:c>
      <x:c r="N246" s="22" t="n">
        <x:v>8.286539081153586</x:v>
      </x:c>
      <x:c r="O246" s="22" t="n">
        <x:v>30</x:v>
      </x:c>
      <x:c r="P246" s="24" t="n">
        <x:v>4</x:v>
      </x:c>
      <x:c r="Q246" s="22" t="str">
        <x:v>["S1220"]</x:v>
      </x:c>
      <x:c r="R246" s="22" t="str">
        <x:v>evidence/student_evidence.jsonl；student_key=2026春:268502</x:v>
      </x:c>
      <x:c r="S246" s="27" t="str"/>
    </x:row>
    <x:row r="247" ht="48" customHeight="1">
      <x:c r="A247" s="21" t="str">
        <x:v>全量观察(探索)</x:v>
      </x:c>
      <x:c r="B247" s="22" t="str">
        <x:v>分组熵权型</x:v>
      </x:c>
      <x:c r="C247" s="22" t="str">
        <x:v>前20%</x:v>
      </x:c>
      <x:c r="D247" s="22" t="str">
        <x:v>严格进入</x:v>
      </x:c>
      <x:c r="E247" s="22" t="str">
        <x:v>2025秋:258431</x:v>
      </x:c>
      <x:c r="F247" s="22" t="str">
        <x:v>s3</x:v>
      </x:c>
      <x:c r="G247" s="26" t="n">
        <x:v>31.5</x:v>
      </x:c>
      <x:c r="H247" s="25" t="n">
        <x:v>47.40068689295956</x:v>
      </x:c>
      <x:c r="I247" s="24" t="n">
        <x:v>2</x:v>
      </x:c>
      <x:c r="J247" s="24" t="n">
        <x:v>1</x:v>
      </x:c>
      <x:c r="K247" s="22" t="str">
        <x:v>是</x:v>
      </x:c>
      <x:c r="L247" s="22" t="n">
        <x:v>0.6977102198486542</x:v>
      </x:c>
      <x:c r="M247" s="22" t="n">
        <x:v>8.419726468383905</x:v>
      </x:c>
      <x:c r="N247" s="22" t="n">
        <x:v>8.283250204727</x:v>
      </x:c>
      <x:c r="O247" s="22" t="n">
        <x:v>30</x:v>
      </x:c>
      <x:c r="P247" s="24" t="n">
        <x:v>4</x:v>
      </x:c>
      <x:c r="Q247" s="22" t="str">
        <x:v>["S0444","S0667"]</x:v>
      </x:c>
      <x:c r="R247" s="22" t="str">
        <x:v>evidence/student_evidence.jsonl；student_key=2025秋:258431</x:v>
      </x:c>
      <x:c r="S247" s="27" t="str">
        <x:v>同一锚点起止1条：未形成独立重复测量。</x:v>
      </x:c>
    </x:row>
    <x:row r="248" ht="23" customHeight="1">
      <x:c r="A248" s="21" t="str">
        <x:v>全量观察(探索)</x:v>
      </x:c>
      <x:c r="B248" s="22" t="str">
        <x:v>分组熵权型</x:v>
      </x:c>
      <x:c r="C248" s="22" t="str">
        <x:v>前20%</x:v>
      </x:c>
      <x:c r="D248" s="22" t="str">
        <x:v>严格进入</x:v>
      </x:c>
      <x:c r="E248" s="22" t="str">
        <x:v>2025秋:259050</x:v>
      </x:c>
      <x:c r="F248" s="22" t="str">
        <x:v>s3</x:v>
      </x:c>
      <x:c r="G248" s="26" t="n">
        <x:v>31.5</x:v>
      </x:c>
      <x:c r="H248" s="25" t="n">
        <x:v>47.40068689295956</x:v>
      </x:c>
      <x:c r="I248" s="24" t="n">
        <x:v>1</x:v>
      </x:c>
      <x:c r="J248" s="24" t="n">
        <x:v>1</x:v>
      </x:c>
      <x:c r="K248" s="22" t="str">
        <x:v>否</x:v>
      </x:c>
      <x:c r="L248" s="22" t="n">
        <x:v>0.6977102198486542</x:v>
      </x:c>
      <x:c r="M248" s="22" t="n">
        <x:v>8.419726468383905</x:v>
      </x:c>
      <x:c r="N248" s="22" t="n">
        <x:v>8.283250204727</x:v>
      </x:c>
      <x:c r="O248" s="22" t="n">
        <x:v>30</x:v>
      </x:c>
      <x:c r="P248" s="24" t="n">
        <x:v>4</x:v>
      </x:c>
      <x:c r="Q248" s="22" t="str">
        <x:v>["S0455"]</x:v>
      </x:c>
      <x:c r="R248" s="22" t="str">
        <x:v>evidence/student_evidence.jsonl；student_key=2025秋:259050</x:v>
      </x:c>
      <x:c r="S248" s="27" t="str"/>
    </x:row>
    <x:row r="249" ht="23" customHeight="1">
      <x:c r="A249" s="21" t="str">
        <x:v>全量观察(探索)</x:v>
      </x:c>
      <x:c r="B249" s="22" t="str">
        <x:v>分组熵权型</x:v>
      </x:c>
      <x:c r="C249" s="22" t="str">
        <x:v>前20%</x:v>
      </x:c>
      <x:c r="D249" s="22" t="str">
        <x:v>严格进入</x:v>
      </x:c>
      <x:c r="E249" s="22" t="str">
        <x:v>2025秋:259326</x:v>
      </x:c>
      <x:c r="F249" s="22" t="str">
        <x:v>s3</x:v>
      </x:c>
      <x:c r="G249" s="26" t="n">
        <x:v>31.5</x:v>
      </x:c>
      <x:c r="H249" s="25" t="n">
        <x:v>47.40068689295956</x:v>
      </x:c>
      <x:c r="I249" s="24" t="n">
        <x:v>1</x:v>
      </x:c>
      <x:c r="J249" s="24" t="n">
        <x:v>1</x:v>
      </x:c>
      <x:c r="K249" s="22" t="str">
        <x:v>是</x:v>
      </x:c>
      <x:c r="L249" s="22" t="n">
        <x:v>0.6977102198486542</x:v>
      </x:c>
      <x:c r="M249" s="22" t="n">
        <x:v>8.419726468383905</x:v>
      </x:c>
      <x:c r="N249" s="22" t="n">
        <x:v>8.283250204727</x:v>
      </x:c>
      <x:c r="O249" s="22" t="n">
        <x:v>30</x:v>
      </x:c>
      <x:c r="P249" s="24" t="n">
        <x:v>4</x:v>
      </x:c>
      <x:c r="Q249" s="22" t="str">
        <x:v>["S0496"]</x:v>
      </x:c>
      <x:c r="R249" s="22" t="str">
        <x:v>evidence/student_evidence.jsonl；student_key=2025秋:259326</x:v>
      </x:c>
      <x:c r="S249" s="27" t="str"/>
    </x:row>
    <x:row r="250" ht="23" customHeight="1">
      <x:c r="A250" s="21" t="str">
        <x:v>全量观察(探索)</x:v>
      </x:c>
      <x:c r="B250" s="22" t="str">
        <x:v>分组熵权型</x:v>
      </x:c>
      <x:c r="C250" s="22" t="str">
        <x:v>前20%</x:v>
      </x:c>
      <x:c r="D250" s="22" t="str">
        <x:v>严格进入</x:v>
      </x:c>
      <x:c r="E250" s="22" t="str">
        <x:v>2026春:268174</x:v>
      </x:c>
      <x:c r="F250" s="22" t="str">
        <x:v>s3</x:v>
      </x:c>
      <x:c r="G250" s="26" t="n">
        <x:v>31.5</x:v>
      </x:c>
      <x:c r="H250" s="25" t="n">
        <x:v>47.40068689295956</x:v>
      </x:c>
      <x:c r="I250" s="24" t="n">
        <x:v>1</x:v>
      </x:c>
      <x:c r="J250" s="24" t="n">
        <x:v>1</x:v>
      </x:c>
      <x:c r="K250" s="22" t="str">
        <x:v>是</x:v>
      </x:c>
      <x:c r="L250" s="22" t="n">
        <x:v>0.6977102198486542</x:v>
      </x:c>
      <x:c r="M250" s="22" t="n">
        <x:v>8.419726468383905</x:v>
      </x:c>
      <x:c r="N250" s="22" t="n">
        <x:v>8.283250204727</x:v>
      </x:c>
      <x:c r="O250" s="22" t="n">
        <x:v>30</x:v>
      </x:c>
      <x:c r="P250" s="24" t="n">
        <x:v>4</x:v>
      </x:c>
      <x:c r="Q250" s="22" t="str">
        <x:v>["S1044"]</x:v>
      </x:c>
      <x:c r="R250" s="22" t="str">
        <x:v>evidence/student_evidence.jsonl；student_key=2026春:268174</x:v>
      </x:c>
      <x:c r="S250" s="27" t="str"/>
    </x:row>
    <x:row r="251" ht="23" customHeight="1">
      <x:c r="A251" s="21" t="str">
        <x:v>全量观察(探索)</x:v>
      </x:c>
      <x:c r="B251" s="22" t="str">
        <x:v>分组熵权型</x:v>
      </x:c>
      <x:c r="C251" s="22" t="str">
        <x:v>前20%</x:v>
      </x:c>
      <x:c r="D251" s="22" t="str">
        <x:v>边界同分</x:v>
      </x:c>
      <x:c r="E251" s="22" t="str">
        <x:v>2025秋:258924</x:v>
      </x:c>
      <x:c r="F251" s="22" t="str">
        <x:v>s3</x:v>
      </x:c>
      <x:c r="G251" s="26" t="n">
        <x:v>34.5</x:v>
      </x:c>
      <x:c r="H251" s="25" t="n">
        <x:v>47.117049123273326</x:v>
      </x:c>
      <x:c r="I251" s="24" t="n">
        <x:v>1</x:v>
      </x:c>
      <x:c r="J251" s="24" t="n">
        <x:v>1</x:v>
      </x:c>
      <x:c r="K251" s="22" t="str">
        <x:v>是</x:v>
      </x:c>
      <x:c r="L251" s="22" t="n">
        <x:v>0.6863372796962035</x:v>
      </x:c>
      <x:c r="M251" s="22" t="n">
        <x:v>8.282481746290387</x:v>
      </x:c>
      <x:c r="N251" s="22" t="n">
        <x:v>8.148230097286735</x:v>
      </x:c>
      <x:c r="O251" s="22" t="n">
        <x:v>30</x:v>
      </x:c>
      <x:c r="P251" s="24" t="n">
        <x:v>3</x:v>
      </x:c>
      <x:c r="Q251" s="22" t="str">
        <x:v>["S0075"]</x:v>
      </x:c>
      <x:c r="R251" s="22" t="str">
        <x:v>evidence/student_evidence.jsonl；student_key=2025秋:258924</x:v>
      </x:c>
      <x:c r="S251" s="27" t="str"/>
    </x:row>
    <x:row r="252" ht="23" customHeight="1">
      <x:c r="A252" s="21" t="str">
        <x:v>全量观察(探索)</x:v>
      </x:c>
      <x:c r="B252" s="22" t="str">
        <x:v>分组熵权型</x:v>
      </x:c>
      <x:c r="C252" s="22" t="str">
        <x:v>前20%</x:v>
      </x:c>
      <x:c r="D252" s="22" t="str">
        <x:v>边界同分</x:v>
      </x:c>
      <x:c r="E252" s="22" t="str">
        <x:v>2025秋:259334</x:v>
      </x:c>
      <x:c r="F252" s="22" t="str">
        <x:v>s3</x:v>
      </x:c>
      <x:c r="G252" s="26" t="n">
        <x:v>34.5</x:v>
      </x:c>
      <x:c r="H252" s="25" t="n">
        <x:v>47.117049123273326</x:v>
      </x:c>
      <x:c r="I252" s="24" t="n">
        <x:v>1</x:v>
      </x:c>
      <x:c r="J252" s="24" t="n">
        <x:v>1</x:v>
      </x:c>
      <x:c r="K252" s="22" t="str">
        <x:v>是</x:v>
      </x:c>
      <x:c r="L252" s="22" t="n">
        <x:v>0.6863372796962035</x:v>
      </x:c>
      <x:c r="M252" s="22" t="n">
        <x:v>8.282481746290387</x:v>
      </x:c>
      <x:c r="N252" s="22" t="n">
        <x:v>8.148230097286735</x:v>
      </x:c>
      <x:c r="O252" s="22" t="n">
        <x:v>30</x:v>
      </x:c>
      <x:c r="P252" s="24" t="n">
        <x:v>3</x:v>
      </x:c>
      <x:c r="Q252" s="22" t="str">
        <x:v>["S0399"]</x:v>
      </x:c>
      <x:c r="R252" s="22" t="str">
        <x:v>evidence/student_evidence.jsonl；student_key=2025秋:259334</x:v>
      </x:c>
      <x:c r="S252" s="27" t="str"/>
    </x:row>
    <x:row r="253" ht="23" customHeight="1">
      <x:c r="A253" s="21" t="str">
        <x:v>全量观察(探索)</x:v>
      </x:c>
      <x:c r="B253" s="22" t="str">
        <x:v>分组熵权型</x:v>
      </x:c>
      <x:c r="C253" s="22" t="str">
        <x:v>后20%</x:v>
      </x:c>
      <x:c r="D253" s="22" t="str">
        <x:v>边界同分</x:v>
      </x:c>
      <x:c r="E253" s="22" t="str">
        <x:v>2025秋:259854</x:v>
      </x:c>
      <x:c r="F253" s="22" t="str">
        <x:v>s3</x:v>
      </x:c>
      <x:c r="G253" s="26" t="n">
        <x:v>140</x:v>
      </x:c>
      <x:c r="H253" s="25" t="n">
        <x:v>22.576635543890454</x:v>
      </x:c>
      <x:c r="I253" s="24" t="n">
        <x:v>1</x:v>
      </x:c>
      <x:c r="J253" s="24" t="n">
        <x:v>1</x:v>
      </x:c>
      <x:c r="K253" s="22" t="str">
        <x:v>否</x:v>
      </x:c>
      <x:c r="L253" s="22" t="n">
        <x:v>0.30379812495676883</x:v>
      </x:c>
      <x:c r="M253" s="22" t="n">
        <x:v>3.666131068423738</x:v>
      </x:c>
      <x:c r="N253" s="22" t="n">
        <x:v>3.60670635050995</x:v>
      </x:c>
      <x:c r="O253" s="22" t="n">
        <x:v>15</x:v>
      </x:c>
      <x:c r="P253" s="24" t="n">
        <x:v>3</x:v>
      </x:c>
      <x:c r="Q253" s="22" t="str">
        <x:v>["S0274"]</x:v>
      </x:c>
      <x:c r="R253" s="22" t="str">
        <x:v>evidence/student_evidence.jsonl；student_key=2025秋:259854</x:v>
      </x:c>
      <x:c r="S253" s="27" t="str"/>
    </x:row>
    <x:row r="254" ht="48" customHeight="1">
      <x:c r="A254" s="21" t="str">
        <x:v>全量观察(探索)</x:v>
      </x:c>
      <x:c r="B254" s="22" t="str">
        <x:v>分组熵权型</x:v>
      </x:c>
      <x:c r="C254" s="22" t="str">
        <x:v>后20%</x:v>
      </x:c>
      <x:c r="D254" s="22" t="str">
        <x:v>严格进入</x:v>
      </x:c>
      <x:c r="E254" s="22" t="str">
        <x:v>2025秋:259419</x:v>
      </x:c>
      <x:c r="F254" s="22" t="str">
        <x:v>s3</x:v>
      </x:c>
      <x:c r="G254" s="26" t="n">
        <x:v>141</x:v>
      </x:c>
      <x:c r="H254" s="25" t="n">
        <x:v>22.499999999999996</x:v>
      </x:c>
      <x:c r="I254" s="24" t="n">
        <x:v>1</x:v>
      </x:c>
      <x:c r="J254" s="24" t="n">
        <x:v>1</x:v>
      </x:c>
      <x:c r="K254" s="22" t="str">
        <x:v>否</x:v>
      </x:c>
      <x:c r="L254" s="22" t="n">
        <x:v>0</x:v>
      </x:c>
      <x:c r="M254" s="22" t="n">
        <x:v>0</x:v>
      </x:c>
      <x:c r="N254" s="22" t="n">
        <x:v>0</x:v>
      </x:c>
      <x:c r="O254" s="22" t="n">
        <x:v>22.5</x:v>
      </x:c>
      <x:c r="P254" s="24" t="n">
        <x:v>2</x:v>
      </x:c>
      <x:c r="Q254" s="22" t="str">
        <x:v>["S0056"]</x:v>
      </x:c>
      <x:c r="R254" s="22" t="str">
        <x:v>evidence/student_evidence.jsonl；student_key=2025秋:259419</x:v>
      </x:c>
      <x:c r="S254" s="27" t="str">
        <x:v>同一锚点起止1条：未形成独立重复测量。</x:v>
      </x:c>
    </x:row>
    <x:row r="255" ht="23" customHeight="1">
      <x:c r="A255" s="21" t="str">
        <x:v>全量观察(探索)</x:v>
      </x:c>
      <x:c r="B255" s="22" t="str">
        <x:v>分组熵权型</x:v>
      </x:c>
      <x:c r="C255" s="22" t="str">
        <x:v>后20%</x:v>
      </x:c>
      <x:c r="D255" s="22" t="str">
        <x:v>严格进入</x:v>
      </x:c>
      <x:c r="E255" s="22" t="str">
        <x:v>2025秋:259452</x:v>
      </x:c>
      <x:c r="F255" s="22" t="str">
        <x:v>s3</x:v>
      </x:c>
      <x:c r="G255" s="26" t="n">
        <x:v>142</x:v>
      </x:c>
      <x:c r="H255" s="25" t="n">
        <x:v>21.792465308557507</x:v>
      </x:c>
      <x:c r="I255" s="24" t="n">
        <x:v>1</x:v>
      </x:c>
      <x:c r="J255" s="24" t="n">
        <x:v>1</x:v>
      </x:c>
      <x:c r="K255" s="22" t="str">
        <x:v>是</x:v>
      </x:c>
      <x:c r="L255" s="22" t="n">
        <x:v>0.2723554818784491</x:v>
      </x:c>
      <x:c r="M255" s="22" t="n">
        <x:v>3.286692088412949</x:v>
      </x:c>
      <x:c r="N255" s="22" t="n">
        <x:v>3.233417738266108</x:v>
      </x:c>
      <x:c r="O255" s="22" t="n">
        <x:v>15</x:v>
      </x:c>
      <x:c r="P255" s="24" t="n">
        <x:v>4</x:v>
      </x:c>
      <x:c r="Q255" s="22" t="str">
        <x:v>["S0501"]</x:v>
      </x:c>
      <x:c r="R255" s="22" t="str">
        <x:v>evidence/student_evidence.jsonl；student_key=2025秋:259452</x:v>
      </x:c>
      <x:c r="S255" s="27" t="str"/>
    </x:row>
    <x:row r="256" ht="23" customHeight="1">
      <x:c r="A256" s="21" t="str">
        <x:v>全量观察(探索)</x:v>
      </x:c>
      <x:c r="B256" s="22" t="str">
        <x:v>分组熵权型</x:v>
      </x:c>
      <x:c r="C256" s="22" t="str">
        <x:v>后20%</x:v>
      </x:c>
      <x:c r="D256" s="22" t="str">
        <x:v>严格进入</x:v>
      </x:c>
      <x:c r="E256" s="22" t="str">
        <x:v>2025秋:259321</x:v>
      </x:c>
      <x:c r="F256" s="22" t="str">
        <x:v>s3</x:v>
      </x:c>
      <x:c r="G256" s="26" t="n">
        <x:v>143</x:v>
      </x:c>
      <x:c r="H256" s="25" t="n">
        <x:v>21.385031236339362</x:v>
      </x:c>
      <x:c r="I256" s="24" t="n">
        <x:v>1</x:v>
      </x:c>
      <x:c r="J256" s="24" t="n">
        <x:v>1</x:v>
      </x:c>
      <x:c r="K256" s="22" t="str">
        <x:v>是</x:v>
      </x:c>
      <x:c r="L256" s="22" t="n">
        <x:v>0.25601871782713037</x:v>
      </x:c>
      <x:c r="M256" s="22" t="n">
        <x:v>3.0895456502821323</x:v>
      </x:c>
      <x:c r="N256" s="22" t="n">
        <x:v>3.0394668682300976</x:v>
      </x:c>
      <x:c r="O256" s="22" t="n">
        <x:v>15</x:v>
      </x:c>
      <x:c r="P256" s="24" t="n">
        <x:v>4</x:v>
      </x:c>
      <x:c r="Q256" s="22" t="str">
        <x:v>["S0288"]</x:v>
      </x:c>
      <x:c r="R256" s="22" t="str">
        <x:v>evidence/student_evidence.jsonl；student_key=2025秋:259321</x:v>
      </x:c>
      <x:c r="S256" s="27" t="str"/>
    </x:row>
    <x:row r="257" ht="48" customHeight="1">
      <x:c r="A257" s="21" t="str">
        <x:v>全量观察(探索)</x:v>
      </x:c>
      <x:c r="B257" s="22" t="str">
        <x:v>分组熵权型</x:v>
      </x:c>
      <x:c r="C257" s="22" t="str">
        <x:v>后20%</x:v>
      </x:c>
      <x:c r="D257" s="22" t="str">
        <x:v>严格进入</x:v>
      </x:c>
      <x:c r="E257" s="22" t="str">
        <x:v>2025秋:259851</x:v>
      </x:c>
      <x:c r="F257" s="22" t="str">
        <x:v>s3</x:v>
      </x:c>
      <x:c r="G257" s="26" t="n">
        <x:v>144</x:v>
      </x:c>
      <x:c r="H257" s="25" t="n">
        <x:v>20.208008529339846</x:v>
      </x:c>
      <x:c r="I257" s="24" t="n">
        <x:v>1</x:v>
      </x:c>
      <x:c r="J257" s="24" t="n">
        <x:v>1</x:v>
      </x:c>
      <x:c r="K257" s="22" t="str">
        <x:v>否</x:v>
      </x:c>
      <x:c r="L257" s="22" t="n">
        <x:v>0.20882398484220663</x:v>
      </x:c>
      <x:c r="M257" s="22" t="n">
        <x:v>2.5200158782119035</x:v>
      </x:c>
      <x:c r="N257" s="22" t="n">
        <x:v>2.4791686662857364</x:v>
      </x:c>
      <x:c r="O257" s="22" t="n">
        <x:v>15</x:v>
      </x:c>
      <x:c r="P257" s="24" t="n">
        <x:v>4</x:v>
      </x:c>
      <x:c r="Q257" s="22" t="str">
        <x:v>["S0057"]</x:v>
      </x:c>
      <x:c r="R257" s="22" t="str">
        <x:v>evidence/student_evidence.jsonl；student_key=2025秋:259851</x:v>
      </x:c>
      <x:c r="S257" s="27" t="str">
        <x:v>同一锚点起止1条：未形成独立重复测量。</x:v>
      </x:c>
    </x:row>
    <x:row r="258" ht="48" customHeight="1">
      <x:c r="A258" s="21" t="str">
        <x:v>全量观察(探索)</x:v>
      </x:c>
      <x:c r="B258" s="22" t="str">
        <x:v>分组熵权型</x:v>
      </x:c>
      <x:c r="C258" s="22" t="str">
        <x:v>后20%</x:v>
      </x:c>
      <x:c r="D258" s="22" t="str">
        <x:v>严格进入</x:v>
      </x:c>
      <x:c r="E258" s="22" t="str">
        <x:v>2025秋:259325</x:v>
      </x:c>
      <x:c r="F258" s="22" t="str">
        <x:v>s3</x:v>
      </x:c>
      <x:c r="G258" s="26" t="n">
        <x:v>146</x:v>
      </x:c>
      <x:c r="H258" s="25" t="n">
        <x:v>20</x:v>
      </x:c>
      <x:c r="I258" s="24" t="n">
        <x:v>1</x:v>
      </x:c>
      <x:c r="J258" s="24" t="n">
        <x:v>1</x:v>
      </x:c>
      <x:c r="K258" s="22" t="str">
        <x:v>否</x:v>
      </x:c>
      <x:c r="L258" s="22" t="n">
        <x:v>0</x:v>
      </x:c>
      <x:c r="M258" s="22" t="n">
        <x:v>0</x:v>
      </x:c>
      <x:c r="N258" s="22" t="n">
        <x:v>0</x:v>
      </x:c>
      <x:c r="O258" s="22" t="n">
        <x:v>19.999999999999996</x:v>
      </x:c>
      <x:c r="P258" s="24" t="n">
        <x:v>4</x:v>
      </x:c>
      <x:c r="Q258" s="22" t="str">
        <x:v>["S0744"]</x:v>
      </x:c>
      <x:c r="R258" s="22" t="str">
        <x:v>evidence/student_evidence.jsonl；student_key=2025秋:259325</x:v>
      </x:c>
      <x:c r="S258" s="27" t="str">
        <x:v>同一锚点起止1条：未形成独立重复测量。</x:v>
      </x:c>
    </x:row>
    <x:row r="259" ht="48" customHeight="1">
      <x:c r="A259" s="21" t="str">
        <x:v>全量观察(探索)</x:v>
      </x:c>
      <x:c r="B259" s="22" t="str">
        <x:v>分组熵权型</x:v>
      </x:c>
      <x:c r="C259" s="22" t="str">
        <x:v>后20%</x:v>
      </x:c>
      <x:c r="D259" s="22" t="str">
        <x:v>严格进入</x:v>
      </x:c>
      <x:c r="E259" s="22" t="str">
        <x:v>2026春:268151</x:v>
      </x:c>
      <x:c r="F259" s="22" t="str">
        <x:v>s3</x:v>
      </x:c>
      <x:c r="G259" s="26" t="n">
        <x:v>146</x:v>
      </x:c>
      <x:c r="H259" s="25" t="n">
        <x:v>20</x:v>
      </x:c>
      <x:c r="I259" s="24" t="n">
        <x:v>1</x:v>
      </x:c>
      <x:c r="J259" s="24" t="n">
        <x:v>1</x:v>
      </x:c>
      <x:c r="K259" s="22" t="str">
        <x:v>否</x:v>
      </x:c>
      <x:c r="L259" s="22" t="n">
        <x:v>0</x:v>
      </x:c>
      <x:c r="M259" s="22" t="n">
        <x:v>0</x:v>
      </x:c>
      <x:c r="N259" s="22" t="n">
        <x:v>0</x:v>
      </x:c>
      <x:c r="O259" s="22" t="n">
        <x:v>19.999999999999996</x:v>
      </x:c>
      <x:c r="P259" s="24" t="n">
        <x:v>4</x:v>
      </x:c>
      <x:c r="Q259" s="22" t="str">
        <x:v>["S1004"]</x:v>
      </x:c>
      <x:c r="R259" s="22" t="str">
        <x:v>evidence/student_evidence.jsonl；student_key=2026春:268151</x:v>
      </x:c>
      <x:c r="S259" s="27" t="str">
        <x:v>同一锚点起止1条：未形成独立重复测量。</x:v>
      </x:c>
    </x:row>
    <x:row r="260" ht="48" customHeight="1">
      <x:c r="A260" s="21" t="str">
        <x:v>全量观察(探索)</x:v>
      </x:c>
      <x:c r="B260" s="22" t="str">
        <x:v>分组熵权型</x:v>
      </x:c>
      <x:c r="C260" s="22" t="str">
        <x:v>后20%</x:v>
      </x:c>
      <x:c r="D260" s="22" t="str">
        <x:v>严格进入</x:v>
      </x:c>
      <x:c r="E260" s="22" t="str">
        <x:v>2026春:268520</x:v>
      </x:c>
      <x:c r="F260" s="22" t="str">
        <x:v>s6</x:v>
      </x:c>
      <x:c r="G260" s="26" t="n">
        <x:v>146</x:v>
      </x:c>
      <x:c r="H260" s="25" t="n">
        <x:v>20</x:v>
      </x:c>
      <x:c r="I260" s="24" t="n">
        <x:v>1</x:v>
      </x:c>
      <x:c r="J260" s="24" t="n">
        <x:v>1</x:v>
      </x:c>
      <x:c r="K260" s="22" t="str">
        <x:v>是</x:v>
      </x:c>
      <x:c r="L260" s="22" t="n">
        <x:v>0</x:v>
      </x:c>
      <x:c r="M260" s="22" t="n">
        <x:v>0</x:v>
      </x:c>
      <x:c r="N260" s="22" t="n">
        <x:v>0</x:v>
      </x:c>
      <x:c r="O260" s="22" t="n">
        <x:v>19.999999999999996</x:v>
      </x:c>
      <x:c r="P260" s="24" t="n">
        <x:v>4</x:v>
      </x:c>
      <x:c r="Q260" s="22" t="str">
        <x:v>["S1244"]</x:v>
      </x:c>
      <x:c r="R260" s="22" t="str">
        <x:v>evidence/student_evidence.jsonl；student_key=2026春:268520</x:v>
      </x:c>
      <x:c r="S260" s="27" t="str">
        <x:v>同一锚点起止1条：未形成独立重复测量。</x:v>
      </x:c>
    </x:row>
    <x:row r="261" ht="23" customHeight="1">
      <x:c r="A261" s="21" t="str">
        <x:v>全量观察(探索)</x:v>
      </x:c>
      <x:c r="B261" s="22" t="str">
        <x:v>分组熵权型</x:v>
      </x:c>
      <x:c r="C261" s="22" t="str">
        <x:v>后20%</x:v>
      </x:c>
      <x:c r="D261" s="22" t="str">
        <x:v>严格进入</x:v>
      </x:c>
      <x:c r="E261" s="22" t="str">
        <x:v>2026春:268498</x:v>
      </x:c>
      <x:c r="F261" s="22" t="str">
        <x:v>s3</x:v>
      </x:c>
      <x:c r="G261" s="26" t="n">
        <x:v>148</x:v>
      </x:c>
      <x:c r="H261" s="25" t="n">
        <x:v>18.178407900941867</x:v>
      </x:c>
      <x:c r="I261" s="24" t="n">
        <x:v>1</x:v>
      </x:c>
      <x:c r="J261" s="24" t="n">
        <x:v>1</x:v>
      </x:c>
      <x:c r="K261" s="22" t="str">
        <x:v>是</x:v>
      </x:c>
      <x:c r="L261" s="22" t="n">
        <x:v>0.24773380277447365</x:v>
      </x:c>
      <x:c r="M261" s="22" t="n">
        <x:v>2.989566150809848</x:v>
      </x:c>
      <x:c r="N261" s="22" t="n">
        <x:v>2.941107947357546</x:v>
      </x:c>
      <x:c r="O261" s="22" t="n">
        <x:v>12</x:v>
      </x:c>
      <x:c r="P261" s="24" t="n">
        <x:v>4</x:v>
      </x:c>
      <x:c r="Q261" s="22" t="str">
        <x:v>["S1207"]</x:v>
      </x:c>
      <x:c r="R261" s="22" t="str">
        <x:v>evidence/student_evidence.jsonl；student_key=2026春:268498</x:v>
      </x:c>
      <x:c r="S261" s="27" t="str"/>
    </x:row>
    <x:row r="262" ht="23" customHeight="1">
      <x:c r="A262" s="21" t="str">
        <x:v>全量观察(探索)</x:v>
      </x:c>
      <x:c r="B262" s="22" t="str">
        <x:v>分组熵权型</x:v>
      </x:c>
      <x:c r="C262" s="22" t="str">
        <x:v>后20%</x:v>
      </x:c>
      <x:c r="D262" s="22" t="str">
        <x:v>严格进入</x:v>
      </x:c>
      <x:c r="E262" s="22" t="str">
        <x:v>2026春:268130</x:v>
      </x:c>
      <x:c r="F262" s="22" t="str">
        <x:v>s3</x:v>
      </x:c>
      <x:c r="G262" s="26" t="n">
        <x:v>149</x:v>
      </x:c>
      <x:c r="H262" s="25" t="n">
        <x:v>17.192670600640525</x:v>
      </x:c>
      <x:c r="I262" s="24" t="n">
        <x:v>1</x:v>
      </x:c>
      <x:c r="J262" s="24" t="n">
        <x:v>1</x:v>
      </x:c>
      <x:c r="K262" s="22" t="str">
        <x:v>是</x:v>
      </x:c>
      <x:c r="L262" s="22" t="n">
        <x:v>0.2884023956607329</x:v>
      </x:c>
      <x:c r="M262" s="22" t="n">
        <x:v>3.4803407133934985</x:v>
      </x:c>
      <x:c r="N262" s="22" t="n">
        <x:v>3.423927491586292</x:v>
      </x:c>
      <x:c r="O262" s="22" t="n">
        <x:v>9.999999999999998</x:v>
      </x:c>
      <x:c r="P262" s="24" t="n">
        <x:v>4</x:v>
      </x:c>
      <x:c r="Q262" s="22" t="str">
        <x:v>["S0938"]</x:v>
      </x:c>
      <x:c r="R262" s="22" t="str">
        <x:v>evidence/student_evidence.jsonl；student_key=2026春:268130</x:v>
      </x:c>
      <x:c r="S262" s="27" t="str"/>
    </x:row>
    <x:row r="263" ht="48" customHeight="1">
      <x:c r="A263" s="21" t="str">
        <x:v>全量观察(探索)</x:v>
      </x:c>
      <x:c r="B263" s="22" t="str">
        <x:v>分组熵权型</x:v>
      </x:c>
      <x:c r="C263" s="22" t="str">
        <x:v>后20%</x:v>
      </x:c>
      <x:c r="D263" s="22" t="str">
        <x:v>严格进入</x:v>
      </x:c>
      <x:c r="E263" s="22" t="str">
        <x:v>2025秋:258274</x:v>
      </x:c>
      <x:c r="F263" s="22" t="str">
        <x:v>s3</x:v>
      </x:c>
      <x:c r="G263" s="26" t="n">
        <x:v>160</x:v>
      </x:c>
      <x:c r="H263" s="25" t="n">
        <x:v>15</x:v>
      </x:c>
      <x:c r="I263" s="24" t="n">
        <x:v>1</x:v>
      </x:c>
      <x:c r="J263" s="24" t="n">
        <x:v>1</x:v>
      </x:c>
      <x:c r="K263" s="22" t="str">
        <x:v>是</x:v>
      </x:c>
      <x:c r="L263" s="22" t="n">
        <x:v>0</x:v>
      </x:c>
      <x:c r="M263" s="22" t="n">
        <x:v>0</x:v>
      </x:c>
      <x:c r="N263" s="22" t="n">
        <x:v>0</x:v>
      </x:c>
      <x:c r="O263" s="22" t="n">
        <x:v>15</x:v>
      </x:c>
      <x:c r="P263" s="24" t="n">
        <x:v>4</x:v>
      </x:c>
      <x:c r="Q263" s="22" t="str">
        <x:v>["S0275"]</x:v>
      </x:c>
      <x:c r="R263" s="22" t="str">
        <x:v>evidence/student_evidence.jsonl；student_key=2025秋:258274</x:v>
      </x:c>
      <x:c r="S263" s="27" t="str">
        <x:v>同一锚点起止1条：未形成独立重复测量。</x:v>
      </x:c>
    </x:row>
    <x:row r="264" ht="23" customHeight="1">
      <x:c r="A264" s="21" t="str">
        <x:v>全量观察(探索)</x:v>
      </x:c>
      <x:c r="B264" s="22" t="str">
        <x:v>分组熵权型</x:v>
      </x:c>
      <x:c r="C264" s="22" t="str">
        <x:v>后20%</x:v>
      </x:c>
      <x:c r="D264" s="22" t="str">
        <x:v>严格进入</x:v>
      </x:c>
      <x:c r="E264" s="22" t="str">
        <x:v>2025秋:258862</x:v>
      </x:c>
      <x:c r="F264" s="22" t="str">
        <x:v>s3</x:v>
      </x:c>
      <x:c r="G264" s="26" t="n">
        <x:v>160</x:v>
      </x:c>
      <x:c r="H264" s="25" t="n">
        <x:v>15</x:v>
      </x:c>
      <x:c r="I264" s="24" t="n">
        <x:v>1</x:v>
      </x:c>
      <x:c r="J264" s="24" t="n">
        <x:v>1</x:v>
      </x:c>
      <x:c r="K264" s="22" t="str">
        <x:v>否</x:v>
      </x:c>
      <x:c r="L264" s="22" t="n">
        <x:v>0</x:v>
      </x:c>
      <x:c r="M264" s="22" t="n">
        <x:v>0</x:v>
      </x:c>
      <x:c r="N264" s="22" t="n">
        <x:v>0</x:v>
      </x:c>
      <x:c r="O264" s="22" t="n">
        <x:v>15</x:v>
      </x:c>
      <x:c r="P264" s="24" t="n">
        <x:v>4</x:v>
      </x:c>
      <x:c r="Q264" s="22" t="str">
        <x:v>["S0151"]</x:v>
      </x:c>
      <x:c r="R264" s="22" t="str">
        <x:v>evidence/student_evidence.jsonl；student_key=2025秋:258862</x:v>
      </x:c>
      <x:c r="S264" s="27" t="str"/>
    </x:row>
    <x:row r="265" ht="23" customHeight="1">
      <x:c r="A265" s="21" t="str">
        <x:v>全量观察(探索)</x:v>
      </x:c>
      <x:c r="B265" s="22" t="str">
        <x:v>分组熵权型</x:v>
      </x:c>
      <x:c r="C265" s="22" t="str">
        <x:v>后20%</x:v>
      </x:c>
      <x:c r="D265" s="22" t="str">
        <x:v>严格进入</x:v>
      </x:c>
      <x:c r="E265" s="22" t="str">
        <x:v>2025秋:258907</x:v>
      </x:c>
      <x:c r="F265" s="22" t="str">
        <x:v>s3</x:v>
      </x:c>
      <x:c r="G265" s="26" t="n">
        <x:v>160</x:v>
      </x:c>
      <x:c r="H265" s="25" t="n">
        <x:v>15</x:v>
      </x:c>
      <x:c r="I265" s="24" t="n">
        <x:v>1</x:v>
      </x:c>
      <x:c r="J265" s="24" t="n">
        <x:v>1</x:v>
      </x:c>
      <x:c r="K265" s="22" t="str">
        <x:v>否</x:v>
      </x:c>
      <x:c r="L265" s="22" t="n">
        <x:v>0</x:v>
      </x:c>
      <x:c r="M265" s="22" t="n">
        <x:v>0</x:v>
      </x:c>
      <x:c r="N265" s="22" t="n">
        <x:v>0</x:v>
      </x:c>
      <x:c r="O265" s="22" t="n">
        <x:v>15</x:v>
      </x:c>
      <x:c r="P265" s="24" t="n">
        <x:v>4</x:v>
      </x:c>
      <x:c r="Q265" s="22" t="str">
        <x:v>["S0269"]</x:v>
      </x:c>
      <x:c r="R265" s="22" t="str">
        <x:v>evidence/student_evidence.jsonl；student_key=2025秋:258907</x:v>
      </x:c>
      <x:c r="S265" s="27" t="str"/>
    </x:row>
    <x:row r="266" ht="48" customHeight="1">
      <x:c r="A266" s="21" t="str">
        <x:v>全量观察(探索)</x:v>
      </x:c>
      <x:c r="B266" s="22" t="str">
        <x:v>分组熵权型</x:v>
      </x:c>
      <x:c r="C266" s="22" t="str">
        <x:v>后20%</x:v>
      </x:c>
      <x:c r="D266" s="22" t="str">
        <x:v>严格进入</x:v>
      </x:c>
      <x:c r="E266" s="22" t="str">
        <x:v>2025秋:258908</x:v>
      </x:c>
      <x:c r="F266" s="22" t="str">
        <x:v>s3</x:v>
      </x:c>
      <x:c r="G266" s="26" t="n">
        <x:v>160</x:v>
      </x:c>
      <x:c r="H266" s="25" t="n">
        <x:v>15</x:v>
      </x:c>
      <x:c r="I266" s="24" t="n">
        <x:v>1</x:v>
      </x:c>
      <x:c r="J266" s="24" t="n">
        <x:v>1</x:v>
      </x:c>
      <x:c r="K266" s="22" t="str">
        <x:v>否</x:v>
      </x:c>
      <x:c r="L266" s="22" t="n">
        <x:v>0</x:v>
      </x:c>
      <x:c r="M266" s="22" t="n">
        <x:v>0</x:v>
      </x:c>
      <x:c r="N266" s="22" t="n">
        <x:v>0</x:v>
      </x:c>
      <x:c r="O266" s="22" t="n">
        <x:v>15</x:v>
      </x:c>
      <x:c r="P266" s="24" t="n">
        <x:v>4</x:v>
      </x:c>
      <x:c r="Q266" s="22" t="str">
        <x:v>["S0292"]</x:v>
      </x:c>
      <x:c r="R266" s="22" t="str">
        <x:v>evidence/student_evidence.jsonl；student_key=2025秋:258908</x:v>
      </x:c>
      <x:c r="S266" s="27" t="str">
        <x:v>同一锚点起止1条：未形成独立重复测量。</x:v>
      </x:c>
    </x:row>
    <x:row r="267" ht="23" customHeight="1">
      <x:c r="A267" s="21" t="str">
        <x:v>全量观察(探索)</x:v>
      </x:c>
      <x:c r="B267" s="22" t="str">
        <x:v>分组熵权型</x:v>
      </x:c>
      <x:c r="C267" s="22" t="str">
        <x:v>后20%</x:v>
      </x:c>
      <x:c r="D267" s="22" t="str">
        <x:v>严格进入</x:v>
      </x:c>
      <x:c r="E267" s="22" t="str">
        <x:v>2025秋:258912</x:v>
      </x:c>
      <x:c r="F267" s="22" t="str">
        <x:v>s3</x:v>
      </x:c>
      <x:c r="G267" s="26" t="n">
        <x:v>160</x:v>
      </x:c>
      <x:c r="H267" s="25" t="n">
        <x:v>15</x:v>
      </x:c>
      <x:c r="I267" s="24" t="n">
        <x:v>1</x:v>
      </x:c>
      <x:c r="J267" s="24" t="n">
        <x:v>1</x:v>
      </x:c>
      <x:c r="K267" s="22" t="str">
        <x:v>是</x:v>
      </x:c>
      <x:c r="L267" s="22" t="n">
        <x:v>0</x:v>
      </x:c>
      <x:c r="M267" s="22" t="n">
        <x:v>0</x:v>
      </x:c>
      <x:c r="N267" s="22" t="n">
        <x:v>0</x:v>
      </x:c>
      <x:c r="O267" s="22" t="n">
        <x:v>15</x:v>
      </x:c>
      <x:c r="P267" s="24" t="n">
        <x:v>4</x:v>
      </x:c>
      <x:c r="Q267" s="22" t="str">
        <x:v>["S0092"]</x:v>
      </x:c>
      <x:c r="R267" s="22" t="str">
        <x:v>evidence/student_evidence.jsonl；student_key=2025秋:258912</x:v>
      </x:c>
      <x:c r="S267" s="27" t="str"/>
    </x:row>
    <x:row r="268" ht="48" customHeight="1">
      <x:c r="A268" s="21" t="str">
        <x:v>全量观察(探索)</x:v>
      </x:c>
      <x:c r="B268" s="22" t="str">
        <x:v>分组熵权型</x:v>
      </x:c>
      <x:c r="C268" s="22" t="str">
        <x:v>后20%</x:v>
      </x:c>
      <x:c r="D268" s="22" t="str">
        <x:v>严格进入</x:v>
      </x:c>
      <x:c r="E268" s="22" t="str">
        <x:v>2025秋:258918</x:v>
      </x:c>
      <x:c r="F268" s="22" t="str">
        <x:v>s3</x:v>
      </x:c>
      <x:c r="G268" s="26" t="n">
        <x:v>160</x:v>
      </x:c>
      <x:c r="H268" s="25" t="n">
        <x:v>15</x:v>
      </x:c>
      <x:c r="I268" s="24" t="n">
        <x:v>1</x:v>
      </x:c>
      <x:c r="J268" s="24" t="n">
        <x:v>1</x:v>
      </x:c>
      <x:c r="K268" s="22" t="str">
        <x:v>否</x:v>
      </x:c>
      <x:c r="L268" s="22" t="n">
        <x:v>0</x:v>
      </x:c>
      <x:c r="M268" s="22" t="n">
        <x:v>0</x:v>
      </x:c>
      <x:c r="N268" s="22" t="n">
        <x:v>0</x:v>
      </x:c>
      <x:c r="O268" s="22" t="n">
        <x:v>15</x:v>
      </x:c>
      <x:c r="P268" s="24" t="n">
        <x:v>4</x:v>
      </x:c>
      <x:c r="Q268" s="22" t="str">
        <x:v>["S0287"]</x:v>
      </x:c>
      <x:c r="R268" s="22" t="str">
        <x:v>evidence/student_evidence.jsonl；student_key=2025秋:258918</x:v>
      </x:c>
      <x:c r="S268" s="27" t="str">
        <x:v>同一锚点起止1条：未形成独立重复测量。</x:v>
      </x:c>
    </x:row>
    <x:row r="269" ht="48" customHeight="1">
      <x:c r="A269" s="21" t="str">
        <x:v>全量观察(探索)</x:v>
      </x:c>
      <x:c r="B269" s="22" t="str">
        <x:v>分组熵权型</x:v>
      </x:c>
      <x:c r="C269" s="22" t="str">
        <x:v>后20%</x:v>
      </x:c>
      <x:c r="D269" s="22" t="str">
        <x:v>严格进入</x:v>
      </x:c>
      <x:c r="E269" s="22" t="str">
        <x:v>2025秋:258923</x:v>
      </x:c>
      <x:c r="F269" s="22" t="str">
        <x:v>s3</x:v>
      </x:c>
      <x:c r="G269" s="26" t="n">
        <x:v>160</x:v>
      </x:c>
      <x:c r="H269" s="25" t="n">
        <x:v>15</x:v>
      </x:c>
      <x:c r="I269" s="24" t="n">
        <x:v>1</x:v>
      </x:c>
      <x:c r="J269" s="24" t="n">
        <x:v>1</x:v>
      </x:c>
      <x:c r="K269" s="22" t="str">
        <x:v>是</x:v>
      </x:c>
      <x:c r="L269" s="22" t="n">
        <x:v>0</x:v>
      </x:c>
      <x:c r="M269" s="22" t="n">
        <x:v>0</x:v>
      </x:c>
      <x:c r="N269" s="22" t="n">
        <x:v>0</x:v>
      </x:c>
      <x:c r="O269" s="22" t="n">
        <x:v>15</x:v>
      </x:c>
      <x:c r="P269" s="24" t="n">
        <x:v>4</x:v>
      </x:c>
      <x:c r="Q269" s="22" t="str">
        <x:v>["S0120"]</x:v>
      </x:c>
      <x:c r="R269" s="22" t="str">
        <x:v>evidence/student_evidence.jsonl；student_key=2025秋:258923</x:v>
      </x:c>
      <x:c r="S269" s="27" t="str">
        <x:v>同一锚点起止1条：未形成独立重复测量。</x:v>
      </x:c>
    </x:row>
    <x:row r="270" ht="48" customHeight="1">
      <x:c r="A270" s="21" t="str">
        <x:v>全量观察(探索)</x:v>
      </x:c>
      <x:c r="B270" s="22" t="str">
        <x:v>分组熵权型</x:v>
      </x:c>
      <x:c r="C270" s="22" t="str">
        <x:v>后20%</x:v>
      </x:c>
      <x:c r="D270" s="22" t="str">
        <x:v>严格进入</x:v>
      </x:c>
      <x:c r="E270" s="22" t="str">
        <x:v>2025秋:258945</x:v>
      </x:c>
      <x:c r="F270" s="22" t="str">
        <x:v>s3</x:v>
      </x:c>
      <x:c r="G270" s="26" t="n">
        <x:v>160</x:v>
      </x:c>
      <x:c r="H270" s="25" t="n">
        <x:v>15</x:v>
      </x:c>
      <x:c r="I270" s="24" t="n">
        <x:v>1</x:v>
      </x:c>
      <x:c r="J270" s="24" t="n">
        <x:v>1</x:v>
      </x:c>
      <x:c r="K270" s="22" t="str">
        <x:v>否</x:v>
      </x:c>
      <x:c r="L270" s="22" t="n">
        <x:v>0</x:v>
      </x:c>
      <x:c r="M270" s="22" t="n">
        <x:v>0</x:v>
      </x:c>
      <x:c r="N270" s="22" t="n">
        <x:v>0</x:v>
      </x:c>
      <x:c r="O270" s="22" t="n">
        <x:v>15</x:v>
      </x:c>
      <x:c r="P270" s="24" t="n">
        <x:v>4</x:v>
      </x:c>
      <x:c r="Q270" s="22" t="str">
        <x:v>["S0048"]</x:v>
      </x:c>
      <x:c r="R270" s="22" t="str">
        <x:v>evidence/student_evidence.jsonl；student_key=2025秋:258945</x:v>
      </x:c>
      <x:c r="S270" s="27" t="str">
        <x:v>同一锚点起止1条：未形成独立重复测量。</x:v>
      </x:c>
    </x:row>
    <x:row r="271" ht="23" customHeight="1">
      <x:c r="A271" s="21" t="str">
        <x:v>全量观察(探索)</x:v>
      </x:c>
      <x:c r="B271" s="22" t="str">
        <x:v>分组熵权型</x:v>
      </x:c>
      <x:c r="C271" s="22" t="str">
        <x:v>后20%</x:v>
      </x:c>
      <x:c r="D271" s="22" t="str">
        <x:v>严格进入</x:v>
      </x:c>
      <x:c r="E271" s="22" t="str">
        <x:v>2025秋:259059</x:v>
      </x:c>
      <x:c r="F271" s="22" t="str">
        <x:v>s3</x:v>
      </x:c>
      <x:c r="G271" s="26" t="n">
        <x:v>160</x:v>
      </x:c>
      <x:c r="H271" s="25" t="n">
        <x:v>15</x:v>
      </x:c>
      <x:c r="I271" s="24" t="n">
        <x:v>1</x:v>
      </x:c>
      <x:c r="J271" s="24" t="n">
        <x:v>1</x:v>
      </x:c>
      <x:c r="K271" s="22" t="str">
        <x:v>是</x:v>
      </x:c>
      <x:c r="L271" s="22" t="n">
        <x:v>0</x:v>
      </x:c>
      <x:c r="M271" s="22" t="n">
        <x:v>0</x:v>
      </x:c>
      <x:c r="N271" s="22" t="n">
        <x:v>0</x:v>
      </x:c>
      <x:c r="O271" s="22" t="n">
        <x:v>15</x:v>
      </x:c>
      <x:c r="P271" s="24" t="n">
        <x:v>4</x:v>
      </x:c>
      <x:c r="Q271" s="22" t="str">
        <x:v>["S0426"]</x:v>
      </x:c>
      <x:c r="R271" s="22" t="str">
        <x:v>evidence/student_evidence.jsonl；student_key=2025秋:259059</x:v>
      </x:c>
      <x:c r="S271" s="27" t="str"/>
    </x:row>
    <x:row r="272" ht="23" customHeight="1">
      <x:c r="A272" s="21" t="str">
        <x:v>全量观察(探索)</x:v>
      </x:c>
      <x:c r="B272" s="22" t="str">
        <x:v>分组熵权型</x:v>
      </x:c>
      <x:c r="C272" s="22" t="str">
        <x:v>后20%</x:v>
      </x:c>
      <x:c r="D272" s="22" t="str">
        <x:v>严格进入</x:v>
      </x:c>
      <x:c r="E272" s="22" t="str">
        <x:v>2025秋:259106</x:v>
      </x:c>
      <x:c r="F272" s="22" t="str">
        <x:v>s3</x:v>
      </x:c>
      <x:c r="G272" s="26" t="n">
        <x:v>160</x:v>
      </x:c>
      <x:c r="H272" s="25" t="n">
        <x:v>15</x:v>
      </x:c>
      <x:c r="I272" s="24" t="n">
        <x:v>1</x:v>
      </x:c>
      <x:c r="J272" s="24" t="n">
        <x:v>1</x:v>
      </x:c>
      <x:c r="K272" s="22" t="str">
        <x:v>是</x:v>
      </x:c>
      <x:c r="L272" s="22" t="n">
        <x:v>0</x:v>
      </x:c>
      <x:c r="M272" s="22" t="n">
        <x:v>0</x:v>
      </x:c>
      <x:c r="N272" s="22" t="n">
        <x:v>0</x:v>
      </x:c>
      <x:c r="O272" s="22" t="n">
        <x:v>15</x:v>
      </x:c>
      <x:c r="P272" s="24" t="n">
        <x:v>4</x:v>
      </x:c>
      <x:c r="Q272" s="22" t="str">
        <x:v>["S0005"]</x:v>
      </x:c>
      <x:c r="R272" s="22" t="str">
        <x:v>evidence/student_evidence.jsonl；student_key=2025秋:259106</x:v>
      </x:c>
      <x:c r="S272" s="27" t="str"/>
    </x:row>
    <x:row r="273" ht="23" customHeight="1">
      <x:c r="A273" s="21" t="str">
        <x:v>全量观察(探索)</x:v>
      </x:c>
      <x:c r="B273" s="22" t="str">
        <x:v>分组熵权型</x:v>
      </x:c>
      <x:c r="C273" s="22" t="str">
        <x:v>后20%</x:v>
      </x:c>
      <x:c r="D273" s="22" t="str">
        <x:v>严格进入</x:v>
      </x:c>
      <x:c r="E273" s="22" t="str">
        <x:v>2025秋:259315</x:v>
      </x:c>
      <x:c r="F273" s="22" t="str">
        <x:v>s3</x:v>
      </x:c>
      <x:c r="G273" s="26" t="n">
        <x:v>160</x:v>
      </x:c>
      <x:c r="H273" s="25" t="n">
        <x:v>15</x:v>
      </x:c>
      <x:c r="I273" s="24" t="n">
        <x:v>1</x:v>
      </x:c>
      <x:c r="J273" s="24" t="n">
        <x:v>1</x:v>
      </x:c>
      <x:c r="K273" s="22" t="str">
        <x:v>是</x:v>
      </x:c>
      <x:c r="L273" s="22" t="n">
        <x:v>0</x:v>
      </x:c>
      <x:c r="M273" s="22" t="n">
        <x:v>0</x:v>
      </x:c>
      <x:c r="N273" s="22" t="n">
        <x:v>0</x:v>
      </x:c>
      <x:c r="O273" s="22" t="n">
        <x:v>15</x:v>
      </x:c>
      <x:c r="P273" s="24" t="n">
        <x:v>4</x:v>
      </x:c>
      <x:c r="Q273" s="22" t="str">
        <x:v>["S0405"]</x:v>
      </x:c>
      <x:c r="R273" s="22" t="str">
        <x:v>evidence/student_evidence.jsonl；student_key=2025秋:259315</x:v>
      </x:c>
      <x:c r="S273" s="27" t="str"/>
    </x:row>
    <x:row r="274" ht="48" customHeight="1">
      <x:c r="A274" s="21" t="str">
        <x:v>全量观察(探索)</x:v>
      </x:c>
      <x:c r="B274" s="22" t="str">
        <x:v>分组熵权型</x:v>
      </x:c>
      <x:c r="C274" s="22" t="str">
        <x:v>后20%</x:v>
      </x:c>
      <x:c r="D274" s="22" t="str">
        <x:v>严格进入</x:v>
      </x:c>
      <x:c r="E274" s="22" t="str">
        <x:v>2025秋:259346</x:v>
      </x:c>
      <x:c r="F274" s="22" t="str">
        <x:v>s3</x:v>
      </x:c>
      <x:c r="G274" s="26" t="n">
        <x:v>160</x:v>
      </x:c>
      <x:c r="H274" s="25" t="n">
        <x:v>15</x:v>
      </x:c>
      <x:c r="I274" s="24" t="n">
        <x:v>1</x:v>
      </x:c>
      <x:c r="J274" s="24" t="n">
        <x:v>1</x:v>
      </x:c>
      <x:c r="K274" s="22" t="str">
        <x:v>是</x:v>
      </x:c>
      <x:c r="L274" s="22" t="n">
        <x:v>0</x:v>
      </x:c>
      <x:c r="M274" s="22" t="n">
        <x:v>0</x:v>
      </x:c>
      <x:c r="N274" s="22" t="n">
        <x:v>0</x:v>
      </x:c>
      <x:c r="O274" s="22" t="n">
        <x:v>15</x:v>
      </x:c>
      <x:c r="P274" s="24" t="n">
        <x:v>4</x:v>
      </x:c>
      <x:c r="Q274" s="22" t="str">
        <x:v>["S0672"]</x:v>
      </x:c>
      <x:c r="R274" s="22" t="str">
        <x:v>evidence/student_evidence.jsonl；student_key=2025秋:259346</x:v>
      </x:c>
      <x:c r="S274" s="27" t="str">
        <x:v>同一锚点起止1条：未形成独立重复测量。</x:v>
      </x:c>
    </x:row>
    <x:row r="275" ht="23" customHeight="1">
      <x:c r="A275" s="21" t="str">
        <x:v>全量观察(探索)</x:v>
      </x:c>
      <x:c r="B275" s="22" t="str">
        <x:v>分组熵权型</x:v>
      </x:c>
      <x:c r="C275" s="22" t="str">
        <x:v>后20%</x:v>
      </x:c>
      <x:c r="D275" s="22" t="str">
        <x:v>严格进入</x:v>
      </x:c>
      <x:c r="E275" s="22" t="str">
        <x:v>2025秋:259405</x:v>
      </x:c>
      <x:c r="F275" s="22" t="str">
        <x:v>s3</x:v>
      </x:c>
      <x:c r="G275" s="26" t="n">
        <x:v>160</x:v>
      </x:c>
      <x:c r="H275" s="25" t="n">
        <x:v>15</x:v>
      </x:c>
      <x:c r="I275" s="24" t="n">
        <x:v>1</x:v>
      </x:c>
      <x:c r="J275" s="24" t="n">
        <x:v>1</x:v>
      </x:c>
      <x:c r="K275" s="22" t="str">
        <x:v>否</x:v>
      </x:c>
      <x:c r="L275" s="22" t="n">
        <x:v>0</x:v>
      </x:c>
      <x:c r="M275" s="22" t="n">
        <x:v>0</x:v>
      </x:c>
      <x:c r="N275" s="22" t="n">
        <x:v>0</x:v>
      </x:c>
      <x:c r="O275" s="22" t="n">
        <x:v>15</x:v>
      </x:c>
      <x:c r="P275" s="24" t="n">
        <x:v>4</x:v>
      </x:c>
      <x:c r="Q275" s="22" t="str">
        <x:v>["S0219"]</x:v>
      </x:c>
      <x:c r="R275" s="22" t="str">
        <x:v>evidence/student_evidence.jsonl；student_key=2025秋:259405</x:v>
      </x:c>
      <x:c r="S275" s="27" t="str"/>
    </x:row>
    <x:row r="276" ht="23" customHeight="1">
      <x:c r="A276" s="21" t="str">
        <x:v>全量观察(探索)</x:v>
      </x:c>
      <x:c r="B276" s="22" t="str">
        <x:v>分组熵权型</x:v>
      </x:c>
      <x:c r="C276" s="22" t="str">
        <x:v>后20%</x:v>
      </x:c>
      <x:c r="D276" s="22" t="str">
        <x:v>严格进入</x:v>
      </x:c>
      <x:c r="E276" s="22" t="str">
        <x:v>2025秋:259422</x:v>
      </x:c>
      <x:c r="F276" s="22" t="str">
        <x:v>s3</x:v>
      </x:c>
      <x:c r="G276" s="26" t="n">
        <x:v>160</x:v>
      </x:c>
      <x:c r="H276" s="25" t="n">
        <x:v>15</x:v>
      </x:c>
      <x:c r="I276" s="24" t="n">
        <x:v>1</x:v>
      </x:c>
      <x:c r="J276" s="24" t="n">
        <x:v>1</x:v>
      </x:c>
      <x:c r="K276" s="22" t="str">
        <x:v>是</x:v>
      </x:c>
      <x:c r="L276" s="22" t="n">
        <x:v>0</x:v>
      </x:c>
      <x:c r="M276" s="22" t="n">
        <x:v>0</x:v>
      </x:c>
      <x:c r="N276" s="22" t="n">
        <x:v>0</x:v>
      </x:c>
      <x:c r="O276" s="22" t="n">
        <x:v>15</x:v>
      </x:c>
      <x:c r="P276" s="24" t="n">
        <x:v>4</x:v>
      </x:c>
      <x:c r="Q276" s="22" t="str">
        <x:v>["S0421"]</x:v>
      </x:c>
      <x:c r="R276" s="22" t="str">
        <x:v>evidence/student_evidence.jsonl；student_key=2025秋:259422</x:v>
      </x:c>
      <x:c r="S276" s="27" t="str"/>
    </x:row>
    <x:row r="277" ht="48" customHeight="1">
      <x:c r="A277" s="21" t="str">
        <x:v>全量观察(探索)</x:v>
      </x:c>
      <x:c r="B277" s="22" t="str">
        <x:v>分组熵权型</x:v>
      </x:c>
      <x:c r="C277" s="22" t="str">
        <x:v>后20%</x:v>
      </x:c>
      <x:c r="D277" s="22" t="str">
        <x:v>严格进入</x:v>
      </x:c>
      <x:c r="E277" s="22" t="str">
        <x:v>2025秋:259927</x:v>
      </x:c>
      <x:c r="F277" s="22" t="str">
        <x:v>s3</x:v>
      </x:c>
      <x:c r="G277" s="26" t="n">
        <x:v>160</x:v>
      </x:c>
      <x:c r="H277" s="25" t="n">
        <x:v>15</x:v>
      </x:c>
      <x:c r="I277" s="24" t="n">
        <x:v>1</x:v>
      </x:c>
      <x:c r="J277" s="24" t="n">
        <x:v>1</x:v>
      </x:c>
      <x:c r="K277" s="22" t="str">
        <x:v>否</x:v>
      </x:c>
      <x:c r="L277" s="22" t="n">
        <x:v>0</x:v>
      </x:c>
      <x:c r="M277" s="22" t="n">
        <x:v>0</x:v>
      </x:c>
      <x:c r="N277" s="22" t="n">
        <x:v>0</x:v>
      </x:c>
      <x:c r="O277" s="22" t="n">
        <x:v>15</x:v>
      </x:c>
      <x:c r="P277" s="24" t="n">
        <x:v>4</x:v>
      </x:c>
      <x:c r="Q277" s="22" t="str">
        <x:v>["S0271"]</x:v>
      </x:c>
      <x:c r="R277" s="22" t="str">
        <x:v>evidence/student_evidence.jsonl；student_key=2025秋:259927</x:v>
      </x:c>
      <x:c r="S277" s="27" t="str">
        <x:v>同一锚点起止1条：未形成独立重复测量。</x:v>
      </x:c>
    </x:row>
    <x:row r="278" ht="23" customHeight="1">
      <x:c r="A278" s="21" t="str">
        <x:v>全量观察(探索)</x:v>
      </x:c>
      <x:c r="B278" s="22" t="str">
        <x:v>分组熵权型</x:v>
      </x:c>
      <x:c r="C278" s="22" t="str">
        <x:v>后20%</x:v>
      </x:c>
      <x:c r="D278" s="22" t="str">
        <x:v>严格进入</x:v>
      </x:c>
      <x:c r="E278" s="22" t="str">
        <x:v>2025秋:259958</x:v>
      </x:c>
      <x:c r="F278" s="22" t="str">
        <x:v>s3</x:v>
      </x:c>
      <x:c r="G278" s="26" t="n">
        <x:v>160</x:v>
      </x:c>
      <x:c r="H278" s="25" t="n">
        <x:v>15</x:v>
      </x:c>
      <x:c r="I278" s="24" t="n">
        <x:v>1</x:v>
      </x:c>
      <x:c r="J278" s="24" t="n">
        <x:v>1</x:v>
      </x:c>
      <x:c r="K278" s="22" t="str">
        <x:v>是</x:v>
      </x:c>
      <x:c r="L278" s="22" t="n">
        <x:v>0</x:v>
      </x:c>
      <x:c r="M278" s="22" t="n">
        <x:v>0</x:v>
      </x:c>
      <x:c r="N278" s="22" t="n">
        <x:v>0</x:v>
      </x:c>
      <x:c r="O278" s="22" t="n">
        <x:v>15</x:v>
      </x:c>
      <x:c r="P278" s="24" t="n">
        <x:v>4</x:v>
      </x:c>
      <x:c r="Q278" s="22" t="str">
        <x:v>["S0183"]</x:v>
      </x:c>
      <x:c r="R278" s="22" t="str">
        <x:v>evidence/student_evidence.jsonl；student_key=2025秋:259958</x:v>
      </x:c>
      <x:c r="S278" s="27" t="str"/>
    </x:row>
    <x:row r="279" ht="48" customHeight="1">
      <x:c r="A279" s="21" t="str">
        <x:v>全量观察(探索)</x:v>
      </x:c>
      <x:c r="B279" s="22" t="str">
        <x:v>分组熵权型</x:v>
      </x:c>
      <x:c r="C279" s="22" t="str">
        <x:v>后20%</x:v>
      </x:c>
      <x:c r="D279" s="22" t="str">
        <x:v>严格进入</x:v>
      </x:c>
      <x:c r="E279" s="22" t="str">
        <x:v>2025秋:25A171</x:v>
      </x:c>
      <x:c r="F279" s="22" t="str">
        <x:v>s3</x:v>
      </x:c>
      <x:c r="G279" s="26" t="n">
        <x:v>160</x:v>
      </x:c>
      <x:c r="H279" s="25" t="n">
        <x:v>15</x:v>
      </x:c>
      <x:c r="I279" s="24" t="n">
        <x:v>1</x:v>
      </x:c>
      <x:c r="J279" s="24" t="n">
        <x:v>1</x:v>
      </x:c>
      <x:c r="K279" s="22" t="str">
        <x:v>是</x:v>
      </x:c>
      <x:c r="L279" s="22" t="n">
        <x:v>0</x:v>
      </x:c>
      <x:c r="M279" s="22" t="n">
        <x:v>0</x:v>
      </x:c>
      <x:c r="N279" s="22" t="n">
        <x:v>0</x:v>
      </x:c>
      <x:c r="O279" s="22" t="n">
        <x:v>15</x:v>
      </x:c>
      <x:c r="P279" s="24" t="n">
        <x:v>4</x:v>
      </x:c>
      <x:c r="Q279" s="22" t="str">
        <x:v>["S0258"]</x:v>
      </x:c>
      <x:c r="R279" s="22" t="str">
        <x:v>evidence/student_evidence.jsonl；student_key=2025秋:25A171</x:v>
      </x:c>
      <x:c r="S279" s="27" t="str">
        <x:v>同一锚点起止1条：未形成独立重复测量。</x:v>
      </x:c>
    </x:row>
    <x:row r="280" ht="48" customHeight="1">
      <x:c r="A280" s="21" t="str">
        <x:v>全量观察(探索)</x:v>
      </x:c>
      <x:c r="B280" s="22" t="str">
        <x:v>分组熵权型</x:v>
      </x:c>
      <x:c r="C280" s="22" t="str">
        <x:v>后20%</x:v>
      </x:c>
      <x:c r="D280" s="22" t="str">
        <x:v>严格进入</x:v>
      </x:c>
      <x:c r="E280" s="22" t="str">
        <x:v>2026春:250845</x:v>
      </x:c>
      <x:c r="F280" s="22" t="str">
        <x:v>s6</x:v>
      </x:c>
      <x:c r="G280" s="26" t="n">
        <x:v>160</x:v>
      </x:c>
      <x:c r="H280" s="25" t="n">
        <x:v>15</x:v>
      </x:c>
      <x:c r="I280" s="24" t="n">
        <x:v>1</x:v>
      </x:c>
      <x:c r="J280" s="24" t="n">
        <x:v>1</x:v>
      </x:c>
      <x:c r="K280" s="22" t="str">
        <x:v>是</x:v>
      </x:c>
      <x:c r="L280" s="22" t="n">
        <x:v>0</x:v>
      </x:c>
      <x:c r="M280" s="22" t="n">
        <x:v>0</x:v>
      </x:c>
      <x:c r="N280" s="22" t="n">
        <x:v>0</x:v>
      </x:c>
      <x:c r="O280" s="22" t="n">
        <x:v>15</x:v>
      </x:c>
      <x:c r="P280" s="24" t="n">
        <x:v>4</x:v>
      </x:c>
      <x:c r="Q280" s="22" t="str">
        <x:v>["S0825"]</x:v>
      </x:c>
      <x:c r="R280" s="22" t="str">
        <x:v>evidence/student_evidence.jsonl；student_key=2026春:250845</x:v>
      </x:c>
      <x:c r="S280" s="27" t="str">
        <x:v>同一锚点起止1条：未形成独立重复测量。</x:v>
      </x:c>
    </x:row>
    <x:row r="281" ht="23" customHeight="1">
      <x:c r="A281" s="21" t="str">
        <x:v>全量观察(探索)</x:v>
      </x:c>
      <x:c r="B281" s="22" t="str">
        <x:v>分组熵权型</x:v>
      </x:c>
      <x:c r="C281" s="22" t="str">
        <x:v>后20%</x:v>
      </x:c>
      <x:c r="D281" s="22" t="str">
        <x:v>严格进入</x:v>
      </x:c>
      <x:c r="E281" s="22" t="str">
        <x:v>2026春:258955</x:v>
      </x:c>
      <x:c r="F281" s="22" t="str">
        <x:v>s3</x:v>
      </x:c>
      <x:c r="G281" s="26" t="n">
        <x:v>160</x:v>
      </x:c>
      <x:c r="H281" s="25" t="n">
        <x:v>15</x:v>
      </x:c>
      <x:c r="I281" s="24" t="n">
        <x:v>1</x:v>
      </x:c>
      <x:c r="J281" s="24" t="n">
        <x:v>1</x:v>
      </x:c>
      <x:c r="K281" s="22" t="str">
        <x:v>是</x:v>
      </x:c>
      <x:c r="L281" s="22" t="n">
        <x:v>0</x:v>
      </x:c>
      <x:c r="M281" s="22" t="n">
        <x:v>0</x:v>
      </x:c>
      <x:c r="N281" s="22" t="n">
        <x:v>0</x:v>
      </x:c>
      <x:c r="O281" s="22" t="n">
        <x:v>15</x:v>
      </x:c>
      <x:c r="P281" s="24" t="n">
        <x:v>4</x:v>
      </x:c>
      <x:c r="Q281" s="22" t="str">
        <x:v>["S0838"]</x:v>
      </x:c>
      <x:c r="R281" s="22" t="str">
        <x:v>evidence/student_evidence.jsonl；student_key=2026春:258955</x:v>
      </x:c>
      <x:c r="S281" s="27" t="str"/>
    </x:row>
    <x:row r="282" ht="23" customHeight="1">
      <x:c r="A282" s="21" t="str">
        <x:v>全量观察(探索)</x:v>
      </x:c>
      <x:c r="B282" s="22" t="str">
        <x:v>分组熵权型</x:v>
      </x:c>
      <x:c r="C282" s="22" t="str">
        <x:v>后20%</x:v>
      </x:c>
      <x:c r="D282" s="22" t="str">
        <x:v>严格进入</x:v>
      </x:c>
      <x:c r="E282" s="22" t="str">
        <x:v>2026春:268176</x:v>
      </x:c>
      <x:c r="F282" s="22" t="str">
        <x:v>s3</x:v>
      </x:c>
      <x:c r="G282" s="26" t="n">
        <x:v>160</x:v>
      </x:c>
      <x:c r="H282" s="25" t="n">
        <x:v>15</x:v>
      </x:c>
      <x:c r="I282" s="24" t="n">
        <x:v>1</x:v>
      </x:c>
      <x:c r="J282" s="24" t="n">
        <x:v>1</x:v>
      </x:c>
      <x:c r="K282" s="22" t="str">
        <x:v>是</x:v>
      </x:c>
      <x:c r="L282" s="22" t="n">
        <x:v>0</x:v>
      </x:c>
      <x:c r="M282" s="22" t="n">
        <x:v>0</x:v>
      </x:c>
      <x:c r="N282" s="22" t="n">
        <x:v>0</x:v>
      </x:c>
      <x:c r="O282" s="22" t="n">
        <x:v>15</x:v>
      </x:c>
      <x:c r="P282" s="24" t="n">
        <x:v>4</x:v>
      </x:c>
      <x:c r="Q282" s="22" t="str">
        <x:v>["S1047"]</x:v>
      </x:c>
      <x:c r="R282" s="22" t="str">
        <x:v>evidence/student_evidence.jsonl；student_key=2026春:268176</x:v>
      </x:c>
      <x:c r="S282" s="27" t="str"/>
    </x:row>
    <x:row r="283" ht="23" customHeight="1">
      <x:c r="A283" s="21" t="str">
        <x:v>全量观察(探索)</x:v>
      </x:c>
      <x:c r="B283" s="22" t="str">
        <x:v>分组熵权型</x:v>
      </x:c>
      <x:c r="C283" s="22" t="str">
        <x:v>后20%</x:v>
      </x:c>
      <x:c r="D283" s="22" t="str">
        <x:v>严格进入</x:v>
      </x:c>
      <x:c r="E283" s="22" t="str">
        <x:v>2026春:268538</x:v>
      </x:c>
      <x:c r="F283" s="22" t="str">
        <x:v>s3</x:v>
      </x:c>
      <x:c r="G283" s="26" t="n">
        <x:v>160</x:v>
      </x:c>
      <x:c r="H283" s="25" t="n">
        <x:v>15</x:v>
      </x:c>
      <x:c r="I283" s="24" t="n">
        <x:v>1</x:v>
      </x:c>
      <x:c r="J283" s="24" t="n">
        <x:v>1</x:v>
      </x:c>
      <x:c r="K283" s="22" t="str">
        <x:v>是</x:v>
      </x:c>
      <x:c r="L283" s="22" t="n">
        <x:v>0</x:v>
      </x:c>
      <x:c r="M283" s="22" t="n">
        <x:v>0</x:v>
      </x:c>
      <x:c r="N283" s="22" t="n">
        <x:v>0</x:v>
      </x:c>
      <x:c r="O283" s="22" t="n">
        <x:v>15</x:v>
      </x:c>
      <x:c r="P283" s="24" t="n">
        <x:v>4</x:v>
      </x:c>
      <x:c r="Q283" s="22" t="str">
        <x:v>["S1276"]</x:v>
      </x:c>
      <x:c r="R283" s="22" t="str">
        <x:v>evidence/student_evidence.jsonl；student_key=2026春:268538</x:v>
      </x:c>
      <x:c r="S283" s="27" t="str"/>
    </x:row>
    <x:row r="284" ht="23" customHeight="1">
      <x:c r="A284" s="21" t="str">
        <x:v>全量观察(探索)</x:v>
      </x:c>
      <x:c r="B284" s="22" t="str">
        <x:v>分组熵权型</x:v>
      </x:c>
      <x:c r="C284" s="22" t="str">
        <x:v>后20%</x:v>
      </x:c>
      <x:c r="D284" s="22" t="str">
        <x:v>严格进入</x:v>
      </x:c>
      <x:c r="E284" s="22" t="str">
        <x:v>2026春:268133</x:v>
      </x:c>
      <x:c r="F284" s="22" t="str">
        <x:v>s3</x:v>
      </x:c>
      <x:c r="G284" s="26" t="n">
        <x:v>171</x:v>
      </x:c>
      <x:c r="H284" s="25" t="n">
        <x:v>13.832975413952925</x:v>
      </x:c>
      <x:c r="I284" s="24" t="n">
        <x:v>1</x:v>
      </x:c>
      <x:c r="J284" s="24" t="n">
        <x:v>1</x:v>
      </x:c>
      <x:c r="K284" s="22" t="str">
        <x:v>是</x:v>
      </x:c>
      <x:c r="L284" s="22" t="n">
        <x:v>0.2539314508413462</x:v>
      </x:c>
      <x:c r="M284" s="22" t="n">
        <x:v>3.0643572316710324</x:v>
      </x:c>
      <x:c r="N284" s="22" t="n">
        <x:v>3.014686731440548</x:v>
      </x:c>
      <x:c r="O284" s="22" t="n">
        <x:v>7.5</x:v>
      </x:c>
      <x:c r="P284" s="24" t="n">
        <x:v>4</x:v>
      </x:c>
      <x:c r="Q284" s="22" t="str">
        <x:v>["S0944"]</x:v>
      </x:c>
      <x:c r="R284" s="22" t="str">
        <x:v>evidence/student_evidence.jsonl；student_key=2026春:268133</x:v>
      </x:c>
      <x:c r="S284" s="27" t="str"/>
    </x:row>
    <x:row r="285" ht="23" customHeight="1">
      <x:c r="A285" s="21" t="str">
        <x:v>全量观察(探索)</x:v>
      </x:c>
      <x:c r="B285" s="22" t="str">
        <x:v>分组熵权型</x:v>
      </x:c>
      <x:c r="C285" s="22" t="str">
        <x:v>后20%</x:v>
      </x:c>
      <x:c r="D285" s="22" t="str">
        <x:v>严格进入</x:v>
      </x:c>
      <x:c r="E285" s="22" t="str">
        <x:v>2026春:250868</x:v>
      </x:c>
      <x:c r="F285" s="22" t="str">
        <x:v>s3</x:v>
      </x:c>
      <x:c r="G285" s="26" t="n">
        <x:v>172</x:v>
      </x:c>
      <x:c r="H285" s="25" t="n">
        <x:v>13.487498424627805</x:v>
      </x:c>
      <x:c r="I285" s="24" t="n">
        <x:v>1</x:v>
      </x:c>
      <x:c r="J285" s="24" t="n">
        <x:v>1</x:v>
      </x:c>
      <x:c r="K285" s="22" t="str">
        <x:v>是</x:v>
      </x:c>
      <x:c r="L285" s="22" t="n">
        <x:v>0.2400789617035635</x:v>
      </x:c>
      <x:c r="M285" s="22" t="n">
        <x:v>2.8971901669952564</x:v>
      </x:c>
      <x:c r="N285" s="22" t="n">
        <x:v>2.8502292959289868</x:v>
      </x:c>
      <x:c r="O285" s="22" t="n">
        <x:v>7.5</x:v>
      </x:c>
      <x:c r="P285" s="24" t="n">
        <x:v>4</x:v>
      </x:c>
      <x:c r="Q285" s="22" t="str">
        <x:v>["S0828"]</x:v>
      </x:c>
      <x:c r="R285" s="22" t="str">
        <x:v>evidence/student_evidence.jsonl；student_key=2026春:250868</x:v>
      </x:c>
      <x:c r="S285" s="27" t="str"/>
    </x:row>
    <x:row r="286" ht="48" customHeight="1">
      <x:c r="A286" s="21" t="str">
        <x:v>全量观察(探索)</x:v>
      </x:c>
      <x:c r="B286" s="22" t="str">
        <x:v>分组熵权型</x:v>
      </x:c>
      <x:c r="C286" s="22" t="str">
        <x:v>后20%</x:v>
      </x:c>
      <x:c r="D286" s="22" t="str">
        <x:v>严格进入</x:v>
      </x:c>
      <x:c r="E286" s="22" t="str">
        <x:v>2025秋:258269</x:v>
      </x:c>
      <x:c r="F286" s="22" t="str">
        <x:v>s3</x:v>
      </x:c>
      <x:c r="G286" s="26" t="n">
        <x:v>173.5</x:v>
      </x:c>
      <x:c r="H286" s="25" t="n">
        <x:v>10</x:v>
      </x:c>
      <x:c r="I286" s="24" t="n">
        <x:v>1</x:v>
      </x:c>
      <x:c r="J286" s="24" t="n">
        <x:v>1</x:v>
      </x:c>
      <x:c r="K286" s="22" t="str">
        <x:v>否</x:v>
      </x:c>
      <x:c r="L286" s="22" t="n">
        <x:v>0</x:v>
      </x:c>
      <x:c r="M286" s="22" t="n">
        <x:v>0</x:v>
      </x:c>
      <x:c r="N286" s="22" t="n">
        <x:v>0</x:v>
      </x:c>
      <x:c r="O286" s="22" t="n">
        <x:v>9.999999999999998</x:v>
      </x:c>
      <x:c r="P286" s="24" t="n">
        <x:v>4</x:v>
      </x:c>
      <x:c r="Q286" s="22" t="str">
        <x:v>["S0297"]</x:v>
      </x:c>
      <x:c r="R286" s="22" t="str">
        <x:v>evidence/student_evidence.jsonl；student_key=2025秋:258269</x:v>
      </x:c>
      <x:c r="S286" s="27" t="str">
        <x:v>同一锚点起止1条：未形成独立重复测量。</x:v>
      </x:c>
    </x:row>
    <x:row r="287" ht="23" customHeight="1">
      <x:c r="A287" s="21" t="str">
        <x:v>全量观察(探索)</x:v>
      </x:c>
      <x:c r="B287" s="22" t="str">
        <x:v>分组熵权型</x:v>
      </x:c>
      <x:c r="C287" s="22" t="str">
        <x:v>后20%</x:v>
      </x:c>
      <x:c r="D287" s="22" t="str">
        <x:v>严格进入</x:v>
      </x:c>
      <x:c r="E287" s="22" t="str">
        <x:v>2025秋:259001</x:v>
      </x:c>
      <x:c r="F287" s="22" t="str">
        <x:v>s3</x:v>
      </x:c>
      <x:c r="G287" s="26" t="n">
        <x:v>173.5</x:v>
      </x:c>
      <x:c r="H287" s="25" t="n">
        <x:v>10</x:v>
      </x:c>
      <x:c r="I287" s="24" t="n">
        <x:v>1</x:v>
      </x:c>
      <x:c r="J287" s="24" t="n">
        <x:v>1</x:v>
      </x:c>
      <x:c r="K287" s="22" t="str">
        <x:v>否</x:v>
      </x:c>
      <x:c r="L287" s="22" t="n">
        <x:v>0</x:v>
      </x:c>
      <x:c r="M287" s="22" t="n">
        <x:v>0</x:v>
      </x:c>
      <x:c r="N287" s="22" t="n">
        <x:v>0</x:v>
      </x:c>
      <x:c r="O287" s="22" t="n">
        <x:v>9.999999999999998</x:v>
      </x:c>
      <x:c r="P287" s="24" t="n">
        <x:v>4</x:v>
      </x:c>
      <x:c r="Q287" s="22" t="str">
        <x:v>["S0159"]</x:v>
      </x:c>
      <x:c r="R287" s="22" t="str">
        <x:v>evidence/student_evidence.jsonl；student_key=2025秋:259001</x:v>
      </x:c>
      <x:c r="S287" s="27" t="str"/>
    </x:row>
    <x:row r="288" ht="48" customHeight="1">
      <x:c r="A288" s="21" t="str">
        <x:v>全量观察(探索)</x:v>
      </x:c>
      <x:c r="B288" s="22" t="str">
        <x:v>四项原始熵权对照</x:v>
      </x:c>
      <x:c r="C288" s="22" t="str">
        <x:v>前20%</x:v>
      </x:c>
      <x:c r="D288" s="22" t="str">
        <x:v>严格进入</x:v>
      </x:c>
      <x:c r="E288" s="22" t="str">
        <x:v>2025秋:259869</x:v>
      </x:c>
      <x:c r="F288" s="22" t="str">
        <x:v>s6</x:v>
      </x:c>
      <x:c r="G288" s="26" t="n">
        <x:v>1</x:v>
      </x:c>
      <x:c r="H288" s="25" t="n">
        <x:v>68.72916632343097</x:v>
      </x:c>
      <x:c r="I288" s="24" t="n">
        <x:v>1</x:v>
      </x:c>
      <x:c r="J288" s="24" t="n">
        <x:v>1</x:v>
      </x:c>
      <x:c r="K288" s="22" t="str">
        <x:v>是</x:v>
      </x:c>
      <x:c r="L288" s="22" t="n">
        <x:v>2.6871682926193103</x:v>
      </x:c>
      <x:c r="M288" s="22" t="n">
        <x:v>32.42782082692814</x:v>
      </x:c>
      <x:c r="N288" s="22" t="n">
        <x:v>31.902194746126945</x:v>
      </x:c>
      <x:c r="O288" s="22" t="n">
        <x:v>1.7119824577565945</x:v>
      </x:c>
      <x:c r="P288" s="24" t="n">
        <x:v>4</x:v>
      </x:c>
      <x:c r="Q288" s="22" t="str">
        <x:v>["S0220"]</x:v>
      </x:c>
      <x:c r="R288" s="22" t="str">
        <x:v>evidence/student_evidence.jsonl；student_key=2025秋:259869</x:v>
      </x:c>
      <x:c r="S288" s="27" t="str">
        <x:v>S0220 L1→L6。高点为无人机局部方案，未见独立求解及最优性验证；L6充分性待复核。</x:v>
      </x:c>
    </x:row>
    <x:row r="289" ht="48" customHeight="1">
      <x:c r="A289" s="21" t="str">
        <x:v>全量观察(探索)</x:v>
      </x:c>
      <x:c r="B289" s="22" t="str">
        <x:v>四项原始熵权对照</x:v>
      </x:c>
      <x:c r="C289" s="22" t="str">
        <x:v>前20%</x:v>
      </x:c>
      <x:c r="D289" s="22" t="str">
        <x:v>严格进入</x:v>
      </x:c>
      <x:c r="E289" s="22" t="str">
        <x:v>2025秋:259329</x:v>
      </x:c>
      <x:c r="F289" s="22" t="str">
        <x:v>s6</x:v>
      </x:c>
      <x:c r="G289" s="26" t="n">
        <x:v>2</x:v>
      </x:c>
      <x:c r="H289" s="25" t="n">
        <x:v>57.03771200805271</x:v>
      </x:c>
      <x:c r="I289" s="24" t="n">
        <x:v>1</x:v>
      </x:c>
      <x:c r="J289" s="24" t="n">
        <x:v>1</x:v>
      </x:c>
      <x:c r="K289" s="22" t="str">
        <x:v>是</x:v>
      </x:c>
      <x:c r="L289" s="22" t="n">
        <x:v>2.1497346340954486</x:v>
      </x:c>
      <x:c r="M289" s="22" t="n">
        <x:v>25.942256661542512</x:v>
      </x:c>
      <x:c r="N289" s="22" t="n">
        <x:v>25.521755796901555</x:v>
      </x:c>
      <x:c r="O289" s="22" t="n">
        <x:v>3.423964915513189</x:v>
      </x:c>
      <x:c r="P289" s="24" t="n">
        <x:v>4</x:v>
      </x:c>
      <x:c r="Q289" s="22" t="str">
        <x:v>["S0112"]</x:v>
      </x:c>
      <x:c r="R289" s="22" t="str">
        <x:v>evidence/student_evidence.jsonl；student_key=2025秋:259329</x:v>
      </x:c>
      <x:c r="S289" s="27" t="str">
        <x:v>S0112库存案例为文字框架，未见完整方程、求解及验证；L6构造要求需复核。</x:v>
      </x:c>
    </x:row>
    <x:row r="290" ht="48" customHeight="1">
      <x:c r="A290" s="21" t="str">
        <x:v>全量观察(探索)</x:v>
      </x:c>
      <x:c r="B290" s="22" t="str">
        <x:v>四项原始熵权对照</x:v>
      </x:c>
      <x:c r="C290" s="22" t="str">
        <x:v>前20%</x:v>
      </x:c>
      <x:c r="D290" s="22" t="str">
        <x:v>严格进入</x:v>
      </x:c>
      <x:c r="E290" s="22" t="str">
        <x:v>2025秋:258524</x:v>
      </x:c>
      <x:c r="F290" s="22" t="str">
        <x:v>s6</x:v>
      </x:c>
      <x:c r="G290" s="26" t="n">
        <x:v>3</x:v>
      </x:c>
      <x:c r="H290" s="25" t="n">
        <x:v>55.32572955029611</x:v>
      </x:c>
      <x:c r="I290" s="24" t="n">
        <x:v>1</x:v>
      </x:c>
      <x:c r="J290" s="24" t="n">
        <x:v>1</x:v>
      </x:c>
      <x:c r="K290" s="22" t="str">
        <x:v>是</x:v>
      </x:c>
      <x:c r="L290" s="22" t="n">
        <x:v>2.1497346340954486</x:v>
      </x:c>
      <x:c r="M290" s="22" t="n">
        <x:v>25.942256661542512</x:v>
      </x:c>
      <x:c r="N290" s="22" t="n">
        <x:v>25.521755796901555</x:v>
      </x:c>
      <x:c r="O290" s="22" t="n">
        <x:v>1.7119824577565945</x:v>
      </x:c>
      <x:c r="P290" s="24" t="n">
        <x:v>4</x:v>
      </x:c>
      <x:c r="Q290" s="22" t="str">
        <x:v>["S0041"]</x:v>
      </x:c>
      <x:c r="R290" s="22" t="str">
        <x:v>evidence/student_evidence.jsonl；student_key=2025秋:258524</x:v>
      </x:c>
      <x:c r="S290" s="27" t="str">
        <x:v>S0041低起点仅“长得漂亮”，大增量对L1起点敏感；末端为概念解释，知识基础及独立掌握待核。</x:v>
      </x:c>
    </x:row>
    <x:row r="291" ht="23" customHeight="1">
      <x:c r="A291" s="21" t="str">
        <x:v>全量观察(探索)</x:v>
      </x:c>
      <x:c r="B291" s="22" t="str">
        <x:v>四项原始熵权对照</x:v>
      </x:c>
      <x:c r="C291" s="22" t="str">
        <x:v>前20%</x:v>
      </x:c>
      <x:c r="D291" s="22" t="str">
        <x:v>严格进入</x:v>
      </x:c>
      <x:c r="E291" s="22" t="str">
        <x:v>2025秋:258902</x:v>
      </x:c>
      <x:c r="F291" s="22" t="str">
        <x:v>s3</x:v>
      </x:c>
      <x:c r="G291" s="26" t="n">
        <x:v>4.5</x:v>
      </x:c>
      <x:c r="H291" s="25" t="n">
        <x:v>37.11403259065133</x:v>
      </x:c>
      <x:c r="I291" s="24" t="n">
        <x:v>1</x:v>
      </x:c>
      <x:c r="J291" s="24" t="n">
        <x:v>1</x:v>
      </x:c>
      <x:c r="K291" s="22" t="str">
        <x:v>是</x:v>
      </x:c>
      <x:c r="L291" s="22" t="n">
        <x:v>1.3508607257249896</x:v>
      </x:c>
      <x:c r="M291" s="22" t="n">
        <x:v>16.301721665986467</x:v>
      </x:c>
      <x:c r="N291" s="22" t="n">
        <x:v>16.03748528342668</x:v>
      </x:c>
      <x:c r="O291" s="22" t="n">
        <x:v>3.423964915513189</x:v>
      </x:c>
      <x:c r="P291" s="24" t="n">
        <x:v>4</x:v>
      </x:c>
      <x:c r="Q291" s="22" t="str">
        <x:v>["S0149"]</x:v>
      </x:c>
      <x:c r="R291" s="22" t="str">
        <x:v>evidence/student_evidence.jsonl；student_key=2025秋:258902</x:v>
      </x:c>
      <x:c r="S291" s="27" t="str"/>
    </x:row>
    <x:row r="292" ht="23" customHeight="1">
      <x:c r="A292" s="21" t="str">
        <x:v>全量观察(探索)</x:v>
      </x:c>
      <x:c r="B292" s="22" t="str">
        <x:v>四项原始熵权对照</x:v>
      </x:c>
      <x:c r="C292" s="22" t="str">
        <x:v>前20%</x:v>
      </x:c>
      <x:c r="D292" s="22" t="str">
        <x:v>严格进入</x:v>
      </x:c>
      <x:c r="E292" s="22" t="str">
        <x:v>2025秋:259407</x:v>
      </x:c>
      <x:c r="F292" s="22" t="str">
        <x:v>s3</x:v>
      </x:c>
      <x:c r="G292" s="26" t="n">
        <x:v>4.5</x:v>
      </x:c>
      <x:c r="H292" s="25" t="n">
        <x:v>37.11403259065133</x:v>
      </x:c>
      <x:c r="I292" s="24" t="n">
        <x:v>1</x:v>
      </x:c>
      <x:c r="J292" s="24" t="n">
        <x:v>1</x:v>
      </x:c>
      <x:c r="K292" s="22" t="str">
        <x:v>是</x:v>
      </x:c>
      <x:c r="L292" s="22" t="n">
        <x:v>1.3508607257249896</x:v>
      </x:c>
      <x:c r="M292" s="22" t="n">
        <x:v>16.301721665986467</x:v>
      </x:c>
      <x:c r="N292" s="22" t="n">
        <x:v>16.03748528342668</x:v>
      </x:c>
      <x:c r="O292" s="22" t="n">
        <x:v>3.423964915513189</x:v>
      </x:c>
      <x:c r="P292" s="24" t="n">
        <x:v>4</x:v>
      </x:c>
      <x:c r="Q292" s="22" t="str">
        <x:v>["S0036"]</x:v>
      </x:c>
      <x:c r="R292" s="22" t="str">
        <x:v>evidence/student_evidence.jsonl；student_key=2025秋:259407</x:v>
      </x:c>
      <x:c r="S292" s="27" t="str"/>
    </x:row>
    <x:row r="293" ht="23" customHeight="1">
      <x:c r="A293" s="21" t="str">
        <x:v>全量观察(探索)</x:v>
      </x:c>
      <x:c r="B293" s="22" t="str">
        <x:v>四项原始熵权对照</x:v>
      </x:c>
      <x:c r="C293" s="22" t="str">
        <x:v>前20%</x:v>
      </x:c>
      <x:c r="D293" s="22" t="str">
        <x:v>严格进入</x:v>
      </x:c>
      <x:c r="E293" s="22" t="str">
        <x:v>2025秋:259021</x:v>
      </x:c>
      <x:c r="F293" s="22" t="str">
        <x:v>s3</x:v>
      </x:c>
      <x:c r="G293" s="26" t="n">
        <x:v>6.5</x:v>
      </x:c>
      <x:c r="H293" s="25" t="n">
        <x:v>36.674233691853665</x:v>
      </x:c>
      <x:c r="I293" s="24" t="n">
        <x:v>1</x:v>
      </x:c>
      <x:c r="J293" s="24" t="n">
        <x:v>1</x:v>
      </x:c>
      <x:c r="K293" s="22" t="str">
        <x:v>是</x:v>
      </x:c>
      <x:c r="L293" s="22" t="n">
        <x:v>1.3332262387500262</x:v>
      </x:c>
      <x:c r="M293" s="22" t="n">
        <x:v>16.088914754871308</x:v>
      </x:c>
      <x:c r="N293" s="22" t="n">
        <x:v>15.828127782719141</x:v>
      </x:c>
      <x:c r="O293" s="22" t="n">
        <x:v>3.423964915513189</x:v>
      </x:c>
      <x:c r="P293" s="24" t="n">
        <x:v>4</x:v>
      </x:c>
      <x:c r="Q293" s="22" t="str">
        <x:v>["S0464"]</x:v>
      </x:c>
      <x:c r="R293" s="22" t="str">
        <x:v>evidence/student_evidence.jsonl；student_key=2025秋:259021</x:v>
      </x:c>
      <x:c r="S293" s="27" t="str"/>
    </x:row>
    <x:row r="294" ht="23" customHeight="1">
      <x:c r="A294" s="21" t="str">
        <x:v>全量观察(探索)</x:v>
      </x:c>
      <x:c r="B294" s="22" t="str">
        <x:v>四项原始熵权对照</x:v>
      </x:c>
      <x:c r="C294" s="22" t="str">
        <x:v>前20%</x:v>
      </x:c>
      <x:c r="D294" s="22" t="str">
        <x:v>严格进入</x:v>
      </x:c>
      <x:c r="E294" s="22" t="str">
        <x:v>2025秋:25A081</x:v>
      </x:c>
      <x:c r="F294" s="22" t="str">
        <x:v>s3</x:v>
      </x:c>
      <x:c r="G294" s="26" t="n">
        <x:v>6.5</x:v>
      </x:c>
      <x:c r="H294" s="25" t="n">
        <x:v>36.674233691853665</x:v>
      </x:c>
      <x:c r="I294" s="24" t="n">
        <x:v>1</x:v>
      </x:c>
      <x:c r="J294" s="24" t="n">
        <x:v>1</x:v>
      </x:c>
      <x:c r="K294" s="22" t="str">
        <x:v>是</x:v>
      </x:c>
      <x:c r="L294" s="22" t="n">
        <x:v>1.3332262387500262</x:v>
      </x:c>
      <x:c r="M294" s="22" t="n">
        <x:v>16.088914754871308</x:v>
      </x:c>
      <x:c r="N294" s="22" t="n">
        <x:v>15.828127782719141</x:v>
      </x:c>
      <x:c r="O294" s="22" t="n">
        <x:v>3.423964915513189</x:v>
      </x:c>
      <x:c r="P294" s="24" t="n">
        <x:v>4</x:v>
      </x:c>
      <x:c r="Q294" s="22" t="str">
        <x:v>["S0411"]</x:v>
      </x:c>
      <x:c r="R294" s="22" t="str">
        <x:v>evidence/student_evidence.jsonl；student_key=2025秋:25A081</x:v>
      </x:c>
      <x:c r="S294" s="27" t="str"/>
    </x:row>
    <x:row r="295" ht="23" customHeight="1">
      <x:c r="A295" s="21" t="str">
        <x:v>全量观察(探索)</x:v>
      </x:c>
      <x:c r="B295" s="22" t="str">
        <x:v>四项原始熵权对照</x:v>
      </x:c>
      <x:c r="C295" s="22" t="str">
        <x:v>前20%</x:v>
      </x:c>
      <x:c r="D295" s="22" t="str">
        <x:v>严格进入</x:v>
      </x:c>
      <x:c r="E295" s="22" t="str">
        <x:v>2026春:268206</x:v>
      </x:c>
      <x:c r="F295" s="22" t="str">
        <x:v>s3</x:v>
      </x:c>
      <x:c r="G295" s="26" t="n">
        <x:v>8</x:v>
      </x:c>
      <x:c r="H295" s="25" t="n">
        <x:v>36.64090566413514</x:v>
      </x:c>
      <x:c r="I295" s="24" t="n">
        <x:v>1</x:v>
      </x:c>
      <x:c r="J295" s="24" t="n">
        <x:v>1</x:v>
      </x:c>
      <x:c r="K295" s="22" t="str">
        <x:v>是</x:v>
      </x:c>
      <x:c r="L295" s="22" t="n">
        <x:v>1.3776531323851908</x:v>
      </x:c>
      <x:c r="M295" s="22" t="n">
        <x:v>16.625043195600195</x:v>
      </x:c>
      <x:c r="N295" s="22" t="n">
        <x:v>16.355566059140955</x:v>
      </x:c>
      <x:c r="O295" s="22" t="n">
        <x:v>2.2826432770087925</x:v>
      </x:c>
      <x:c r="P295" s="24" t="n">
        <x:v>1</x:v>
      </x:c>
      <x:c r="Q295" s="22" t="str">
        <x:v>["S1083"]</x:v>
      </x:c>
      <x:c r="R295" s="22" t="str">
        <x:v>evidence/student_evidence.jsonl；student_key=2026春:268206</x:v>
      </x:c>
      <x:c r="S295" s="27" t="str"/>
    </x:row>
    <x:row r="296" ht="23" customHeight="1">
      <x:c r="A296" s="21" t="str">
        <x:v>全量观察(探索)</x:v>
      </x:c>
      <x:c r="B296" s="22" t="str">
        <x:v>四项原始熵权对照</x:v>
      </x:c>
      <x:c r="C296" s="22" t="str">
        <x:v>前20%</x:v>
      </x:c>
      <x:c r="D296" s="22" t="str">
        <x:v>严格进入</x:v>
      </x:c>
      <x:c r="E296" s="22" t="str">
        <x:v>2025秋:259401</x:v>
      </x:c>
      <x:c r="F296" s="22" t="str">
        <x:v>s3</x:v>
      </x:c>
      <x:c r="G296" s="26" t="n">
        <x:v>9.5</x:v>
      </x:c>
      <x:c r="H296" s="25" t="n">
        <x:v>36.47082444433304</x:v>
      </x:c>
      <x:c r="I296" s="24" t="n">
        <x:v>1</x:v>
      </x:c>
      <x:c r="J296" s="24" t="n">
        <x:v>1</x:v>
      </x:c>
      <x:c r="K296" s="22" t="str">
        <x:v>否</x:v>
      </x:c>
      <x:c r="L296" s="22" t="n">
        <x:v>1.3250701980327895</x:v>
      </x:c>
      <x:c r="M296" s="22" t="n">
        <x:v>15.990490466462528</x:v>
      </x:c>
      <x:c r="N296" s="22" t="n">
        <x:v>15.731298864324527</x:v>
      </x:c>
      <x:c r="O296" s="22" t="n">
        <x:v>3.423964915513189</x:v>
      </x:c>
      <x:c r="P296" s="24" t="n">
        <x:v>4</x:v>
      </x:c>
      <x:c r="Q296" s="22" t="str">
        <x:v>["S0378"]</x:v>
      </x:c>
      <x:c r="R296" s="22" t="str">
        <x:v>evidence/student_evidence.jsonl；student_key=2025秋:259401</x:v>
      </x:c>
      <x:c r="S296" s="27" t="str"/>
    </x:row>
    <x:row r="297" ht="23" customHeight="1">
      <x:c r="A297" s="21" t="str">
        <x:v>全量观察(探索)</x:v>
      </x:c>
      <x:c r="B297" s="22" t="str">
        <x:v>四项原始熵权对照</x:v>
      </x:c>
      <x:c r="C297" s="22" t="str">
        <x:v>前20%</x:v>
      </x:c>
      <x:c r="D297" s="22" t="str">
        <x:v>严格进入</x:v>
      </x:c>
      <x:c r="E297" s="22" t="str">
        <x:v>2025秋:259961</x:v>
      </x:c>
      <x:c r="F297" s="22" t="str">
        <x:v>s3</x:v>
      </x:c>
      <x:c r="G297" s="26" t="n">
        <x:v>9.5</x:v>
      </x:c>
      <x:c r="H297" s="25" t="n">
        <x:v>36.47082444433304</x:v>
      </x:c>
      <x:c r="I297" s="24" t="n">
        <x:v>1</x:v>
      </x:c>
      <x:c r="J297" s="24" t="n">
        <x:v>1</x:v>
      </x:c>
      <x:c r="K297" s="22" t="str">
        <x:v>是</x:v>
      </x:c>
      <x:c r="L297" s="22" t="n">
        <x:v>1.3250701980327895</x:v>
      </x:c>
      <x:c r="M297" s="22" t="n">
        <x:v>15.990490466462528</x:v>
      </x:c>
      <x:c r="N297" s="22" t="n">
        <x:v>15.731298864324527</x:v>
      </x:c>
      <x:c r="O297" s="22" t="n">
        <x:v>3.423964915513189</x:v>
      </x:c>
      <x:c r="P297" s="24" t="n">
        <x:v>4</x:v>
      </x:c>
      <x:c r="Q297" s="22" t="str">
        <x:v>["S0296"]</x:v>
      </x:c>
      <x:c r="R297" s="22" t="str">
        <x:v>evidence/student_evidence.jsonl；student_key=2025秋:259961</x:v>
      </x:c>
      <x:c r="S297" s="27" t="str"/>
    </x:row>
    <x:row r="298" ht="23" customHeight="1">
      <x:c r="A298" s="21" t="str">
        <x:v>全量观察(探索)</x:v>
      </x:c>
      <x:c r="B298" s="22" t="str">
        <x:v>四项原始熵权对照</x:v>
      </x:c>
      <x:c r="C298" s="22" t="str">
        <x:v>前20%</x:v>
      </x:c>
      <x:c r="D298" s="22" t="str">
        <x:v>严格进入</x:v>
      </x:c>
      <x:c r="E298" s="22" t="str">
        <x:v>2026春:268140</x:v>
      </x:c>
      <x:c r="F298" s="22" t="str">
        <x:v>s3</x:v>
      </x:c>
      <x:c r="G298" s="26" t="n">
        <x:v>11</x:v>
      </x:c>
      <x:c r="H298" s="25" t="n">
        <x:v>36.25804136177303</x:v>
      </x:c>
      <x:c r="I298" s="24" t="n">
        <x:v>1</x:v>
      </x:c>
      <x:c r="J298" s="24" t="n">
        <x:v>1</x:v>
      </x:c>
      <x:c r="K298" s="22" t="str">
        <x:v>是</x:v>
      </x:c>
      <x:c r="L298" s="22" t="n">
        <x:v>1.3508607257249896</x:v>
      </x:c>
      <x:c r="M298" s="22" t="n">
        <x:v>16.301721665986467</x:v>
      </x:c>
      <x:c r="N298" s="22" t="n">
        <x:v>16.03748528342668</x:v>
      </x:c>
      <x:c r="O298" s="22" t="n">
        <x:v>2.567973686634892</x:v>
      </x:c>
      <x:c r="P298" s="24" t="n">
        <x:v>1</x:v>
      </x:c>
      <x:c r="Q298" s="22" t="str">
        <x:v>["S0964"]</x:v>
      </x:c>
      <x:c r="R298" s="22" t="str">
        <x:v>evidence/student_evidence.jsonl；student_key=2026春:268140</x:v>
      </x:c>
      <x:c r="S298" s="27" t="str"/>
    </x:row>
    <x:row r="299" ht="23" customHeight="1">
      <x:c r="A299" s="21" t="str">
        <x:v>全量观察(探索)</x:v>
      </x:c>
      <x:c r="B299" s="22" t="str">
        <x:v>四项原始熵权对照</x:v>
      </x:c>
      <x:c r="C299" s="22" t="str">
        <x:v>前20%</x:v>
      </x:c>
      <x:c r="D299" s="22" t="str">
        <x:v>严格进入</x:v>
      </x:c>
      <x:c r="E299" s="22" t="str">
        <x:v>2025秋:25A134</x:v>
      </x:c>
      <x:c r="F299" s="22" t="str">
        <x:v>s3</x:v>
      </x:c>
      <x:c r="G299" s="26" t="n">
        <x:v>12</x:v>
      </x:c>
      <x:c r="H299" s="25" t="n">
        <x:v>36.10659770648063</x:v>
      </x:c>
      <x:c r="I299" s="24" t="n">
        <x:v>1</x:v>
      </x:c>
      <x:c r="J299" s="24" t="n">
        <x:v>1</x:v>
      </x:c>
      <x:c r="K299" s="22" t="str">
        <x:v>是</x:v>
      </x:c>
      <x:c r="L299" s="22" t="n">
        <x:v>1.3104659057479495</x:v>
      </x:c>
      <x:c r="M299" s="22" t="n">
        <x:v>15.81425090051586</x:v>
      </x:c>
      <x:c r="N299" s="22" t="n">
        <x:v>15.557915984703625</x:v>
      </x:c>
      <x:c r="O299" s="22" t="n">
        <x:v>3.423964915513189</x:v>
      </x:c>
      <x:c r="P299" s="24" t="n">
        <x:v>4</x:v>
      </x:c>
      <x:c r="Q299" s="22" t="str">
        <x:v>["S0311"]</x:v>
      </x:c>
      <x:c r="R299" s="22" t="str">
        <x:v>evidence/student_evidence.jsonl；student_key=2025秋:25A134</x:v>
      </x:c>
      <x:c r="S299" s="27" t="str"/>
    </x:row>
    <x:row r="300" ht="23" customHeight="1">
      <x:c r="A300" s="21" t="str">
        <x:v>全量观察(探索)</x:v>
      </x:c>
      <x:c r="B300" s="22" t="str">
        <x:v>四项原始熵权对照</x:v>
      </x:c>
      <x:c r="C300" s="22" t="str">
        <x:v>前20%</x:v>
      </x:c>
      <x:c r="D300" s="22" t="str">
        <x:v>严格进入</x:v>
      </x:c>
      <x:c r="E300" s="22" t="str">
        <x:v>2025秋:259335</x:v>
      </x:c>
      <x:c r="F300" s="22" t="str">
        <x:v>s3</x:v>
      </x:c>
      <x:c r="G300" s="26" t="n">
        <x:v>13</x:v>
      </x:c>
      <x:c r="H300" s="25" t="n">
        <x:v>36.07024484488294</x:v>
      </x:c>
      <x:c r="I300" s="24" t="n">
        <x:v>1</x:v>
      </x:c>
      <x:c r="J300" s="24" t="n">
        <x:v>1</x:v>
      </x:c>
      <x:c r="K300" s="22" t="str">
        <x:v>是</x:v>
      </x:c>
      <x:c r="L300" s="22" t="n">
        <x:v>1.3776531323851908</x:v>
      </x:c>
      <x:c r="M300" s="22" t="n">
        <x:v>16.625043195600195</x:v>
      </x:c>
      <x:c r="N300" s="22" t="n">
        <x:v>16.355566059140955</x:v>
      </x:c>
      <x:c r="O300" s="22" t="n">
        <x:v>1.7119824577565945</x:v>
      </x:c>
      <x:c r="P300" s="24" t="n">
        <x:v>0</x:v>
      </x:c>
      <x:c r="Q300" s="22" t="str">
        <x:v>["S0299"]</x:v>
      </x:c>
      <x:c r="R300" s="22" t="str">
        <x:v>evidence/student_evidence.jsonl；student_key=2025秋:259335</x:v>
      </x:c>
      <x:c r="S300" s="27" t="str"/>
    </x:row>
    <x:row r="301" ht="23" customHeight="1">
      <x:c r="A301" s="21" t="str">
        <x:v>全量观察(探索)</x:v>
      </x:c>
      <x:c r="B301" s="22" t="str">
        <x:v>四项原始熵权对照</x:v>
      </x:c>
      <x:c r="C301" s="22" t="str">
        <x:v>前20%</x:v>
      </x:c>
      <x:c r="D301" s="22" t="str">
        <x:v>严格进入</x:v>
      </x:c>
      <x:c r="E301" s="22" t="str">
        <x:v>2025秋:258878</x:v>
      </x:c>
      <x:c r="F301" s="22" t="str">
        <x:v>s3</x:v>
      </x:c>
      <x:c r="G301" s="26" t="n">
        <x:v>14.5</x:v>
      </x:c>
      <x:c r="H301" s="25" t="n">
        <x:v>36.063031933692116</x:v>
      </x:c>
      <x:c r="I301" s="24" t="n">
        <x:v>1</x:v>
      </x:c>
      <x:c r="J301" s="24" t="n">
        <x:v>1</x:v>
      </x:c>
      <x:c r="K301" s="22" t="str">
        <x:v>是</x:v>
      </x:c>
      <x:c r="L301" s="22" t="n">
        <x:v>1.3087190617815516</x:v>
      </x:c>
      <x:c r="M301" s="22" t="n">
        <x:v>15.793170589576446</x:v>
      </x:c>
      <x:c r="N301" s="22" t="n">
        <x:v>15.53717736682093</x:v>
      </x:c>
      <x:c r="O301" s="22" t="n">
        <x:v>3.423964915513189</x:v>
      </x:c>
      <x:c r="P301" s="24" t="n">
        <x:v>4</x:v>
      </x:c>
      <x:c r="Q301" s="22" t="str">
        <x:v>["S0364"]</x:v>
      </x:c>
      <x:c r="R301" s="22" t="str">
        <x:v>evidence/student_evidence.jsonl；student_key=2025秋:258878</x:v>
      </x:c>
      <x:c r="S301" s="27" t="str"/>
    </x:row>
    <x:row r="302" ht="23" customHeight="1">
      <x:c r="A302" s="21" t="str">
        <x:v>全量观察(探索)</x:v>
      </x:c>
      <x:c r="B302" s="22" t="str">
        <x:v>四项原始熵权对照</x:v>
      </x:c>
      <x:c r="C302" s="22" t="str">
        <x:v>前20%</x:v>
      </x:c>
      <x:c r="D302" s="22" t="str">
        <x:v>严格进入</x:v>
      </x:c>
      <x:c r="E302" s="22" t="str">
        <x:v>2025秋:258888</x:v>
      </x:c>
      <x:c r="F302" s="22" t="str">
        <x:v>s3</x:v>
      </x:c>
      <x:c r="G302" s="26" t="n">
        <x:v>14.5</x:v>
      </x:c>
      <x:c r="H302" s="25" t="n">
        <x:v>36.063031933692116</x:v>
      </x:c>
      <x:c r="I302" s="24" t="n">
        <x:v>2</x:v>
      </x:c>
      <x:c r="J302" s="24" t="n">
        <x:v>1</x:v>
      </x:c>
      <x:c r="K302" s="22" t="str">
        <x:v>是</x:v>
      </x:c>
      <x:c r="L302" s="22" t="n">
        <x:v>1.3087190617815516</x:v>
      </x:c>
      <x:c r="M302" s="22" t="n">
        <x:v>15.793170589576446</x:v>
      </x:c>
      <x:c r="N302" s="22" t="n">
        <x:v>15.53717736682093</x:v>
      </x:c>
      <x:c r="O302" s="22" t="n">
        <x:v>3.423964915513189</x:v>
      </x:c>
      <x:c r="P302" s="24" t="n">
        <x:v>4</x:v>
      </x:c>
      <x:c r="Q302" s="22" t="str">
        <x:v>["S0190","S0365"]</x:v>
      </x:c>
      <x:c r="R302" s="22" t="str">
        <x:v>evidence/student_evidence.jsonl；student_key=2025秋:258888</x:v>
      </x:c>
      <x:c r="S302" s="27" t="str"/>
    </x:row>
    <x:row r="303" ht="23" customHeight="1">
      <x:c r="A303" s="21" t="str">
        <x:v>全量观察(探索)</x:v>
      </x:c>
      <x:c r="B303" s="22" t="str">
        <x:v>四项原始熵权对照</x:v>
      </x:c>
      <x:c r="C303" s="22" t="str">
        <x:v>前20%</x:v>
      </x:c>
      <x:c r="D303" s="22" t="str">
        <x:v>严格进入</x:v>
      </x:c>
      <x:c r="E303" s="22" t="str">
        <x:v>2025秋:258988</x:v>
      </x:c>
      <x:c r="F303" s="22" t="str">
        <x:v>s3</x:v>
      </x:c>
      <x:c r="G303" s="26" t="n">
        <x:v>16</x:v>
      </x:c>
      <x:c r="H303" s="25" t="n">
        <x:v>35.80486417147708</x:v>
      </x:c>
      <x:c r="I303" s="24" t="n">
        <x:v>1</x:v>
      </x:c>
      <x:c r="J303" s="24" t="n">
        <x:v>1</x:v>
      </x:c>
      <x:c r="K303" s="22" t="str">
        <x:v>是</x:v>
      </x:c>
      <x:c r="L303" s="22" t="n">
        <x:v>1.2983673850206894</x:v>
      </x:c>
      <x:c r="M303" s="22" t="n">
        <x:v>15.668250122115769</x:v>
      </x:c>
      <x:c r="N303" s="22" t="n">
        <x:v>15.414281748827433</x:v>
      </x:c>
      <x:c r="O303" s="22" t="n">
        <x:v>3.423964915513189</x:v>
      </x:c>
      <x:c r="P303" s="24" t="n">
        <x:v>4</x:v>
      </x:c>
      <x:c r="Q303" s="22" t="str">
        <x:v>["S0315"]</x:v>
      </x:c>
      <x:c r="R303" s="22" t="str">
        <x:v>evidence/student_evidence.jsonl；student_key=2025秋:258988</x:v>
      </x:c>
      <x:c r="S303" s="27" t="str"/>
    </x:row>
    <x:row r="304" ht="23" customHeight="1">
      <x:c r="A304" s="21" t="str">
        <x:v>全量观察(探索)</x:v>
      </x:c>
      <x:c r="B304" s="22" t="str">
        <x:v>四项原始熵权对照</x:v>
      </x:c>
      <x:c r="C304" s="22" t="str">
        <x:v>前20%</x:v>
      </x:c>
      <x:c r="D304" s="22" t="str">
        <x:v>严格进入</x:v>
      </x:c>
      <x:c r="E304" s="22" t="str">
        <x:v>2025秋:259044</x:v>
      </x:c>
      <x:c r="F304" s="22" t="str">
        <x:v>s3</x:v>
      </x:c>
      <x:c r="G304" s="26" t="n">
        <x:v>17</x:v>
      </x:c>
      <x:c r="H304" s="25" t="n">
        <x:v>35.69165356971029</x:v>
      </x:c>
      <x:c r="I304" s="24" t="n">
        <x:v>1</x:v>
      </x:c>
      <x:c r="J304" s="24" t="n">
        <x:v>1</x:v>
      </x:c>
      <x:c r="K304" s="22" t="str">
        <x:v>是</x:v>
      </x:c>
      <x:c r="L304" s="22" t="n">
        <x:v>1.2938280128491308</x:v>
      </x:c>
      <x:c r="M304" s="22" t="n">
        <x:v>15.61347054323701</x:v>
      </x:c>
      <x:c r="N304" s="22" t="n">
        <x:v>15.360390098110965</x:v>
      </x:c>
      <x:c r="O304" s="22" t="n">
        <x:v>3.423964915513189</x:v>
      </x:c>
      <x:c r="P304" s="24" t="n">
        <x:v>4</x:v>
      </x:c>
      <x:c r="Q304" s="22" t="str">
        <x:v>["S0074"]</x:v>
      </x:c>
      <x:c r="R304" s="22" t="str">
        <x:v>evidence/student_evidence.jsonl；student_key=2025秋:259044</x:v>
      </x:c>
      <x:c r="S304" s="27" t="str"/>
    </x:row>
    <x:row r="305" ht="23" customHeight="1">
      <x:c r="A305" s="21" t="str">
        <x:v>全量观察(探索)</x:v>
      </x:c>
      <x:c r="B305" s="22" t="str">
        <x:v>四项原始熵权对照</x:v>
      </x:c>
      <x:c r="C305" s="22" t="str">
        <x:v>前20%</x:v>
      </x:c>
      <x:c r="D305" s="22" t="str">
        <x:v>严格进入</x:v>
      </x:c>
      <x:c r="E305" s="22" t="str">
        <x:v>2026春:268240</x:v>
      </x:c>
      <x:c r="F305" s="22" t="str">
        <x:v>s3</x:v>
      </x:c>
      <x:c r="G305" s="26" t="n">
        <x:v>18</x:v>
      </x:c>
      <x:c r="H305" s="25" t="n">
        <x:v>34.550331931205896</x:v>
      </x:c>
      <x:c r="I305" s="24" t="n">
        <x:v>1</x:v>
      </x:c>
      <x:c r="J305" s="24" t="n">
        <x:v>1</x:v>
      </x:c>
      <x:c r="K305" s="22" t="str">
        <x:v>是</x:v>
      </x:c>
      <x:c r="L305" s="22" t="n">
        <x:v>1.2938280128491308</x:v>
      </x:c>
      <x:c r="M305" s="22" t="n">
        <x:v>15.61347054323701</x:v>
      </x:c>
      <x:c r="N305" s="22" t="n">
        <x:v>15.360390098110965</x:v>
      </x:c>
      <x:c r="O305" s="22" t="n">
        <x:v>2.2826432770087925</x:v>
      </x:c>
      <x:c r="P305" s="24" t="n">
        <x:v>1</x:v>
      </x:c>
      <x:c r="Q305" s="22" t="str">
        <x:v>["S1113"]</x:v>
      </x:c>
      <x:c r="R305" s="22" t="str">
        <x:v>evidence/student_evidence.jsonl；student_key=2026春:268240</x:v>
      </x:c>
      <x:c r="S305" s="27" t="str"/>
    </x:row>
    <x:row r="306" ht="23" customHeight="1">
      <x:c r="A306" s="21" t="str">
        <x:v>全量观察(探索)</x:v>
      </x:c>
      <x:c r="B306" s="22" t="str">
        <x:v>四项原始熵权对照</x:v>
      </x:c>
      <x:c r="C306" s="22" t="str">
        <x:v>前20%</x:v>
      </x:c>
      <x:c r="D306" s="22" t="str">
        <x:v>严格进入</x:v>
      </x:c>
      <x:c r="E306" s="22" t="str">
        <x:v>2026春:268525</x:v>
      </x:c>
      <x:c r="F306" s="22" t="str">
        <x:v>s3</x:v>
      </x:c>
      <x:c r="G306" s="26" t="n">
        <x:v>19</x:v>
      </x:c>
      <x:c r="H306" s="25" t="n">
        <x:v>33.45328890742893</x:v>
      </x:c>
      <x:c r="I306" s="24" t="n">
        <x:v>1</x:v>
      </x:c>
      <x:c r="J306" s="24" t="n">
        <x:v>1</x:v>
      </x:c>
      <x:c r="K306" s="22" t="str">
        <x:v>是</x:v>
      </x:c>
      <x:c r="L306" s="22" t="n">
        <x:v>1.2727218205532396</x:v>
      </x:c>
      <x:c r="M306" s="22" t="n">
        <x:v>15.358768288826768</x:v>
      </x:c>
      <x:c r="N306" s="22" t="n">
        <x:v>15.109816340292321</x:v>
      </x:c>
      <x:c r="O306" s="22" t="n">
        <x:v>1.7119824577565945</x:v>
      </x:c>
      <x:c r="P306" s="24" t="n">
        <x:v>0</x:v>
      </x:c>
      <x:c r="Q306" s="22" t="str">
        <x:v>["S1247"]</x:v>
      </x:c>
      <x:c r="R306" s="22" t="str">
        <x:v>evidence/student_evidence.jsonl；student_key=2026春:268525</x:v>
      </x:c>
      <x:c r="S306" s="27" t="str"/>
    </x:row>
    <x:row r="307" ht="23" customHeight="1">
      <x:c r="A307" s="21" t="str">
        <x:v>全量观察(探索)</x:v>
      </x:c>
      <x:c r="B307" s="22" t="str">
        <x:v>四项原始熵权对照</x:v>
      </x:c>
      <x:c r="C307" s="22" t="str">
        <x:v>前20%</x:v>
      </x:c>
      <x:c r="D307" s="22" t="str">
        <x:v>严格进入</x:v>
      </x:c>
      <x:c r="E307" s="22" t="str">
        <x:v>2026春:25A071</x:v>
      </x:c>
      <x:c r="F307" s="22" t="str">
        <x:v>s3</x:v>
      </x:c>
      <x:c r="G307" s="26" t="n">
        <x:v>20</x:v>
      </x:c>
      <x:c r="H307" s="25" t="n">
        <x:v>32.7427438249693</x:v>
      </x:c>
      <x:c r="I307" s="24" t="n">
        <x:v>1</x:v>
      </x:c>
      <x:c r="J307" s="24" t="n">
        <x:v>1</x:v>
      </x:c>
      <x:c r="K307" s="22" t="str">
        <x:v>是</x:v>
      </x:c>
      <x:c r="L307" s="22" t="n">
        <x:v>1.2442313035555534</x:v>
      </x:c>
      <x:c r="M307" s="22" t="n">
        <x:v>15.014954548911373</x:v>
      </x:c>
      <x:c r="N307" s="22" t="n">
        <x:v>14.77157551474579</x:v>
      </x:c>
      <x:c r="O307" s="22" t="n">
        <x:v>1.7119824577565945</x:v>
      </x:c>
      <x:c r="P307" s="24" t="n">
        <x:v>0</x:v>
      </x:c>
      <x:c r="Q307" s="22" t="str">
        <x:v>["S0868"]</x:v>
      </x:c>
      <x:c r="R307" s="22" t="str">
        <x:v>evidence/student_evidence.jsonl；student_key=2026春:25A071</x:v>
      </x:c>
      <x:c r="S307" s="27" t="str"/>
    </x:row>
    <x:row r="308" ht="23" customHeight="1">
      <x:c r="A308" s="21" t="str">
        <x:v>全量观察(探索)</x:v>
      </x:c>
      <x:c r="B308" s="22" t="str">
        <x:v>四项原始熵权对照</x:v>
      </x:c>
      <x:c r="C308" s="22" t="str">
        <x:v>前20%</x:v>
      </x:c>
      <x:c r="D308" s="22" t="str">
        <x:v>严格进入</x:v>
      </x:c>
      <x:c r="E308" s="22" t="str">
        <x:v>2025秋:259790</x:v>
      </x:c>
      <x:c r="F308" s="22" t="str">
        <x:v>s3</x:v>
      </x:c>
      <x:c r="G308" s="26" t="n">
        <x:v>21</x:v>
      </x:c>
      <x:c r="H308" s="25" t="n">
        <x:v>32.48812319635</x:v>
      </x:c>
      <x:c r="I308" s="24" t="n">
        <x:v>1</x:v>
      </x:c>
      <x:c r="J308" s="24" t="n">
        <x:v>1</x:v>
      </x:c>
      <x:c r="K308" s="22" t="str">
        <x:v>否</x:v>
      </x:c>
      <x:c r="L308" s="22" t="n">
        <x:v>1.211140236290593</x:v>
      </x:c>
      <x:c r="M308" s="22" t="n">
        <x:v>14.61562295394305</x:v>
      </x:c>
      <x:c r="N308" s="22" t="n">
        <x:v>14.378716729107564</x:v>
      </x:c>
      <x:c r="O308" s="22" t="n">
        <x:v>2.2826432770087925</x:v>
      </x:c>
      <x:c r="P308" s="24" t="n">
        <x:v>0</x:v>
      </x:c>
      <x:c r="Q308" s="22" t="str">
        <x:v>["S0060"]</x:v>
      </x:c>
      <x:c r="R308" s="22" t="str">
        <x:v>evidence/student_evidence.jsonl；student_key=2025秋:259790</x:v>
      </x:c>
      <x:c r="S308" s="27" t="str"/>
    </x:row>
    <x:row r="309" ht="23" customHeight="1">
      <x:c r="A309" s="21" t="str">
        <x:v>全量观察(探索)</x:v>
      </x:c>
      <x:c r="B309" s="22" t="str">
        <x:v>四项原始熵权对照</x:v>
      </x:c>
      <x:c r="C309" s="22" t="str">
        <x:v>前20%</x:v>
      </x:c>
      <x:c r="D309" s="22" t="str">
        <x:v>严格进入</x:v>
      </x:c>
      <x:c r="E309" s="22" t="str">
        <x:v>2025秋:258430</x:v>
      </x:c>
      <x:c r="F309" s="22" t="str">
        <x:v>s3</x:v>
      </x:c>
      <x:c r="G309" s="26" t="n">
        <x:v>22</x:v>
      </x:c>
      <x:c r="H309" s="25" t="n">
        <x:v>32.307585041959136</x:v>
      </x:c>
      <x:c r="I309" s="24" t="n">
        <x:v>1</x:v>
      </x:c>
      <x:c r="J309" s="24" t="n">
        <x:v>1</x:v>
      </x:c>
      <x:c r="K309" s="22" t="str">
        <x:v>是</x:v>
      </x:c>
      <x:c r="L309" s="22" t="n">
        <x:v>1.158138013310349</x:v>
      </x:c>
      <x:c r="M309" s="22" t="n">
        <x:v>13.976010394151755</x:v>
      </x:c>
      <x:c r="N309" s="22" t="n">
        <x:v>13.749471718983843</x:v>
      </x:c>
      <x:c r="O309" s="22" t="n">
        <x:v>3.423964915513189</x:v>
      </x:c>
      <x:c r="P309" s="24" t="n">
        <x:v>4</x:v>
      </x:c>
      <x:c r="Q309" s="22" t="str">
        <x:v>["S0052"]</x:v>
      </x:c>
      <x:c r="R309" s="22" t="str">
        <x:v>evidence/student_evidence.jsonl；student_key=2025秋:258430</x:v>
      </x:c>
      <x:c r="S309" s="27" t="str"/>
    </x:row>
    <x:row r="310" ht="23" customHeight="1">
      <x:c r="A310" s="21" t="str">
        <x:v>全量观察(探索)</x:v>
      </x:c>
      <x:c r="B310" s="22" t="str">
        <x:v>四项原始熵权对照</x:v>
      </x:c>
      <x:c r="C310" s="22" t="str">
        <x:v>前20%</x:v>
      </x:c>
      <x:c r="D310" s="22" t="str">
        <x:v>严格进入</x:v>
      </x:c>
      <x:c r="E310" s="22" t="str">
        <x:v>2025秋:258858</x:v>
      </x:c>
      <x:c r="F310" s="22" t="str">
        <x:v>s3</x:v>
      </x:c>
      <x:c r="G310" s="26" t="n">
        <x:v>23</x:v>
      </x:c>
      <x:c r="H310" s="25" t="n">
        <x:v>30.779961232484364</x:v>
      </x:c>
      <x:c r="I310" s="24" t="n">
        <x:v>2</x:v>
      </x:c>
      <x:c r="J310" s="24" t="n">
        <x:v>2</x:v>
      </x:c>
      <x:c r="K310" s="22" t="str">
        <x:v>是</x:v>
      </x:c>
      <x:c r="L310" s="22" t="n">
        <x:v>2.0878570986623552</x:v>
      </x:c>
      <x:c r="M310" s="22" t="n">
        <x:v>12.597769944966478</x:v>
      </x:c>
      <x:c r="N310" s="22" t="n">
        <x:v>12.670369273342343</x:v>
      </x:c>
      <x:c r="O310" s="22" t="n">
        <x:v>3.423964915513189</x:v>
      </x:c>
      <x:c r="P310" s="24" t="n">
        <x:v>4</x:v>
      </x:c>
      <x:c r="Q310" s="22" t="str">
        <x:v>["S0103","S0232"]</x:v>
      </x:c>
      <x:c r="R310" s="22" t="str">
        <x:v>evidence/student_evidence.jsonl；student_key=2025秋:258858</x:v>
      </x:c>
      <x:c r="S310" s="27" t="str"/>
    </x:row>
    <x:row r="311" ht="23" customHeight="1">
      <x:c r="A311" s="21" t="str">
        <x:v>全量观察(探索)</x:v>
      </x:c>
      <x:c r="B311" s="22" t="str">
        <x:v>四项原始熵权对照</x:v>
      </x:c>
      <x:c r="C311" s="22" t="str">
        <x:v>前20%</x:v>
      </x:c>
      <x:c r="D311" s="22" t="str">
        <x:v>严格进入</x:v>
      </x:c>
      <x:c r="E311" s="22" t="str">
        <x:v>2025秋:259112</x:v>
      </x:c>
      <x:c r="F311" s="22" t="str">
        <x:v>s3</x:v>
      </x:c>
      <x:c r="G311" s="26" t="n">
        <x:v>25</x:v>
      </x:c>
      <x:c r="H311" s="25" t="n">
        <x:v>29.016780368506463</x:v>
      </x:c>
      <x:c r="I311" s="24" t="n">
        <x:v>1</x:v>
      </x:c>
      <x:c r="J311" s="24" t="n">
        <x:v>1</x:v>
      </x:c>
      <x:c r="K311" s="22" t="str">
        <x:v>是</x:v>
      </x:c>
      <x:c r="L311" s="22" t="n">
        <x:v>1.0261875870819088</x:v>
      </x:c>
      <x:c r="M311" s="22" t="n">
        <x:v>12.383678126937541</x:v>
      </x:c>
      <x:c r="N311" s="22" t="n">
        <x:v>12.18294973897382</x:v>
      </x:c>
      <x:c r="O311" s="22" t="n">
        <x:v>3.423964915513189</x:v>
      </x:c>
      <x:c r="P311" s="24" t="n">
        <x:v>4</x:v>
      </x:c>
      <x:c r="Q311" s="22" t="str">
        <x:v>["S0204"]</x:v>
      </x:c>
      <x:c r="R311" s="22" t="str">
        <x:v>evidence/student_evidence.jsonl；student_key=2025秋:259112</x:v>
      </x:c>
      <x:c r="S311" s="27" t="str"/>
    </x:row>
    <x:row r="312" ht="23" customHeight="1">
      <x:c r="A312" s="21" t="str">
        <x:v>全量观察(探索)</x:v>
      </x:c>
      <x:c r="B312" s="22" t="str">
        <x:v>四项原始熵权对照</x:v>
      </x:c>
      <x:c r="C312" s="22" t="str">
        <x:v>前20%</x:v>
      </x:c>
      <x:c r="D312" s="22" t="str">
        <x:v>严格进入</x:v>
      </x:c>
      <x:c r="E312" s="22" t="str">
        <x:v>2025秋:259952</x:v>
      </x:c>
      <x:c r="F312" s="22" t="str">
        <x:v>s3</x:v>
      </x:c>
      <x:c r="G312" s="26" t="n">
        <x:v>25</x:v>
      </x:c>
      <x:c r="H312" s="25" t="n">
        <x:v>29.016780368506463</x:v>
      </x:c>
      <x:c r="I312" s="24" t="n">
        <x:v>1</x:v>
      </x:c>
      <x:c r="J312" s="24" t="n">
        <x:v>1</x:v>
      </x:c>
      <x:c r="K312" s="22" t="str">
        <x:v>否</x:v>
      </x:c>
      <x:c r="L312" s="22" t="n">
        <x:v>1.0261875870819088</x:v>
      </x:c>
      <x:c r="M312" s="22" t="n">
        <x:v>12.383678126937541</x:v>
      </x:c>
      <x:c r="N312" s="22" t="n">
        <x:v>12.18294973897382</x:v>
      </x:c>
      <x:c r="O312" s="22" t="n">
        <x:v>3.423964915513189</x:v>
      </x:c>
      <x:c r="P312" s="24" t="n">
        <x:v>4</x:v>
      </x:c>
      <x:c r="Q312" s="22" t="str">
        <x:v>["S0277"]</x:v>
      </x:c>
      <x:c r="R312" s="22" t="str">
        <x:v>evidence/student_evidence.jsonl；student_key=2025秋:259952</x:v>
      </x:c>
      <x:c r="S312" s="27" t="str"/>
    </x:row>
    <x:row r="313" ht="23" customHeight="1">
      <x:c r="A313" s="21" t="str">
        <x:v>全量观察(探索)</x:v>
      </x:c>
      <x:c r="B313" s="22" t="str">
        <x:v>四项原始熵权对照</x:v>
      </x:c>
      <x:c r="C313" s="22" t="str">
        <x:v>前20%</x:v>
      </x:c>
      <x:c r="D313" s="22" t="str">
        <x:v>严格进入</x:v>
      </x:c>
      <x:c r="E313" s="22" t="str">
        <x:v>2026春:268183</x:v>
      </x:c>
      <x:c r="F313" s="22" t="str">
        <x:v>s3</x:v>
      </x:c>
      <x:c r="G313" s="26" t="n">
        <x:v>25</x:v>
      </x:c>
      <x:c r="H313" s="25" t="n">
        <x:v>29.016780368506463</x:v>
      </x:c>
      <x:c r="I313" s="24" t="n">
        <x:v>1</x:v>
      </x:c>
      <x:c r="J313" s="24" t="n">
        <x:v>1</x:v>
      </x:c>
      <x:c r="K313" s="22" t="str">
        <x:v>是</x:v>
      </x:c>
      <x:c r="L313" s="22" t="n">
        <x:v>1.0261875870819088</x:v>
      </x:c>
      <x:c r="M313" s="22" t="n">
        <x:v>12.383678126937541</x:v>
      </x:c>
      <x:c r="N313" s="22" t="n">
        <x:v>12.18294973897382</x:v>
      </x:c>
      <x:c r="O313" s="22" t="n">
        <x:v>3.423964915513189</x:v>
      </x:c>
      <x:c r="P313" s="24" t="n">
        <x:v>4</x:v>
      </x:c>
      <x:c r="Q313" s="22" t="str">
        <x:v>["S1051"]</x:v>
      </x:c>
      <x:c r="R313" s="22" t="str">
        <x:v>evidence/student_evidence.jsonl；student_key=2026春:268183</x:v>
      </x:c>
      <x:c r="S313" s="27" t="str"/>
    </x:row>
    <x:row r="314" ht="23" customHeight="1">
      <x:c r="A314" s="21" t="str">
        <x:v>全量观察(探索)</x:v>
      </x:c>
      <x:c r="B314" s="22" t="str">
        <x:v>四项原始熵权对照</x:v>
      </x:c>
      <x:c r="C314" s="22" t="str">
        <x:v>前20%</x:v>
      </x:c>
      <x:c r="D314" s="22" t="str">
        <x:v>严格进入</x:v>
      </x:c>
      <x:c r="E314" s="22" t="str">
        <x:v>2025秋:258428</x:v>
      </x:c>
      <x:c r="F314" s="22" t="str">
        <x:v>s3</x:v>
      </x:c>
      <x:c r="G314" s="26" t="n">
        <x:v>28.5</x:v>
      </x:c>
      <x:c r="H314" s="25" t="n">
        <x:v>28.957539754402166</x:v>
      </x:c>
      <x:c r="I314" s="24" t="n">
        <x:v>1</x:v>
      </x:c>
      <x:c r="J314" s="24" t="n">
        <x:v>1</x:v>
      </x:c>
      <x:c r="K314" s="22" t="str">
        <x:v>是</x:v>
      </x:c>
      <x:c r="L314" s="22" t="n">
        <x:v>1.0238122336177076</x:v>
      </x:c>
      <x:c r="M314" s="22" t="n">
        <x:v>12.355013179993461</x:v>
      </x:c>
      <x:c r="N314" s="22" t="n">
        <x:v>12.154749425277808</x:v>
      </x:c>
      <x:c r="O314" s="22" t="n">
        <x:v>3.423964915513189</x:v>
      </x:c>
      <x:c r="P314" s="24" t="n">
        <x:v>4</x:v>
      </x:c>
      <x:c r="Q314" s="22" t="str">
        <x:v>["S0096"]</x:v>
      </x:c>
      <x:c r="R314" s="22" t="str">
        <x:v>evidence/student_evidence.jsonl；student_key=2025秋:258428</x:v>
      </x:c>
      <x:c r="S314" s="27" t="str"/>
    </x:row>
    <x:row r="315" ht="23" customHeight="1">
      <x:c r="A315" s="21" t="str">
        <x:v>全量观察(探索)</x:v>
      </x:c>
      <x:c r="B315" s="22" t="str">
        <x:v>四项原始熵权对照</x:v>
      </x:c>
      <x:c r="C315" s="22" t="str">
        <x:v>前20%</x:v>
      </x:c>
      <x:c r="D315" s="22" t="str">
        <x:v>严格进入</x:v>
      </x:c>
      <x:c r="E315" s="22" t="str">
        <x:v>2025秋:258922</x:v>
      </x:c>
      <x:c r="F315" s="22" t="str">
        <x:v>s3</x:v>
      </x:c>
      <x:c r="G315" s="26" t="n">
        <x:v>28.5</x:v>
      </x:c>
      <x:c r="H315" s="25" t="n">
        <x:v>28.957539754402166</x:v>
      </x:c>
      <x:c r="I315" s="24" t="n">
        <x:v>1</x:v>
      </x:c>
      <x:c r="J315" s="24" t="n">
        <x:v>1</x:v>
      </x:c>
      <x:c r="K315" s="22" t="str">
        <x:v>是</x:v>
      </x:c>
      <x:c r="L315" s="22" t="n">
        <x:v>1.0238122336177076</x:v>
      </x:c>
      <x:c r="M315" s="22" t="n">
        <x:v>12.355013179993461</x:v>
      </x:c>
      <x:c r="N315" s="22" t="n">
        <x:v>12.154749425277808</x:v>
      </x:c>
      <x:c r="O315" s="22" t="n">
        <x:v>3.423964915513189</x:v>
      </x:c>
      <x:c r="P315" s="24" t="n">
        <x:v>4</x:v>
      </x:c>
      <x:c r="Q315" s="22" t="str">
        <x:v>["S0351"]</x:v>
      </x:c>
      <x:c r="R315" s="22" t="str">
        <x:v>evidence/student_evidence.jsonl；student_key=2025秋:258922</x:v>
      </x:c>
      <x:c r="S315" s="27" t="str"/>
    </x:row>
    <x:row r="316" ht="23" customHeight="1">
      <x:c r="A316" s="21" t="str">
        <x:v>全量观察(探索)</x:v>
      </x:c>
      <x:c r="B316" s="22" t="str">
        <x:v>四项原始熵权对照</x:v>
      </x:c>
      <x:c r="C316" s="22" t="str">
        <x:v>前20%</x:v>
      </x:c>
      <x:c r="D316" s="22" t="str">
        <x:v>严格进入</x:v>
      </x:c>
      <x:c r="E316" s="22" t="str">
        <x:v>2025秋:259895</x:v>
      </x:c>
      <x:c r="F316" s="22" t="str">
        <x:v>s3</x:v>
      </x:c>
      <x:c r="G316" s="26" t="n">
        <x:v>28.5</x:v>
      </x:c>
      <x:c r="H316" s="25" t="n">
        <x:v>28.957539754402166</x:v>
      </x:c>
      <x:c r="I316" s="24" t="n">
        <x:v>1</x:v>
      </x:c>
      <x:c r="J316" s="24" t="n">
        <x:v>1</x:v>
      </x:c>
      <x:c r="K316" s="22" t="str">
        <x:v>是</x:v>
      </x:c>
      <x:c r="L316" s="22" t="n">
        <x:v>1.0238122336177076</x:v>
      </x:c>
      <x:c r="M316" s="22" t="n">
        <x:v>12.355013179993461</x:v>
      </x:c>
      <x:c r="N316" s="22" t="n">
        <x:v>12.154749425277808</x:v>
      </x:c>
      <x:c r="O316" s="22" t="n">
        <x:v>3.423964915513189</x:v>
      </x:c>
      <x:c r="P316" s="24" t="n">
        <x:v>4</x:v>
      </x:c>
      <x:c r="Q316" s="22" t="str">
        <x:v>["S0407"]</x:v>
      </x:c>
      <x:c r="R316" s="22" t="str">
        <x:v>evidence/student_evidence.jsonl；student_key=2025秋:259895</x:v>
      </x:c>
      <x:c r="S316" s="27" t="str"/>
    </x:row>
    <x:row r="317" ht="23" customHeight="1">
      <x:c r="A317" s="21" t="str">
        <x:v>全量观察(探索)</x:v>
      </x:c>
      <x:c r="B317" s="22" t="str">
        <x:v>四项原始熵权对照</x:v>
      </x:c>
      <x:c r="C317" s="22" t="str">
        <x:v>前20%</x:v>
      </x:c>
      <x:c r="D317" s="22" t="str">
        <x:v>严格进入</x:v>
      </x:c>
      <x:c r="E317" s="22" t="str">
        <x:v>2026春:259443</x:v>
      </x:c>
      <x:c r="F317" s="22" t="str">
        <x:v>s3</x:v>
      </x:c>
      <x:c r="G317" s="26" t="n">
        <x:v>28.5</x:v>
      </x:c>
      <x:c r="H317" s="25" t="n">
        <x:v>28.957539754402166</x:v>
      </x:c>
      <x:c r="I317" s="24" t="n">
        <x:v>1</x:v>
      </x:c>
      <x:c r="J317" s="24" t="n">
        <x:v>1</x:v>
      </x:c>
      <x:c r="K317" s="22" t="str">
        <x:v>是</x:v>
      </x:c>
      <x:c r="L317" s="22" t="n">
        <x:v>1.0238122336177076</x:v>
      </x:c>
      <x:c r="M317" s="22" t="n">
        <x:v>12.355013179993461</x:v>
      </x:c>
      <x:c r="N317" s="22" t="n">
        <x:v>12.154749425277808</x:v>
      </x:c>
      <x:c r="O317" s="22" t="n">
        <x:v>3.423964915513189</x:v>
      </x:c>
      <x:c r="P317" s="24" t="n">
        <x:v>4</x:v>
      </x:c>
      <x:c r="Q317" s="22" t="str">
        <x:v>["S0850"]</x:v>
      </x:c>
      <x:c r="R317" s="22" t="str">
        <x:v>evidence/student_evidence.jsonl；student_key=2026春:259443</x:v>
      </x:c>
      <x:c r="S317" s="27" t="str"/>
    </x:row>
    <x:row r="318" ht="23" customHeight="1">
      <x:c r="A318" s="21" t="str">
        <x:v>全量观察(探索)</x:v>
      </x:c>
      <x:c r="B318" s="22" t="str">
        <x:v>四项原始熵权对照</x:v>
      </x:c>
      <x:c r="C318" s="22" t="str">
        <x:v>前20%</x:v>
      </x:c>
      <x:c r="D318" s="22" t="str">
        <x:v>严格进入</x:v>
      </x:c>
      <x:c r="E318" s="22" t="str">
        <x:v>2025秋:25P025</x:v>
      </x:c>
      <x:c r="F318" s="22" t="str">
        <x:v>s3</x:v>
      </x:c>
      <x:c r="G318" s="26" t="n">
        <x:v>31</x:v>
      </x:c>
      <x:c r="H318" s="25" t="n">
        <x:v>28.87776315583738</x:v>
      </x:c>
      <x:c r="I318" s="24" t="n">
        <x:v>1</x:v>
      </x:c>
      <x:c r="J318" s="24" t="n">
        <x:v>1</x:v>
      </x:c>
      <x:c r="K318" s="22" t="str">
        <x:v>是</x:v>
      </x:c>
      <x:c r="L318" s="22" t="n">
        <x:v>1.020613454830076</x:v>
      </x:c>
      <x:c r="M318" s="22" t="n">
        <x:v>12.316411420038493</x:v>
      </x:c>
      <x:c r="N318" s="22" t="n">
        <x:v>12.11677336545562</x:v>
      </x:c>
      <x:c r="O318" s="22" t="n">
        <x:v>3.423964915513189</x:v>
      </x:c>
      <x:c r="P318" s="24" t="n">
        <x:v>4</x:v>
      </x:c>
      <x:c r="Q318" s="22" t="str">
        <x:v>["S0130"]</x:v>
      </x:c>
      <x:c r="R318" s="22" t="str">
        <x:v>evidence/student_evidence.jsonl；student_key=2025秋:25P025</x:v>
      </x:c>
      <x:c r="S318" s="27" t="str"/>
    </x:row>
    <x:row r="319" ht="23" customHeight="1">
      <x:c r="A319" s="21" t="str">
        <x:v>全量观察(探索)</x:v>
      </x:c>
      <x:c r="B319" s="22" t="str">
        <x:v>四项原始熵权对照</x:v>
      </x:c>
      <x:c r="C319" s="22" t="str">
        <x:v>前20%</x:v>
      </x:c>
      <x:c r="D319" s="22" t="str">
        <x:v>严格进入</x:v>
      </x:c>
      <x:c r="E319" s="22" t="str">
        <x:v>2025秋:258504</x:v>
      </x:c>
      <x:c r="F319" s="22" t="str">
        <x:v>s6</x:v>
      </x:c>
      <x:c r="G319" s="26" t="n">
        <x:v>32</x:v>
      </x:c>
      <x:c r="H319" s="25" t="n">
        <x:v>28.518856004026354</x:v>
      </x:c>
      <x:c r="I319" s="24" t="n">
        <x:v>1</x:v>
      </x:c>
      <x:c r="J319" s="24" t="n">
        <x:v>1</x:v>
      </x:c>
      <x:c r="K319" s="22" t="str">
        <x:v>是</x:v>
      </x:c>
      <x:c r="L319" s="22" t="n">
        <x:v>1.0748673170477243</x:v>
      </x:c>
      <x:c r="M319" s="22" t="n">
        <x:v>12.971128330771256</x:v>
      </x:c>
      <x:c r="N319" s="22" t="n">
        <x:v>12.760877898450778</x:v>
      </x:c>
      <x:c r="O319" s="22" t="n">
        <x:v>1.7119824577565945</x:v>
      </x:c>
      <x:c r="P319" s="24" t="n">
        <x:v>0</x:v>
      </x:c>
      <x:c r="Q319" s="22" t="str">
        <x:v>["S0508"]</x:v>
      </x:c>
      <x:c r="R319" s="22" t="str">
        <x:v>evidence/student_evidence.jsonl；student_key=2025秋:258504</x:v>
      </x:c>
      <x:c r="S319" s="27" t="str"/>
    </x:row>
    <x:row r="320" ht="23" customHeight="1">
      <x:c r="A320" s="21" t="str">
        <x:v>全量观察(探索)</x:v>
      </x:c>
      <x:c r="B320" s="22" t="str">
        <x:v>四项原始熵权对照</x:v>
      </x:c>
      <x:c r="C320" s="22" t="str">
        <x:v>前20%</x:v>
      </x:c>
      <x:c r="D320" s="22" t="str">
        <x:v>严格进入</x:v>
      </x:c>
      <x:c r="E320" s="22" t="str">
        <x:v>2026春:268127</x:v>
      </x:c>
      <x:c r="F320" s="22" t="str">
        <x:v>s3</x:v>
      </x:c>
      <x:c r="G320" s="26" t="n">
        <x:v>33</x:v>
      </x:c>
      <x:c r="H320" s="25" t="n">
        <x:v>27.875458730002066</x:v>
      </x:c>
      <x:c r="I320" s="24" t="n">
        <x:v>1</x:v>
      </x:c>
      <x:c r="J320" s="24" t="n">
        <x:v>1</x:v>
      </x:c>
      <x:c r="K320" s="22" t="str">
        <x:v>是</x:v>
      </x:c>
      <x:c r="L320" s="22" t="n">
        <x:v>1.0261875870819088</x:v>
      </x:c>
      <x:c r="M320" s="22" t="n">
        <x:v>12.383678126937541</x:v>
      </x:c>
      <x:c r="N320" s="22" t="n">
        <x:v>12.18294973897382</x:v>
      </x:c>
      <x:c r="O320" s="22" t="n">
        <x:v>2.2826432770087925</x:v>
      </x:c>
      <x:c r="P320" s="24" t="n">
        <x:v>0</x:v>
      </x:c>
      <x:c r="Q320" s="22" t="str">
        <x:v>["S0935"]</x:v>
      </x:c>
      <x:c r="R320" s="22" t="str">
        <x:v>evidence/student_evidence.jsonl；student_key=2026春:268127</x:v>
      </x:c>
      <x:c r="S320" s="27" t="str"/>
    </x:row>
    <x:row r="321" ht="23" customHeight="1">
      <x:c r="A321" s="21" t="str">
        <x:v>全量观察(探索)</x:v>
      </x:c>
      <x:c r="B321" s="22" t="str">
        <x:v>四项原始熵权对照</x:v>
      </x:c>
      <x:c r="C321" s="22" t="str">
        <x:v>前20%</x:v>
      </x:c>
      <x:c r="D321" s="22" t="str">
        <x:v>边界同分</x:v>
      </x:c>
      <x:c r="E321" s="22" t="str">
        <x:v>2025秋:25A148</x:v>
      </x:c>
      <x:c r="F321" s="22" t="str">
        <x:v>s3</x:v>
      </x:c>
      <x:c r="G321" s="26" t="n">
        <x:v>34.5</x:v>
      </x:c>
      <x:c r="H321" s="25" t="n">
        <x:v>27.733486504802883</x:v>
      </x:c>
      <x:c r="I321" s="24" t="n">
        <x:v>1</x:v>
      </x:c>
      <x:c r="J321" s="24" t="n">
        <x:v>1</x:v>
      </x:c>
      <x:c r="K321" s="22" t="str">
        <x:v>是</x:v>
      </x:c>
      <x:c r="L321" s="22" t="n">
        <x:v>0.9747317308112393</x:v>
      </x:c>
      <x:c r="M321" s="22" t="n">
        <x:v>11.762726587644492</x:v>
      </x:c>
      <x:c r="N321" s="22" t="n">
        <x:v>11.572063270833965</x:v>
      </x:c>
      <x:c r="O321" s="22" t="n">
        <x:v>3.423964915513189</x:v>
      </x:c>
      <x:c r="P321" s="24" t="n">
        <x:v>4</x:v>
      </x:c>
      <x:c r="Q321" s="22" t="str">
        <x:v>["S0067"]</x:v>
      </x:c>
      <x:c r="R321" s="22" t="str">
        <x:v>evidence/student_evidence.jsonl；student_key=2025秋:25A148</x:v>
      </x:c>
      <x:c r="S321" s="27" t="str"/>
    </x:row>
    <x:row r="322" ht="23" customHeight="1">
      <x:c r="A322" s="21" t="str">
        <x:v>全量观察(探索)</x:v>
      </x:c>
      <x:c r="B322" s="22" t="str">
        <x:v>四项原始熵权对照</x:v>
      </x:c>
      <x:c r="C322" s="22" t="str">
        <x:v>前20%</x:v>
      </x:c>
      <x:c r="D322" s="22" t="str">
        <x:v>边界同分</x:v>
      </x:c>
      <x:c r="E322" s="22" t="str">
        <x:v>2026春:268184</x:v>
      </x:c>
      <x:c r="F322" s="22" t="str">
        <x:v>s3</x:v>
      </x:c>
      <x:c r="G322" s="26" t="n">
        <x:v>34.5</x:v>
      </x:c>
      <x:c r="H322" s="25" t="n">
        <x:v>27.733486504802883</x:v>
      </x:c>
      <x:c r="I322" s="24" t="n">
        <x:v>1</x:v>
      </x:c>
      <x:c r="J322" s="24" t="n">
        <x:v>1</x:v>
      </x:c>
      <x:c r="K322" s="22" t="str">
        <x:v>是</x:v>
      </x:c>
      <x:c r="L322" s="22" t="n">
        <x:v>0.9747317308112393</x:v>
      </x:c>
      <x:c r="M322" s="22" t="n">
        <x:v>11.762726587644492</x:v>
      </x:c>
      <x:c r="N322" s="22" t="n">
        <x:v>11.572063270833965</x:v>
      </x:c>
      <x:c r="O322" s="22" t="n">
        <x:v>3.423964915513189</x:v>
      </x:c>
      <x:c r="P322" s="24" t="n">
        <x:v>4</x:v>
      </x:c>
      <x:c r="Q322" s="22" t="str">
        <x:v>["S1054"]</x:v>
      </x:c>
      <x:c r="R322" s="22" t="str">
        <x:v>evidence/student_evidence.jsonl；student_key=2026春:268184</x:v>
      </x:c>
      <x:c r="S322" s="27" t="str"/>
    </x:row>
    <x:row r="323" ht="48" customHeight="1">
      <x:c r="A323" s="21" t="str">
        <x:v>全量观察(探索)</x:v>
      </x:c>
      <x:c r="B323" s="22" t="str">
        <x:v>四项原始熵权对照</x:v>
      </x:c>
      <x:c r="C323" s="22" t="str">
        <x:v>后20%</x:v>
      </x:c>
      <x:c r="D323" s="22" t="str">
        <x:v>边界同分</x:v>
      </x:c>
      <x:c r="E323" s="22" t="str">
        <x:v>2025秋:258268</x:v>
      </x:c>
      <x:c r="F323" s="22" t="str">
        <x:v>s3</x:v>
      </x:c>
      <x:c r="G323" s="26" t="n">
        <x:v>128</x:v>
      </x:c>
      <x:c r="H323" s="25" t="n">
        <x:v>3.423964915513189</x:v>
      </x:c>
      <x:c r="I323" s="24" t="n">
        <x:v>1</x:v>
      </x:c>
      <x:c r="J323" s="24" t="n">
        <x:v>1</x:v>
      </x:c>
      <x:c r="K323" s="22" t="str">
        <x:v>是</x:v>
      </x:c>
      <x:c r="L323" s="22" t="n">
        <x:v>0</x:v>
      </x:c>
      <x:c r="M323" s="22" t="n">
        <x:v>0</x:v>
      </x:c>
      <x:c r="N323" s="22" t="n">
        <x:v>0</x:v>
      </x:c>
      <x:c r="O323" s="22" t="n">
        <x:v>3.423964915513189</x:v>
      </x:c>
      <x:c r="P323" s="24" t="n">
        <x:v>0</x:v>
      </x:c>
      <x:c r="Q323" s="22" t="str">
        <x:v>["S0259"]</x:v>
      </x:c>
      <x:c r="R323" s="22" t="str">
        <x:v>evidence/student_evidence.jsonl；student_key=2025秋:258268</x:v>
      </x:c>
      <x:c r="S323" s="27" t="str">
        <x:v>同一锚点起止1条：未形成独立重复测量。CTQ=0、QAPro/QA3=1，均衡观察分仍30。前后同一回合；零类别增量不等于没有学习。</x:v>
      </x:c>
    </x:row>
    <x:row r="324" ht="48" customHeight="1">
      <x:c r="A324" s="21" t="str">
        <x:v>全量观察(探索)</x:v>
      </x:c>
      <x:c r="B324" s="22" t="str">
        <x:v>四项原始熵权对照</x:v>
      </x:c>
      <x:c r="C324" s="22" t="str">
        <x:v>后20%</x:v>
      </x:c>
      <x:c r="D324" s="22" t="str">
        <x:v>边界同分</x:v>
      </x:c>
      <x:c r="E324" s="22" t="str">
        <x:v>2025秋:258425</x:v>
      </x:c>
      <x:c r="F324" s="22" t="str">
        <x:v>s3</x:v>
      </x:c>
      <x:c r="G324" s="26" t="n">
        <x:v>128</x:v>
      </x:c>
      <x:c r="H324" s="25" t="n">
        <x:v>3.423964915513189</x:v>
      </x:c>
      <x:c r="I324" s="24" t="n">
        <x:v>1</x:v>
      </x:c>
      <x:c r="J324" s="24" t="n">
        <x:v>1</x:v>
      </x:c>
      <x:c r="K324" s="22" t="str">
        <x:v>是</x:v>
      </x:c>
      <x:c r="L324" s="22" t="n">
        <x:v>0</x:v>
      </x:c>
      <x:c r="M324" s="22" t="n">
        <x:v>0</x:v>
      </x:c>
      <x:c r="N324" s="22" t="n">
        <x:v>0</x:v>
      </x:c>
      <x:c r="O324" s="22" t="n">
        <x:v>3.423964915513189</x:v>
      </x:c>
      <x:c r="P324" s="24" t="n">
        <x:v>0</x:v>
      </x:c>
      <x:c r="Q324" s="22" t="str">
        <x:v>["S0319"]</x:v>
      </x:c>
      <x:c r="R324" s="22" t="str">
        <x:v>evidence/student_evidence.jsonl；student_key=2025秋:258425</x:v>
      </x:c>
      <x:c r="S324" s="27" t="str">
        <x:v>同一锚点起止1条：未形成独立重复测量。CTQ=0、质量比例=1，均衡观察分仍30。前后同一回合，无独立后测，不能判定学习失败。</x:v>
      </x:c>
    </x:row>
    <x:row r="325" ht="48" customHeight="1">
      <x:c r="A325" s="21" t="str">
        <x:v>全量观察(探索)</x:v>
      </x:c>
      <x:c r="B325" s="22" t="str">
        <x:v>四项原始熵权对照</x:v>
      </x:c>
      <x:c r="C325" s="22" t="str">
        <x:v>后20%</x:v>
      </x:c>
      <x:c r="D325" s="22" t="str">
        <x:v>边界同分</x:v>
      </x:c>
      <x:c r="E325" s="22" t="str">
        <x:v>2025秋:258439</x:v>
      </x:c>
      <x:c r="F325" s="22" t="str">
        <x:v>s6</x:v>
      </x:c>
      <x:c r="G325" s="26" t="n">
        <x:v>128</x:v>
      </x:c>
      <x:c r="H325" s="25" t="n">
        <x:v>3.423964915513189</x:v>
      </x:c>
      <x:c r="I325" s="24" t="n">
        <x:v>1</x:v>
      </x:c>
      <x:c r="J325" s="24" t="n">
        <x:v>1</x:v>
      </x:c>
      <x:c r="K325" s="22" t="str">
        <x:v>是</x:v>
      </x:c>
      <x:c r="L325" s="22" t="n">
        <x:v>0</x:v>
      </x:c>
      <x:c r="M325" s="22" t="n">
        <x:v>0</x:v>
      </x:c>
      <x:c r="N325" s="22" t="n">
        <x:v>0</x:v>
      </x:c>
      <x:c r="O325" s="22" t="n">
        <x:v>3.423964915513189</x:v>
      </x:c>
      <x:c r="P325" s="24" t="n">
        <x:v>0</x:v>
      </x:c>
      <x:c r="Q325" s="22" t="str">
        <x:v>["S0280"]</x:v>
      </x:c>
      <x:c r="R325" s="22" t="str">
        <x:v>evidence/student_evidence.jsonl；student_key=2025秋:258439</x:v>
      </x:c>
      <x:c r="S325" s="27" t="str">
        <x:v>同一锚点起止1条：未形成独立重复测量。</x:v>
      </x:c>
    </x:row>
    <x:row r="326" ht="23" customHeight="1">
      <x:c r="A326" s="21" t="str">
        <x:v>全量观察(探索)</x:v>
      </x:c>
      <x:c r="B326" s="22" t="str">
        <x:v>四项原始熵权对照</x:v>
      </x:c>
      <x:c r="C326" s="22" t="str">
        <x:v>后20%</x:v>
      </x:c>
      <x:c r="D326" s="22" t="str">
        <x:v>边界同分</x:v>
      </x:c>
      <x:c r="E326" s="22" t="str">
        <x:v>2025秋:258440</x:v>
      </x:c>
      <x:c r="F326" s="22" t="str">
        <x:v>s3</x:v>
      </x:c>
      <x:c r="G326" s="26" t="n">
        <x:v>128</x:v>
      </x:c>
      <x:c r="H326" s="25" t="n">
        <x:v>3.423964915513189</x:v>
      </x:c>
      <x:c r="I326" s="24" t="n">
        <x:v>2</x:v>
      </x:c>
      <x:c r="J326" s="24" t="n">
        <x:v>2</x:v>
      </x:c>
      <x:c r="K326" s="22" t="str">
        <x:v>是</x:v>
      </x:c>
      <x:c r="L326" s="22" t="n">
        <x:v>0</x:v>
      </x:c>
      <x:c r="M326" s="22" t="n">
        <x:v>0</x:v>
      </x:c>
      <x:c r="N326" s="22" t="n">
        <x:v>0</x:v>
      </x:c>
      <x:c r="O326" s="22" t="n">
        <x:v>3.423964915513189</x:v>
      </x:c>
      <x:c r="P326" s="24" t="n">
        <x:v>0</x:v>
      </x:c>
      <x:c r="Q326" s="22" t="str">
        <x:v>["S0350","S0666"]</x:v>
      </x:c>
      <x:c r="R326" s="22" t="str">
        <x:v>evidence/student_evidence.jsonl；student_key=2025秋:258440</x:v>
      </x:c>
      <x:c r="S326" s="27" t="str"/>
    </x:row>
    <x:row r="327" ht="23" customHeight="1">
      <x:c r="A327" s="21" t="str">
        <x:v>全量观察(探索)</x:v>
      </x:c>
      <x:c r="B327" s="22" t="str">
        <x:v>四项原始熵权对照</x:v>
      </x:c>
      <x:c r="C327" s="22" t="str">
        <x:v>后20%</x:v>
      </x:c>
      <x:c r="D327" s="22" t="str">
        <x:v>边界同分</x:v>
      </x:c>
      <x:c r="E327" s="22" t="str">
        <x:v>2025秋:258868</x:v>
      </x:c>
      <x:c r="F327" s="22" t="str">
        <x:v>s3</x:v>
      </x:c>
      <x:c r="G327" s="26" t="n">
        <x:v>128</x:v>
      </x:c>
      <x:c r="H327" s="25" t="n">
        <x:v>3.423964915513189</x:v>
      </x:c>
      <x:c r="I327" s="24" t="n">
        <x:v>1</x:v>
      </x:c>
      <x:c r="J327" s="24" t="n">
        <x:v>1</x:v>
      </x:c>
      <x:c r="K327" s="22" t="str">
        <x:v>是</x:v>
      </x:c>
      <x:c r="L327" s="22" t="n">
        <x:v>0</x:v>
      </x:c>
      <x:c r="M327" s="22" t="n">
        <x:v>0</x:v>
      </x:c>
      <x:c r="N327" s="22" t="n">
        <x:v>0</x:v>
      </x:c>
      <x:c r="O327" s="22" t="n">
        <x:v>3.423964915513189</x:v>
      </x:c>
      <x:c r="P327" s="24" t="n">
        <x:v>0</x:v>
      </x:c>
      <x:c r="Q327" s="22" t="str">
        <x:v>["S0028"]</x:v>
      </x:c>
      <x:c r="R327" s="22" t="str">
        <x:v>evidence/student_evidence.jsonl；student_key=2025秋:258868</x:v>
      </x:c>
      <x:c r="S327" s="27" t="str"/>
    </x:row>
    <x:row r="328" ht="23" customHeight="1">
      <x:c r="A328" s="21" t="str">
        <x:v>全量观察(探索)</x:v>
      </x:c>
      <x:c r="B328" s="22" t="str">
        <x:v>四项原始熵权对照</x:v>
      </x:c>
      <x:c r="C328" s="22" t="str">
        <x:v>后20%</x:v>
      </x:c>
      <x:c r="D328" s="22" t="str">
        <x:v>边界同分</x:v>
      </x:c>
      <x:c r="E328" s="22" t="str">
        <x:v>2025秋:258880</x:v>
      </x:c>
      <x:c r="F328" s="22" t="str">
        <x:v>s3</x:v>
      </x:c>
      <x:c r="G328" s="26" t="n">
        <x:v>128</x:v>
      </x:c>
      <x:c r="H328" s="25" t="n">
        <x:v>3.423964915513189</x:v>
      </x:c>
      <x:c r="I328" s="24" t="n">
        <x:v>1</x:v>
      </x:c>
      <x:c r="J328" s="24" t="n">
        <x:v>1</x:v>
      </x:c>
      <x:c r="K328" s="22" t="str">
        <x:v>是</x:v>
      </x:c>
      <x:c r="L328" s="22" t="n">
        <x:v>0</x:v>
      </x:c>
      <x:c r="M328" s="22" t="n">
        <x:v>0</x:v>
      </x:c>
      <x:c r="N328" s="22" t="n">
        <x:v>0</x:v>
      </x:c>
      <x:c r="O328" s="22" t="n">
        <x:v>3.423964915513189</x:v>
      </x:c>
      <x:c r="P328" s="24" t="n">
        <x:v>0</x:v>
      </x:c>
      <x:c r="Q328" s="22" t="str">
        <x:v>["S0063"]</x:v>
      </x:c>
      <x:c r="R328" s="22" t="str">
        <x:v>evidence/student_evidence.jsonl；student_key=2025秋:258880</x:v>
      </x:c>
      <x:c r="S328" s="27" t="str"/>
    </x:row>
    <x:row r="329" ht="48" customHeight="1">
      <x:c r="A329" s="21" t="str">
        <x:v>全量观察(探索)</x:v>
      </x:c>
      <x:c r="B329" s="22" t="str">
        <x:v>四项原始熵权对照</x:v>
      </x:c>
      <x:c r="C329" s="22" t="str">
        <x:v>后20%</x:v>
      </x:c>
      <x:c r="D329" s="22" t="str">
        <x:v>边界同分</x:v>
      </x:c>
      <x:c r="E329" s="22" t="str">
        <x:v>2025秋:258887</x:v>
      </x:c>
      <x:c r="F329" s="22" t="str">
        <x:v>s3</x:v>
      </x:c>
      <x:c r="G329" s="26" t="n">
        <x:v>128</x:v>
      </x:c>
      <x:c r="H329" s="25" t="n">
        <x:v>3.423964915513189</x:v>
      </x:c>
      <x:c r="I329" s="24" t="n">
        <x:v>1</x:v>
      </x:c>
      <x:c r="J329" s="24" t="n">
        <x:v>1</x:v>
      </x:c>
      <x:c r="K329" s="22" t="str">
        <x:v>是</x:v>
      </x:c>
      <x:c r="L329" s="22" t="n">
        <x:v>0</x:v>
      </x:c>
      <x:c r="M329" s="22" t="n">
        <x:v>0</x:v>
      </x:c>
      <x:c r="N329" s="22" t="n">
        <x:v>0</x:v>
      </x:c>
      <x:c r="O329" s="22" t="n">
        <x:v>3.423964915513189</x:v>
      </x:c>
      <x:c r="P329" s="24" t="n">
        <x:v>0</x:v>
      </x:c>
      <x:c r="Q329" s="22" t="str">
        <x:v>["S0309"]</x:v>
      </x:c>
      <x:c r="R329" s="22" t="str">
        <x:v>evidence/student_evidence.jsonl；student_key=2025秋:258887</x:v>
      </x:c>
      <x:c r="S329" s="27" t="str">
        <x:v>同一锚点起止1条：未形成独立重复测量。</x:v>
      </x:c>
    </x:row>
    <x:row r="330" ht="23" customHeight="1">
      <x:c r="A330" s="21" t="str">
        <x:v>全量观察(探索)</x:v>
      </x:c>
      <x:c r="B330" s="22" t="str">
        <x:v>四项原始熵权对照</x:v>
      </x:c>
      <x:c r="C330" s="22" t="str">
        <x:v>后20%</x:v>
      </x:c>
      <x:c r="D330" s="22" t="str">
        <x:v>边界同分</x:v>
      </x:c>
      <x:c r="E330" s="22" t="str">
        <x:v>2025秋:258900</x:v>
      </x:c>
      <x:c r="F330" s="22" t="str">
        <x:v>s3</x:v>
      </x:c>
      <x:c r="G330" s="26" t="n">
        <x:v>128</x:v>
      </x:c>
      <x:c r="H330" s="25" t="n">
        <x:v>3.423964915513189</x:v>
      </x:c>
      <x:c r="I330" s="24" t="n">
        <x:v>1</x:v>
      </x:c>
      <x:c r="J330" s="24" t="n">
        <x:v>1</x:v>
      </x:c>
      <x:c r="K330" s="22" t="str">
        <x:v>是</x:v>
      </x:c>
      <x:c r="L330" s="22" t="n">
        <x:v>0</x:v>
      </x:c>
      <x:c r="M330" s="22" t="n">
        <x:v>0</x:v>
      </x:c>
      <x:c r="N330" s="22" t="n">
        <x:v>0</x:v>
      </x:c>
      <x:c r="O330" s="22" t="n">
        <x:v>3.423964915513189</x:v>
      </x:c>
      <x:c r="P330" s="24" t="n">
        <x:v>0</x:v>
      </x:c>
      <x:c r="Q330" s="22" t="str">
        <x:v>["S0460"]</x:v>
      </x:c>
      <x:c r="R330" s="22" t="str">
        <x:v>evidence/student_evidence.jsonl；student_key=2025秋:258900</x:v>
      </x:c>
      <x:c r="S330" s="27" t="str"/>
    </x:row>
    <x:row r="331" ht="23" customHeight="1">
      <x:c r="A331" s="21" t="str">
        <x:v>全量观察(探索)</x:v>
      </x:c>
      <x:c r="B331" s="22" t="str">
        <x:v>四项原始熵权对照</x:v>
      </x:c>
      <x:c r="C331" s="22" t="str">
        <x:v>后20%</x:v>
      </x:c>
      <x:c r="D331" s="22" t="str">
        <x:v>边界同分</x:v>
      </x:c>
      <x:c r="E331" s="22" t="str">
        <x:v>2025秋:258906</x:v>
      </x:c>
      <x:c r="F331" s="22" t="str">
        <x:v>s3</x:v>
      </x:c>
      <x:c r="G331" s="26" t="n">
        <x:v>128</x:v>
      </x:c>
      <x:c r="H331" s="25" t="n">
        <x:v>3.423964915513189</x:v>
      </x:c>
      <x:c r="I331" s="24" t="n">
        <x:v>1</x:v>
      </x:c>
      <x:c r="J331" s="24" t="n">
        <x:v>1</x:v>
      </x:c>
      <x:c r="K331" s="22" t="str">
        <x:v>是</x:v>
      </x:c>
      <x:c r="L331" s="22" t="n">
        <x:v>0</x:v>
      </x:c>
      <x:c r="M331" s="22" t="n">
        <x:v>0</x:v>
      </x:c>
      <x:c r="N331" s="22" t="n">
        <x:v>0</x:v>
      </x:c>
      <x:c r="O331" s="22" t="n">
        <x:v>3.423964915513189</x:v>
      </x:c>
      <x:c r="P331" s="24" t="n">
        <x:v>0</x:v>
      </x:c>
      <x:c r="Q331" s="22" t="str">
        <x:v>["S0207"]</x:v>
      </x:c>
      <x:c r="R331" s="22" t="str">
        <x:v>evidence/student_evidence.jsonl；student_key=2025秋:258906</x:v>
      </x:c>
      <x:c r="S331" s="27" t="str"/>
    </x:row>
    <x:row r="332" ht="23" customHeight="1">
      <x:c r="A332" s="21" t="str">
        <x:v>全量观察(探索)</x:v>
      </x:c>
      <x:c r="B332" s="22" t="str">
        <x:v>四项原始熵权对照</x:v>
      </x:c>
      <x:c r="C332" s="22" t="str">
        <x:v>后20%</x:v>
      </x:c>
      <x:c r="D332" s="22" t="str">
        <x:v>边界同分</x:v>
      </x:c>
      <x:c r="E332" s="22" t="str">
        <x:v>2025秋:258911</x:v>
      </x:c>
      <x:c r="F332" s="22" t="str">
        <x:v>s3</x:v>
      </x:c>
      <x:c r="G332" s="26" t="n">
        <x:v>128</x:v>
      </x:c>
      <x:c r="H332" s="25" t="n">
        <x:v>3.423964915513189</x:v>
      </x:c>
      <x:c r="I332" s="24" t="n">
        <x:v>1</x:v>
      </x:c>
      <x:c r="J332" s="24" t="n">
        <x:v>1</x:v>
      </x:c>
      <x:c r="K332" s="22" t="str">
        <x:v>是</x:v>
      </x:c>
      <x:c r="L332" s="22" t="n">
        <x:v>0</x:v>
      </x:c>
      <x:c r="M332" s="22" t="n">
        <x:v>0</x:v>
      </x:c>
      <x:c r="N332" s="22" t="n">
        <x:v>0</x:v>
      </x:c>
      <x:c r="O332" s="22" t="n">
        <x:v>3.423964915513189</x:v>
      </x:c>
      <x:c r="P332" s="24" t="n">
        <x:v>0</x:v>
      </x:c>
      <x:c r="Q332" s="22" t="str">
        <x:v>["S0400"]</x:v>
      </x:c>
      <x:c r="R332" s="22" t="str">
        <x:v>evidence/student_evidence.jsonl；student_key=2025秋:258911</x:v>
      </x:c>
      <x:c r="S332" s="27" t="str"/>
    </x:row>
    <x:row r="333" ht="48" customHeight="1">
      <x:c r="A333" s="21" t="str">
        <x:v>全量观察(探索)</x:v>
      </x:c>
      <x:c r="B333" s="22" t="str">
        <x:v>四项原始熵权对照</x:v>
      </x:c>
      <x:c r="C333" s="22" t="str">
        <x:v>后20%</x:v>
      </x:c>
      <x:c r="D333" s="22" t="str">
        <x:v>边界同分</x:v>
      </x:c>
      <x:c r="E333" s="22" t="str">
        <x:v>2025秋:258927</x:v>
      </x:c>
      <x:c r="F333" s="22" t="str">
        <x:v>s3</x:v>
      </x:c>
      <x:c r="G333" s="26" t="n">
        <x:v>128</x:v>
      </x:c>
      <x:c r="H333" s="25" t="n">
        <x:v>3.423964915513189</x:v>
      </x:c>
      <x:c r="I333" s="24" t="n">
        <x:v>1</x:v>
      </x:c>
      <x:c r="J333" s="24" t="n">
        <x:v>1</x:v>
      </x:c>
      <x:c r="K333" s="22" t="str">
        <x:v>是</x:v>
      </x:c>
      <x:c r="L333" s="22" t="n">
        <x:v>0</x:v>
      </x:c>
      <x:c r="M333" s="22" t="n">
        <x:v>0</x:v>
      </x:c>
      <x:c r="N333" s="22" t="n">
        <x:v>0</x:v>
      </x:c>
      <x:c r="O333" s="22" t="n">
        <x:v>3.423964915513189</x:v>
      </x:c>
      <x:c r="P333" s="24" t="n">
        <x:v>0</x:v>
      </x:c>
      <x:c r="Q333" s="22" t="str">
        <x:v>["S0295"]</x:v>
      </x:c>
      <x:c r="R333" s="22" t="str">
        <x:v>evidence/student_evidence.jsonl；student_key=2025秋:258927</x:v>
      </x:c>
      <x:c r="S333" s="27" t="str">
        <x:v>同一锚点起止1条：未形成独立重复测量。</x:v>
      </x:c>
    </x:row>
    <x:row r="334" ht="23" customHeight="1">
      <x:c r="A334" s="21" t="str">
        <x:v>全量观察(探索)</x:v>
      </x:c>
      <x:c r="B334" s="22" t="str">
        <x:v>四项原始熵权对照</x:v>
      </x:c>
      <x:c r="C334" s="22" t="str">
        <x:v>后20%</x:v>
      </x:c>
      <x:c r="D334" s="22" t="str">
        <x:v>边界同分</x:v>
      </x:c>
      <x:c r="E334" s="22" t="str">
        <x:v>2025秋:258937</x:v>
      </x:c>
      <x:c r="F334" s="22" t="str">
        <x:v>s3</x:v>
      </x:c>
      <x:c r="G334" s="26" t="n">
        <x:v>128</x:v>
      </x:c>
      <x:c r="H334" s="25" t="n">
        <x:v>3.423964915513189</x:v>
      </x:c>
      <x:c r="I334" s="24" t="n">
        <x:v>1</x:v>
      </x:c>
      <x:c r="J334" s="24" t="n">
        <x:v>1</x:v>
      </x:c>
      <x:c r="K334" s="22" t="str">
        <x:v>是</x:v>
      </x:c>
      <x:c r="L334" s="22" t="n">
        <x:v>0</x:v>
      </x:c>
      <x:c r="M334" s="22" t="n">
        <x:v>0</x:v>
      </x:c>
      <x:c r="N334" s="22" t="n">
        <x:v>0</x:v>
      </x:c>
      <x:c r="O334" s="22" t="n">
        <x:v>3.423964915513189</x:v>
      </x:c>
      <x:c r="P334" s="24" t="n">
        <x:v>0</x:v>
      </x:c>
      <x:c r="Q334" s="22" t="str">
        <x:v>["S0196"]</x:v>
      </x:c>
      <x:c r="R334" s="22" t="str">
        <x:v>evidence/student_evidence.jsonl；student_key=2025秋:258937</x:v>
      </x:c>
      <x:c r="S334" s="27" t="str"/>
    </x:row>
    <x:row r="335" ht="48" customHeight="1">
      <x:c r="A335" s="21" t="str">
        <x:v>全量观察(探索)</x:v>
      </x:c>
      <x:c r="B335" s="22" t="str">
        <x:v>四项原始熵权对照</x:v>
      </x:c>
      <x:c r="C335" s="22" t="str">
        <x:v>后20%</x:v>
      </x:c>
      <x:c r="D335" s="22" t="str">
        <x:v>边界同分</x:v>
      </x:c>
      <x:c r="E335" s="22" t="str">
        <x:v>2025秋:258953</x:v>
      </x:c>
      <x:c r="F335" s="22" t="str">
        <x:v>s3</x:v>
      </x:c>
      <x:c r="G335" s="26" t="n">
        <x:v>128</x:v>
      </x:c>
      <x:c r="H335" s="25" t="n">
        <x:v>3.423964915513189</x:v>
      </x:c>
      <x:c r="I335" s="24" t="n">
        <x:v>1</x:v>
      </x:c>
      <x:c r="J335" s="24" t="n">
        <x:v>1</x:v>
      </x:c>
      <x:c r="K335" s="22" t="str">
        <x:v>是</x:v>
      </x:c>
      <x:c r="L335" s="22" t="n">
        <x:v>0</x:v>
      </x:c>
      <x:c r="M335" s="22" t="n">
        <x:v>0</x:v>
      </x:c>
      <x:c r="N335" s="22" t="n">
        <x:v>0</x:v>
      </x:c>
      <x:c r="O335" s="22" t="n">
        <x:v>3.423964915513189</x:v>
      </x:c>
      <x:c r="P335" s="24" t="n">
        <x:v>0</x:v>
      </x:c>
      <x:c r="Q335" s="22" t="str">
        <x:v>["S0015"]</x:v>
      </x:c>
      <x:c r="R335" s="22" t="str">
        <x:v>evidence/student_evidence.jsonl；student_key=2025秋:258953</x:v>
      </x:c>
      <x:c r="S335" s="27" t="str">
        <x:v>同一锚点起止1条：未形成独立重复测量。</x:v>
      </x:c>
    </x:row>
    <x:row r="336" ht="48" customHeight="1">
      <x:c r="A336" s="21" t="str">
        <x:v>全量观察(探索)</x:v>
      </x:c>
      <x:c r="B336" s="22" t="str">
        <x:v>四项原始熵权对照</x:v>
      </x:c>
      <x:c r="C336" s="22" t="str">
        <x:v>后20%</x:v>
      </x:c>
      <x:c r="D336" s="22" t="str">
        <x:v>边界同分</x:v>
      </x:c>
      <x:c r="E336" s="22" t="str">
        <x:v>2025秋:258958</x:v>
      </x:c>
      <x:c r="F336" s="22" t="str">
        <x:v>s3</x:v>
      </x:c>
      <x:c r="G336" s="26" t="n">
        <x:v>128</x:v>
      </x:c>
      <x:c r="H336" s="25" t="n">
        <x:v>3.423964915513189</x:v>
      </x:c>
      <x:c r="I336" s="24" t="n">
        <x:v>1</x:v>
      </x:c>
      <x:c r="J336" s="24" t="n">
        <x:v>1</x:v>
      </x:c>
      <x:c r="K336" s="22" t="str">
        <x:v>是</x:v>
      </x:c>
      <x:c r="L336" s="22" t="n">
        <x:v>0</x:v>
      </x:c>
      <x:c r="M336" s="22" t="n">
        <x:v>0</x:v>
      </x:c>
      <x:c r="N336" s="22" t="n">
        <x:v>0</x:v>
      </x:c>
      <x:c r="O336" s="22" t="n">
        <x:v>3.423964915513189</x:v>
      </x:c>
      <x:c r="P336" s="24" t="n">
        <x:v>0</x:v>
      </x:c>
      <x:c r="Q336" s="22" t="str">
        <x:v>["S0185"]</x:v>
      </x:c>
      <x:c r="R336" s="22" t="str">
        <x:v>evidence/student_evidence.jsonl；student_key=2025秋:258958</x:v>
      </x:c>
      <x:c r="S336" s="27" t="str">
        <x:v>同一锚点起止1条：未形成独立重复测量。</x:v>
      </x:c>
    </x:row>
    <x:row r="337" ht="48" customHeight="1">
      <x:c r="A337" s="21" t="str">
        <x:v>全量观察(探索)</x:v>
      </x:c>
      <x:c r="B337" s="22" t="str">
        <x:v>四项原始熵权对照</x:v>
      </x:c>
      <x:c r="C337" s="22" t="str">
        <x:v>后20%</x:v>
      </x:c>
      <x:c r="D337" s="22" t="str">
        <x:v>边界同分</x:v>
      </x:c>
      <x:c r="E337" s="22" t="str">
        <x:v>2025秋:258995</x:v>
      </x:c>
      <x:c r="F337" s="22" t="str">
        <x:v>s3</x:v>
      </x:c>
      <x:c r="G337" s="26" t="n">
        <x:v>128</x:v>
      </x:c>
      <x:c r="H337" s="25" t="n">
        <x:v>3.423964915513189</x:v>
      </x:c>
      <x:c r="I337" s="24" t="n">
        <x:v>1</x:v>
      </x:c>
      <x:c r="J337" s="24" t="n">
        <x:v>1</x:v>
      </x:c>
      <x:c r="K337" s="22" t="str">
        <x:v>是</x:v>
      </x:c>
      <x:c r="L337" s="22" t="n">
        <x:v>0</x:v>
      </x:c>
      <x:c r="M337" s="22" t="n">
        <x:v>0</x:v>
      </x:c>
      <x:c r="N337" s="22" t="n">
        <x:v>0</x:v>
      </x:c>
      <x:c r="O337" s="22" t="n">
        <x:v>3.423964915513189</x:v>
      </x:c>
      <x:c r="P337" s="24" t="n">
        <x:v>0</x:v>
      </x:c>
      <x:c r="Q337" s="22" t="str">
        <x:v>["S0408"]</x:v>
      </x:c>
      <x:c r="R337" s="22" t="str">
        <x:v>evidence/student_evidence.jsonl；student_key=2025秋:258995</x:v>
      </x:c>
      <x:c r="S337" s="27" t="str">
        <x:v>同一锚点起止1条：未形成独立重复测量。</x:v>
      </x:c>
    </x:row>
    <x:row r="338" ht="48" customHeight="1">
      <x:c r="A338" s="21" t="str">
        <x:v>全量观察(探索)</x:v>
      </x:c>
      <x:c r="B338" s="22" t="str">
        <x:v>四项原始熵权对照</x:v>
      </x:c>
      <x:c r="C338" s="22" t="str">
        <x:v>后20%</x:v>
      </x:c>
      <x:c r="D338" s="22" t="str">
        <x:v>边界同分</x:v>
      </x:c>
      <x:c r="E338" s="22" t="str">
        <x:v>2025秋:259004</x:v>
      </x:c>
      <x:c r="F338" s="22" t="str">
        <x:v>s3</x:v>
      </x:c>
      <x:c r="G338" s="26" t="n">
        <x:v>128</x:v>
      </x:c>
      <x:c r="H338" s="25" t="n">
        <x:v>3.423964915513189</x:v>
      </x:c>
      <x:c r="I338" s="24" t="n">
        <x:v>3</x:v>
      </x:c>
      <x:c r="J338" s="24" t="n">
        <x:v>1</x:v>
      </x:c>
      <x:c r="K338" s="22" t="str">
        <x:v>是</x:v>
      </x:c>
      <x:c r="L338" s="22" t="n">
        <x:v>0</x:v>
      </x:c>
      <x:c r="M338" s="22" t="n">
        <x:v>0</x:v>
      </x:c>
      <x:c r="N338" s="22" t="n">
        <x:v>0</x:v>
      </x:c>
      <x:c r="O338" s="22" t="n">
        <x:v>3.423964915513189</x:v>
      </x:c>
      <x:c r="P338" s="24" t="n">
        <x:v>0</x:v>
      </x:c>
      <x:c r="Q338" s="22" t="str">
        <x:v>["S0172","S0224","S0391"]</x:v>
      </x:c>
      <x:c r="R338" s="22" t="str">
        <x:v>evidence/student_evidence.jsonl；student_key=2025秋:259004</x:v>
      </x:c>
      <x:c r="S338" s="27" t="str">
        <x:v>同一锚点起止2条：未形成独立重复测量。</x:v>
      </x:c>
    </x:row>
    <x:row r="339" ht="48" customHeight="1">
      <x:c r="A339" s="21" t="str">
        <x:v>全量观察(探索)</x:v>
      </x:c>
      <x:c r="B339" s="22" t="str">
        <x:v>四项原始熵权对照</x:v>
      </x:c>
      <x:c r="C339" s="22" t="str">
        <x:v>后20%</x:v>
      </x:c>
      <x:c r="D339" s="22" t="str">
        <x:v>边界同分</x:v>
      </x:c>
      <x:c r="E339" s="22" t="str">
        <x:v>2025秋:259015</x:v>
      </x:c>
      <x:c r="F339" s="22" t="str">
        <x:v>s3</x:v>
      </x:c>
      <x:c r="G339" s="26" t="n">
        <x:v>128</x:v>
      </x:c>
      <x:c r="H339" s="25" t="n">
        <x:v>3.423964915513189</x:v>
      </x:c>
      <x:c r="I339" s="24" t="n">
        <x:v>1</x:v>
      </x:c>
      <x:c r="J339" s="24" t="n">
        <x:v>1</x:v>
      </x:c>
      <x:c r="K339" s="22" t="str">
        <x:v>是</x:v>
      </x:c>
      <x:c r="L339" s="22" t="n">
        <x:v>0</x:v>
      </x:c>
      <x:c r="M339" s="22" t="n">
        <x:v>0</x:v>
      </x:c>
      <x:c r="N339" s="22" t="n">
        <x:v>0</x:v>
      </x:c>
      <x:c r="O339" s="22" t="n">
        <x:v>3.423964915513189</x:v>
      </x:c>
      <x:c r="P339" s="24" t="n">
        <x:v>0</x:v>
      </x:c>
      <x:c r="Q339" s="22" t="str">
        <x:v>["S0371"]</x:v>
      </x:c>
      <x:c r="R339" s="22" t="str">
        <x:v>evidence/student_evidence.jsonl；student_key=2025秋:259015</x:v>
      </x:c>
      <x:c r="S339" s="27" t="str">
        <x:v>同一锚点起止1条：未形成独立重复测量。</x:v>
      </x:c>
    </x:row>
    <x:row r="340" ht="23" customHeight="1">
      <x:c r="A340" s="21" t="str">
        <x:v>全量观察(探索)</x:v>
      </x:c>
      <x:c r="B340" s="22" t="str">
        <x:v>四项原始熵权对照</x:v>
      </x:c>
      <x:c r="C340" s="22" t="str">
        <x:v>后20%</x:v>
      </x:c>
      <x:c r="D340" s="22" t="str">
        <x:v>边界同分</x:v>
      </x:c>
      <x:c r="E340" s="22" t="str">
        <x:v>2025秋:259023</x:v>
      </x:c>
      <x:c r="F340" s="22" t="str">
        <x:v>s3</x:v>
      </x:c>
      <x:c r="G340" s="26" t="n">
        <x:v>128</x:v>
      </x:c>
      <x:c r="H340" s="25" t="n">
        <x:v>3.423964915513189</x:v>
      </x:c>
      <x:c r="I340" s="24" t="n">
        <x:v>1</x:v>
      </x:c>
      <x:c r="J340" s="24" t="n">
        <x:v>1</x:v>
      </x:c>
      <x:c r="K340" s="22" t="str">
        <x:v>是</x:v>
      </x:c>
      <x:c r="L340" s="22" t="n">
        <x:v>0</x:v>
      </x:c>
      <x:c r="M340" s="22" t="n">
        <x:v>0</x:v>
      </x:c>
      <x:c r="N340" s="22" t="n">
        <x:v>0</x:v>
      </x:c>
      <x:c r="O340" s="22" t="n">
        <x:v>3.423964915513189</x:v>
      </x:c>
      <x:c r="P340" s="24" t="n">
        <x:v>0</x:v>
      </x:c>
      <x:c r="Q340" s="22" t="str">
        <x:v>["S0463"]</x:v>
      </x:c>
      <x:c r="R340" s="22" t="str">
        <x:v>evidence/student_evidence.jsonl；student_key=2025秋:259023</x:v>
      </x:c>
      <x:c r="S340" s="27" t="str"/>
    </x:row>
    <x:row r="341" ht="23" customHeight="1">
      <x:c r="A341" s="21" t="str">
        <x:v>全量观察(探索)</x:v>
      </x:c>
      <x:c r="B341" s="22" t="str">
        <x:v>四项原始熵权对照</x:v>
      </x:c>
      <x:c r="C341" s="22" t="str">
        <x:v>后20%</x:v>
      </x:c>
      <x:c r="D341" s="22" t="str">
        <x:v>边界同分</x:v>
      </x:c>
      <x:c r="E341" s="22" t="str">
        <x:v>2025秋:259052</x:v>
      </x:c>
      <x:c r="F341" s="22" t="str">
        <x:v>s3</x:v>
      </x:c>
      <x:c r="G341" s="26" t="n">
        <x:v>128</x:v>
      </x:c>
      <x:c r="H341" s="25" t="n">
        <x:v>3.423964915513189</x:v>
      </x:c>
      <x:c r="I341" s="24" t="n">
        <x:v>1</x:v>
      </x:c>
      <x:c r="J341" s="24" t="n">
        <x:v>1</x:v>
      </x:c>
      <x:c r="K341" s="22" t="str">
        <x:v>是</x:v>
      </x:c>
      <x:c r="L341" s="22" t="n">
        <x:v>0</x:v>
      </x:c>
      <x:c r="M341" s="22" t="n">
        <x:v>0</x:v>
      </x:c>
      <x:c r="N341" s="22" t="n">
        <x:v>0</x:v>
      </x:c>
      <x:c r="O341" s="22" t="n">
        <x:v>3.423964915513189</x:v>
      </x:c>
      <x:c r="P341" s="24" t="n">
        <x:v>0</x:v>
      </x:c>
      <x:c r="Q341" s="22" t="str">
        <x:v>["S0489"]</x:v>
      </x:c>
      <x:c r="R341" s="22" t="str">
        <x:v>evidence/student_evidence.jsonl；student_key=2025秋:259052</x:v>
      </x:c>
      <x:c r="S341" s="27" t="str"/>
    </x:row>
    <x:row r="342" ht="23" customHeight="1">
      <x:c r="A342" s="21" t="str">
        <x:v>全量观察(探索)</x:v>
      </x:c>
      <x:c r="B342" s="22" t="str">
        <x:v>四项原始熵权对照</x:v>
      </x:c>
      <x:c r="C342" s="22" t="str">
        <x:v>后20%</x:v>
      </x:c>
      <x:c r="D342" s="22" t="str">
        <x:v>边界同分</x:v>
      </x:c>
      <x:c r="E342" s="22" t="str">
        <x:v>2025秋:259092</x:v>
      </x:c>
      <x:c r="F342" s="22" t="str">
        <x:v>s3</x:v>
      </x:c>
      <x:c r="G342" s="26" t="n">
        <x:v>128</x:v>
      </x:c>
      <x:c r="H342" s="25" t="n">
        <x:v>3.423964915513189</x:v>
      </x:c>
      <x:c r="I342" s="24" t="n">
        <x:v>1</x:v>
      </x:c>
      <x:c r="J342" s="24" t="n">
        <x:v>1</x:v>
      </x:c>
      <x:c r="K342" s="22" t="str">
        <x:v>是</x:v>
      </x:c>
      <x:c r="L342" s="22" t="n">
        <x:v>0</x:v>
      </x:c>
      <x:c r="M342" s="22" t="n">
        <x:v>0</x:v>
      </x:c>
      <x:c r="N342" s="22" t="n">
        <x:v>0</x:v>
      </x:c>
      <x:c r="O342" s="22" t="n">
        <x:v>3.423964915513189</x:v>
      </x:c>
      <x:c r="P342" s="24" t="n">
        <x:v>0</x:v>
      </x:c>
      <x:c r="Q342" s="22" t="str">
        <x:v>["S0034"]</x:v>
      </x:c>
      <x:c r="R342" s="22" t="str">
        <x:v>evidence/student_evidence.jsonl；student_key=2025秋:259092</x:v>
      </x:c>
      <x:c r="S342" s="27" t="str"/>
    </x:row>
    <x:row r="343" ht="48" customHeight="1">
      <x:c r="A343" s="21" t="str">
        <x:v>全量观察(探索)</x:v>
      </x:c>
      <x:c r="B343" s="22" t="str">
        <x:v>四项原始熵权对照</x:v>
      </x:c>
      <x:c r="C343" s="22" t="str">
        <x:v>后20%</x:v>
      </x:c>
      <x:c r="D343" s="22" t="str">
        <x:v>边界同分</x:v>
      </x:c>
      <x:c r="E343" s="22" t="str">
        <x:v>2025秋:259097</x:v>
      </x:c>
      <x:c r="F343" s="22" t="str">
        <x:v>s3</x:v>
      </x:c>
      <x:c r="G343" s="26" t="n">
        <x:v>128</x:v>
      </x:c>
      <x:c r="H343" s="25" t="n">
        <x:v>3.423964915513189</x:v>
      </x:c>
      <x:c r="I343" s="24" t="n">
        <x:v>1</x:v>
      </x:c>
      <x:c r="J343" s="24" t="n">
        <x:v>1</x:v>
      </x:c>
      <x:c r="K343" s="22" t="str">
        <x:v>是</x:v>
      </x:c>
      <x:c r="L343" s="22" t="n">
        <x:v>0</x:v>
      </x:c>
      <x:c r="M343" s="22" t="n">
        <x:v>0</x:v>
      </x:c>
      <x:c r="N343" s="22" t="n">
        <x:v>0</x:v>
      </x:c>
      <x:c r="O343" s="22" t="n">
        <x:v>3.423964915513189</x:v>
      </x:c>
      <x:c r="P343" s="24" t="n">
        <x:v>0</x:v>
      </x:c>
      <x:c r="Q343" s="22" t="str">
        <x:v>["S0494"]</x:v>
      </x:c>
      <x:c r="R343" s="22" t="str">
        <x:v>evidence/student_evidence.jsonl；student_key=2025秋:259097</x:v>
      </x:c>
      <x:c r="S343" s="27" t="str">
        <x:v>同一锚点起止1条：未形成独立重复测量。</x:v>
      </x:c>
    </x:row>
    <x:row r="344" ht="23" customHeight="1">
      <x:c r="A344" s="21" t="str">
        <x:v>全量观察(探索)</x:v>
      </x:c>
      <x:c r="B344" s="22" t="str">
        <x:v>四项原始熵权对照</x:v>
      </x:c>
      <x:c r="C344" s="22" t="str">
        <x:v>后20%</x:v>
      </x:c>
      <x:c r="D344" s="22" t="str">
        <x:v>边界同分</x:v>
      </x:c>
      <x:c r="E344" s="22" t="str">
        <x:v>2025秋:259101</x:v>
      </x:c>
      <x:c r="F344" s="22" t="str">
        <x:v>s3</x:v>
      </x:c>
      <x:c r="G344" s="26" t="n">
        <x:v>128</x:v>
      </x:c>
      <x:c r="H344" s="25" t="n">
        <x:v>3.423964915513189</x:v>
      </x:c>
      <x:c r="I344" s="24" t="n">
        <x:v>1</x:v>
      </x:c>
      <x:c r="J344" s="24" t="n">
        <x:v>1</x:v>
      </x:c>
      <x:c r="K344" s="22" t="str">
        <x:v>是</x:v>
      </x:c>
      <x:c r="L344" s="22" t="n">
        <x:v>0</x:v>
      </x:c>
      <x:c r="M344" s="22" t="n">
        <x:v>0</x:v>
      </x:c>
      <x:c r="N344" s="22" t="n">
        <x:v>0</x:v>
      </x:c>
      <x:c r="O344" s="22" t="n">
        <x:v>3.423964915513189</x:v>
      </x:c>
      <x:c r="P344" s="24" t="n">
        <x:v>0</x:v>
      </x:c>
      <x:c r="Q344" s="22" t="str">
        <x:v>["S0291"]</x:v>
      </x:c>
      <x:c r="R344" s="22" t="str">
        <x:v>evidence/student_evidence.jsonl；student_key=2025秋:259101</x:v>
      </x:c>
      <x:c r="S344" s="27" t="str"/>
    </x:row>
    <x:row r="345" ht="23" customHeight="1">
      <x:c r="A345" s="21" t="str">
        <x:v>全量观察(探索)</x:v>
      </x:c>
      <x:c r="B345" s="22" t="str">
        <x:v>四项原始熵权对照</x:v>
      </x:c>
      <x:c r="C345" s="22" t="str">
        <x:v>后20%</x:v>
      </x:c>
      <x:c r="D345" s="22" t="str">
        <x:v>边界同分</x:v>
      </x:c>
      <x:c r="E345" s="22" t="str">
        <x:v>2025秋:259116</x:v>
      </x:c>
      <x:c r="F345" s="22" t="str">
        <x:v>s3</x:v>
      </x:c>
      <x:c r="G345" s="26" t="n">
        <x:v>128</x:v>
      </x:c>
      <x:c r="H345" s="25" t="n">
        <x:v>3.423964915513189</x:v>
      </x:c>
      <x:c r="I345" s="24" t="n">
        <x:v>2</x:v>
      </x:c>
      <x:c r="J345" s="24" t="n">
        <x:v>1</x:v>
      </x:c>
      <x:c r="K345" s="22" t="str">
        <x:v>是</x:v>
      </x:c>
      <x:c r="L345" s="22" t="n">
        <x:v>0</x:v>
      </x:c>
      <x:c r="M345" s="22" t="n">
        <x:v>0</x:v>
      </x:c>
      <x:c r="N345" s="22" t="n">
        <x:v>0</x:v>
      </x:c>
      <x:c r="O345" s="22" t="n">
        <x:v>3.423964915513189</x:v>
      </x:c>
      <x:c r="P345" s="24" t="n">
        <x:v>0</x:v>
      </x:c>
      <x:c r="Q345" s="22" t="str">
        <x:v>["S0223","S0266"]</x:v>
      </x:c>
      <x:c r="R345" s="22" t="str">
        <x:v>evidence/student_evidence.jsonl；student_key=2025秋:259116</x:v>
      </x:c>
      <x:c r="S345" s="27" t="str"/>
    </x:row>
    <x:row r="346" ht="48" customHeight="1">
      <x:c r="A346" s="21" t="str">
        <x:v>全量观察(探索)</x:v>
      </x:c>
      <x:c r="B346" s="22" t="str">
        <x:v>四项原始熵权对照</x:v>
      </x:c>
      <x:c r="C346" s="22" t="str">
        <x:v>后20%</x:v>
      </x:c>
      <x:c r="D346" s="22" t="str">
        <x:v>边界同分</x:v>
      </x:c>
      <x:c r="E346" s="22" t="str">
        <x:v>2025秋:259316</x:v>
      </x:c>
      <x:c r="F346" s="22" t="str">
        <x:v>s3</x:v>
      </x:c>
      <x:c r="G346" s="26" t="n">
        <x:v>128</x:v>
      </x:c>
      <x:c r="H346" s="25" t="n">
        <x:v>3.423964915513189</x:v>
      </x:c>
      <x:c r="I346" s="24" t="n">
        <x:v>2</x:v>
      </x:c>
      <x:c r="J346" s="24" t="n">
        <x:v>2</x:v>
      </x:c>
      <x:c r="K346" s="22" t="str">
        <x:v>是</x:v>
      </x:c>
      <x:c r="L346" s="22" t="n">
        <x:v>0</x:v>
      </x:c>
      <x:c r="M346" s="22" t="n">
        <x:v>0</x:v>
      </x:c>
      <x:c r="N346" s="22" t="n">
        <x:v>0</x:v>
      </x:c>
      <x:c r="O346" s="22" t="n">
        <x:v>3.423964915513189</x:v>
      </x:c>
      <x:c r="P346" s="24" t="n">
        <x:v>0</x:v>
      </x:c>
      <x:c r="Q346" s="22" t="str">
        <x:v>["S0062","S0121"]</x:v>
      </x:c>
      <x:c r="R346" s="22" t="str">
        <x:v>evidence/student_evidence.jsonl；student_key=2025秋:259316</x:v>
      </x:c>
      <x:c r="S346" s="27" t="str">
        <x:v>同一锚点起止1条：未形成独立重复测量。</x:v>
      </x:c>
    </x:row>
    <x:row r="347" ht="48" customHeight="1">
      <x:c r="A347" s="21" t="str">
        <x:v>全量观察(探索)</x:v>
      </x:c>
      <x:c r="B347" s="22" t="str">
        <x:v>四项原始熵权对照</x:v>
      </x:c>
      <x:c r="C347" s="22" t="str">
        <x:v>后20%</x:v>
      </x:c>
      <x:c r="D347" s="22" t="str">
        <x:v>边界同分</x:v>
      </x:c>
      <x:c r="E347" s="22" t="str">
        <x:v>2025秋:259324</x:v>
      </x:c>
      <x:c r="F347" s="22" t="str">
        <x:v>s3</x:v>
      </x:c>
      <x:c r="G347" s="26" t="n">
        <x:v>128</x:v>
      </x:c>
      <x:c r="H347" s="25" t="n">
        <x:v>3.423964915513189</x:v>
      </x:c>
      <x:c r="I347" s="24" t="n">
        <x:v>1</x:v>
      </x:c>
      <x:c r="J347" s="24" t="n">
        <x:v>1</x:v>
      </x:c>
      <x:c r="K347" s="22" t="str">
        <x:v>是</x:v>
      </x:c>
      <x:c r="L347" s="22" t="n">
        <x:v>0</x:v>
      </x:c>
      <x:c r="M347" s="22" t="n">
        <x:v>0</x:v>
      </x:c>
      <x:c r="N347" s="22" t="n">
        <x:v>0</x:v>
      </x:c>
      <x:c r="O347" s="22" t="n">
        <x:v>3.423964915513189</x:v>
      </x:c>
      <x:c r="P347" s="24" t="n">
        <x:v>0</x:v>
      </x:c>
      <x:c r="Q347" s="22" t="str">
        <x:v>["S0230"]</x:v>
      </x:c>
      <x:c r="R347" s="22" t="str">
        <x:v>evidence/student_evidence.jsonl；student_key=2025秋:259324</x:v>
      </x:c>
      <x:c r="S347" s="27" t="str">
        <x:v>同一锚点起止1条：未形成独立重复测量。</x:v>
      </x:c>
    </x:row>
    <x:row r="348" ht="23" customHeight="1">
      <x:c r="A348" s="21" t="str">
        <x:v>全量观察(探索)</x:v>
      </x:c>
      <x:c r="B348" s="22" t="str">
        <x:v>四项原始熵权对照</x:v>
      </x:c>
      <x:c r="C348" s="22" t="str">
        <x:v>后20%</x:v>
      </x:c>
      <x:c r="D348" s="22" t="str">
        <x:v>边界同分</x:v>
      </x:c>
      <x:c r="E348" s="22" t="str">
        <x:v>2025秋:259342</x:v>
      </x:c>
      <x:c r="F348" s="22" t="str">
        <x:v>s3</x:v>
      </x:c>
      <x:c r="G348" s="26" t="n">
        <x:v>128</x:v>
      </x:c>
      <x:c r="H348" s="25" t="n">
        <x:v>3.423964915513189</x:v>
      </x:c>
      <x:c r="I348" s="24" t="n">
        <x:v>1</x:v>
      </x:c>
      <x:c r="J348" s="24" t="n">
        <x:v>1</x:v>
      </x:c>
      <x:c r="K348" s="22" t="str">
        <x:v>是</x:v>
      </x:c>
      <x:c r="L348" s="22" t="n">
        <x:v>0</x:v>
      </x:c>
      <x:c r="M348" s="22" t="n">
        <x:v>0</x:v>
      </x:c>
      <x:c r="N348" s="22" t="n">
        <x:v>0</x:v>
      </x:c>
      <x:c r="O348" s="22" t="n">
        <x:v>3.423964915513189</x:v>
      </x:c>
      <x:c r="P348" s="24" t="n">
        <x:v>0</x:v>
      </x:c>
      <x:c r="Q348" s="22" t="str">
        <x:v>["S0177"]</x:v>
      </x:c>
      <x:c r="R348" s="22" t="str">
        <x:v>evidence/student_evidence.jsonl；student_key=2025秋:259342</x:v>
      </x:c>
      <x:c r="S348" s="27" t="str"/>
    </x:row>
    <x:row r="349" ht="23" customHeight="1">
      <x:c r="A349" s="21" t="str">
        <x:v>全量观察(探索)</x:v>
      </x:c>
      <x:c r="B349" s="22" t="str">
        <x:v>四项原始熵权对照</x:v>
      </x:c>
      <x:c r="C349" s="22" t="str">
        <x:v>后20%</x:v>
      </x:c>
      <x:c r="D349" s="22" t="str">
        <x:v>边界同分</x:v>
      </x:c>
      <x:c r="E349" s="22" t="str">
        <x:v>2025秋:259404</x:v>
      </x:c>
      <x:c r="F349" s="22" t="str">
        <x:v>s3</x:v>
      </x:c>
      <x:c r="G349" s="26" t="n">
        <x:v>128</x:v>
      </x:c>
      <x:c r="H349" s="25" t="n">
        <x:v>3.423964915513189</x:v>
      </x:c>
      <x:c r="I349" s="24" t="n">
        <x:v>1</x:v>
      </x:c>
      <x:c r="J349" s="24" t="n">
        <x:v>1</x:v>
      </x:c>
      <x:c r="K349" s="22" t="str">
        <x:v>是</x:v>
      </x:c>
      <x:c r="L349" s="22" t="n">
        <x:v>0</x:v>
      </x:c>
      <x:c r="M349" s="22" t="n">
        <x:v>0</x:v>
      </x:c>
      <x:c r="N349" s="22" t="n">
        <x:v>0</x:v>
      </x:c>
      <x:c r="O349" s="22" t="n">
        <x:v>3.423964915513189</x:v>
      </x:c>
      <x:c r="P349" s="24" t="n">
        <x:v>0</x:v>
      </x:c>
      <x:c r="Q349" s="22" t="str">
        <x:v>["S0293"]</x:v>
      </x:c>
      <x:c r="R349" s="22" t="str">
        <x:v>evidence/student_evidence.jsonl；student_key=2025秋:259404</x:v>
      </x:c>
      <x:c r="S349" s="27" t="str"/>
    </x:row>
    <x:row r="350" ht="23" customHeight="1">
      <x:c r="A350" s="21" t="str">
        <x:v>全量观察(探索)</x:v>
      </x:c>
      <x:c r="B350" s="22" t="str">
        <x:v>四项原始熵权对照</x:v>
      </x:c>
      <x:c r="C350" s="22" t="str">
        <x:v>后20%</x:v>
      </x:c>
      <x:c r="D350" s="22" t="str">
        <x:v>边界同分</x:v>
      </x:c>
      <x:c r="E350" s="22" t="str">
        <x:v>2025秋:259430</x:v>
      </x:c>
      <x:c r="F350" s="22" t="str">
        <x:v>s3</x:v>
      </x:c>
      <x:c r="G350" s="26" t="n">
        <x:v>128</x:v>
      </x:c>
      <x:c r="H350" s="25" t="n">
        <x:v>3.423964915513189</x:v>
      </x:c>
      <x:c r="I350" s="24" t="n">
        <x:v>1</x:v>
      </x:c>
      <x:c r="J350" s="24" t="n">
        <x:v>1</x:v>
      </x:c>
      <x:c r="K350" s="22" t="str">
        <x:v>是</x:v>
      </x:c>
      <x:c r="L350" s="22" t="n">
        <x:v>0</x:v>
      </x:c>
      <x:c r="M350" s="22" t="n">
        <x:v>0</x:v>
      </x:c>
      <x:c r="N350" s="22" t="n">
        <x:v>0</x:v>
      </x:c>
      <x:c r="O350" s="22" t="n">
        <x:v>3.423964915513189</x:v>
      </x:c>
      <x:c r="P350" s="24" t="n">
        <x:v>0</x:v>
      </x:c>
      <x:c r="Q350" s="22" t="str">
        <x:v>["S0181"]</x:v>
      </x:c>
      <x:c r="R350" s="22" t="str">
        <x:v>evidence/student_evidence.jsonl；student_key=2025秋:259430</x:v>
      </x:c>
      <x:c r="S350" s="27" t="str"/>
    </x:row>
    <x:row r="351" ht="23" customHeight="1">
      <x:c r="A351" s="21" t="str">
        <x:v>全量观察(探索)</x:v>
      </x:c>
      <x:c r="B351" s="22" t="str">
        <x:v>四项原始熵权对照</x:v>
      </x:c>
      <x:c r="C351" s="22" t="str">
        <x:v>后20%</x:v>
      </x:c>
      <x:c r="D351" s="22" t="str">
        <x:v>边界同分</x:v>
      </x:c>
      <x:c r="E351" s="22" t="str">
        <x:v>2025秋:259431</x:v>
      </x:c>
      <x:c r="F351" s="22" t="str">
        <x:v>s3</x:v>
      </x:c>
      <x:c r="G351" s="26" t="n">
        <x:v>128</x:v>
      </x:c>
      <x:c r="H351" s="25" t="n">
        <x:v>3.423964915513189</x:v>
      </x:c>
      <x:c r="I351" s="24" t="n">
        <x:v>1</x:v>
      </x:c>
      <x:c r="J351" s="24" t="n">
        <x:v>1</x:v>
      </x:c>
      <x:c r="K351" s="22" t="str">
        <x:v>是</x:v>
      </x:c>
      <x:c r="L351" s="22" t="n">
        <x:v>0</x:v>
      </x:c>
      <x:c r="M351" s="22" t="n">
        <x:v>0</x:v>
      </x:c>
      <x:c r="N351" s="22" t="n">
        <x:v>0</x:v>
      </x:c>
      <x:c r="O351" s="22" t="n">
        <x:v>3.423964915513189</x:v>
      </x:c>
      <x:c r="P351" s="24" t="n">
        <x:v>0</x:v>
      </x:c>
      <x:c r="Q351" s="22" t="str">
        <x:v>["S0500"]</x:v>
      </x:c>
      <x:c r="R351" s="22" t="str">
        <x:v>evidence/student_evidence.jsonl；student_key=2025秋:259431</x:v>
      </x:c>
      <x:c r="S351" s="27" t="str"/>
    </x:row>
    <x:row r="352" ht="23" customHeight="1">
      <x:c r="A352" s="21" t="str">
        <x:v>全量观察(探索)</x:v>
      </x:c>
      <x:c r="B352" s="22" t="str">
        <x:v>四项原始熵权对照</x:v>
      </x:c>
      <x:c r="C352" s="22" t="str">
        <x:v>后20%</x:v>
      </x:c>
      <x:c r="D352" s="22" t="str">
        <x:v>边界同分</x:v>
      </x:c>
      <x:c r="E352" s="22" t="str">
        <x:v>2025秋:259778</x:v>
      </x:c>
      <x:c r="F352" s="22" t="str">
        <x:v>s3</x:v>
      </x:c>
      <x:c r="G352" s="26" t="n">
        <x:v>128</x:v>
      </x:c>
      <x:c r="H352" s="25" t="n">
        <x:v>3.423964915513189</x:v>
      </x:c>
      <x:c r="I352" s="24" t="n">
        <x:v>2</x:v>
      </x:c>
      <x:c r="J352" s="24" t="n">
        <x:v>1</x:v>
      </x:c>
      <x:c r="K352" s="22" t="str">
        <x:v>是</x:v>
      </x:c>
      <x:c r="L352" s="22" t="n">
        <x:v>0</x:v>
      </x:c>
      <x:c r="M352" s="22" t="n">
        <x:v>0</x:v>
      </x:c>
      <x:c r="N352" s="22" t="n">
        <x:v>0</x:v>
      </x:c>
      <x:c r="O352" s="22" t="n">
        <x:v>3.423964915513189</x:v>
      </x:c>
      <x:c r="P352" s="24" t="n">
        <x:v>0</x:v>
      </x:c>
      <x:c r="Q352" s="22" t="str">
        <x:v>["S0102","S0432"]</x:v>
      </x:c>
      <x:c r="R352" s="22" t="str">
        <x:v>evidence/student_evidence.jsonl；student_key=2025秋:259778</x:v>
      </x:c>
      <x:c r="S352" s="27" t="str"/>
    </x:row>
    <x:row r="353" ht="48" customHeight="1">
      <x:c r="A353" s="21" t="str">
        <x:v>全量观察(探索)</x:v>
      </x:c>
      <x:c r="B353" s="22" t="str">
        <x:v>四项原始熵权对照</x:v>
      </x:c>
      <x:c r="C353" s="22" t="str">
        <x:v>后20%</x:v>
      </x:c>
      <x:c r="D353" s="22" t="str">
        <x:v>边界同分</x:v>
      </x:c>
      <x:c r="E353" s="22" t="str">
        <x:v>2025秋:259843</x:v>
      </x:c>
      <x:c r="F353" s="22" t="str">
        <x:v>s3</x:v>
      </x:c>
      <x:c r="G353" s="26" t="n">
        <x:v>128</x:v>
      </x:c>
      <x:c r="H353" s="25" t="n">
        <x:v>3.423964915513189</x:v>
      </x:c>
      <x:c r="I353" s="24" t="n">
        <x:v>1</x:v>
      </x:c>
      <x:c r="J353" s="24" t="n">
        <x:v>1</x:v>
      </x:c>
      <x:c r="K353" s="22" t="str">
        <x:v>是</x:v>
      </x:c>
      <x:c r="L353" s="22" t="n">
        <x:v>0</x:v>
      </x:c>
      <x:c r="M353" s="22" t="n">
        <x:v>0</x:v>
      </x:c>
      <x:c r="N353" s="22" t="n">
        <x:v>0</x:v>
      </x:c>
      <x:c r="O353" s="22" t="n">
        <x:v>3.423964915513189</x:v>
      </x:c>
      <x:c r="P353" s="24" t="n">
        <x:v>0</x:v>
      </x:c>
      <x:c r="Q353" s="22" t="str">
        <x:v>["S0080"]</x:v>
      </x:c>
      <x:c r="R353" s="22" t="str">
        <x:v>evidence/student_evidence.jsonl；student_key=2025秋:259843</x:v>
      </x:c>
      <x:c r="S353" s="27" t="str">
        <x:v>同一锚点起止1条：未形成独立重复测量。</x:v>
      </x:c>
    </x:row>
    <x:row r="354" ht="23" customHeight="1">
      <x:c r="A354" s="21" t="str">
        <x:v>全量观察(探索)</x:v>
      </x:c>
      <x:c r="B354" s="22" t="str">
        <x:v>四项原始熵权对照</x:v>
      </x:c>
      <x:c r="C354" s="22" t="str">
        <x:v>后20%</x:v>
      </x:c>
      <x:c r="D354" s="22" t="str">
        <x:v>边界同分</x:v>
      </x:c>
      <x:c r="E354" s="22" t="str">
        <x:v>2025秋:259873</x:v>
      </x:c>
      <x:c r="F354" s="22" t="str">
        <x:v>s3</x:v>
      </x:c>
      <x:c r="G354" s="26" t="n">
        <x:v>128</x:v>
      </x:c>
      <x:c r="H354" s="25" t="n">
        <x:v>3.423964915513189</x:v>
      </x:c>
      <x:c r="I354" s="24" t="n">
        <x:v>1</x:v>
      </x:c>
      <x:c r="J354" s="24" t="n">
        <x:v>1</x:v>
      </x:c>
      <x:c r="K354" s="22" t="str">
        <x:v>是</x:v>
      </x:c>
      <x:c r="L354" s="22" t="n">
        <x:v>0</x:v>
      </x:c>
      <x:c r="M354" s="22" t="n">
        <x:v>0</x:v>
      </x:c>
      <x:c r="N354" s="22" t="n">
        <x:v>0</x:v>
      </x:c>
      <x:c r="O354" s="22" t="n">
        <x:v>3.423964915513189</x:v>
      </x:c>
      <x:c r="P354" s="24" t="n">
        <x:v>0</x:v>
      </x:c>
      <x:c r="Q354" s="22" t="str">
        <x:v>["S0160"]</x:v>
      </x:c>
      <x:c r="R354" s="22" t="str">
        <x:v>evidence/student_evidence.jsonl；student_key=2025秋:259873</x:v>
      </x:c>
      <x:c r="S354" s="27" t="str"/>
    </x:row>
    <x:row r="355" ht="48" customHeight="1">
      <x:c r="A355" s="21" t="str">
        <x:v>全量观察(探索)</x:v>
      </x:c>
      <x:c r="B355" s="22" t="str">
        <x:v>四项原始熵权对照</x:v>
      </x:c>
      <x:c r="C355" s="22" t="str">
        <x:v>后20%</x:v>
      </x:c>
      <x:c r="D355" s="22" t="str">
        <x:v>边界同分</x:v>
      </x:c>
      <x:c r="E355" s="22" t="str">
        <x:v>2025秋:259885</x:v>
      </x:c>
      <x:c r="F355" s="22" t="str">
        <x:v>s3</x:v>
      </x:c>
      <x:c r="G355" s="26" t="n">
        <x:v>128</x:v>
      </x:c>
      <x:c r="H355" s="25" t="n">
        <x:v>3.423964915513189</x:v>
      </x:c>
      <x:c r="I355" s="24" t="n">
        <x:v>1</x:v>
      </x:c>
      <x:c r="J355" s="24" t="n">
        <x:v>1</x:v>
      </x:c>
      <x:c r="K355" s="22" t="str">
        <x:v>是</x:v>
      </x:c>
      <x:c r="L355" s="22" t="n">
        <x:v>0</x:v>
      </x:c>
      <x:c r="M355" s="22" t="n">
        <x:v>0</x:v>
      </x:c>
      <x:c r="N355" s="22" t="n">
        <x:v>0</x:v>
      </x:c>
      <x:c r="O355" s="22" t="n">
        <x:v>3.423964915513189</x:v>
      </x:c>
      <x:c r="P355" s="24" t="n">
        <x:v>0</x:v>
      </x:c>
      <x:c r="Q355" s="22" t="str">
        <x:v>["S0386"]</x:v>
      </x:c>
      <x:c r="R355" s="22" t="str">
        <x:v>evidence/student_evidence.jsonl；student_key=2025秋:259885</x:v>
      </x:c>
      <x:c r="S355" s="27" t="str">
        <x:v>同一锚点起止1条：未形成独立重复测量。</x:v>
      </x:c>
    </x:row>
    <x:row r="356" ht="23" customHeight="1">
      <x:c r="A356" s="21" t="str">
        <x:v>全量观察(探索)</x:v>
      </x:c>
      <x:c r="B356" s="22" t="str">
        <x:v>四项原始熵权对照</x:v>
      </x:c>
      <x:c r="C356" s="22" t="str">
        <x:v>后20%</x:v>
      </x:c>
      <x:c r="D356" s="22" t="str">
        <x:v>边界同分</x:v>
      </x:c>
      <x:c r="E356" s="22" t="str">
        <x:v>2025秋:259899</x:v>
      </x:c>
      <x:c r="F356" s="22" t="str">
        <x:v>s3</x:v>
      </x:c>
      <x:c r="G356" s="26" t="n">
        <x:v>128</x:v>
      </x:c>
      <x:c r="H356" s="25" t="n">
        <x:v>3.423964915513189</x:v>
      </x:c>
      <x:c r="I356" s="24" t="n">
        <x:v>1</x:v>
      </x:c>
      <x:c r="J356" s="24" t="n">
        <x:v>1</x:v>
      </x:c>
      <x:c r="K356" s="22" t="str">
        <x:v>是</x:v>
      </x:c>
      <x:c r="L356" s="22" t="n">
        <x:v>0</x:v>
      </x:c>
      <x:c r="M356" s="22" t="n">
        <x:v>0</x:v>
      </x:c>
      <x:c r="N356" s="22" t="n">
        <x:v>0</x:v>
      </x:c>
      <x:c r="O356" s="22" t="n">
        <x:v>3.423964915513189</x:v>
      </x:c>
      <x:c r="P356" s="24" t="n">
        <x:v>0</x:v>
      </x:c>
      <x:c r="Q356" s="22" t="str">
        <x:v>["S0318"]</x:v>
      </x:c>
      <x:c r="R356" s="22" t="str">
        <x:v>evidence/student_evidence.jsonl；student_key=2025秋:259899</x:v>
      </x:c>
      <x:c r="S356" s="27" t="str"/>
    </x:row>
    <x:row r="357" ht="48" customHeight="1">
      <x:c r="A357" s="21" t="str">
        <x:v>全量观察(探索)</x:v>
      </x:c>
      <x:c r="B357" s="22" t="str">
        <x:v>四项原始熵权对照</x:v>
      </x:c>
      <x:c r="C357" s="22" t="str">
        <x:v>后20%</x:v>
      </x:c>
      <x:c r="D357" s="22" t="str">
        <x:v>边界同分</x:v>
      </x:c>
      <x:c r="E357" s="22" t="str">
        <x:v>2025秋:259919</x:v>
      </x:c>
      <x:c r="F357" s="22" t="str">
        <x:v>s3</x:v>
      </x:c>
      <x:c r="G357" s="26" t="n">
        <x:v>128</x:v>
      </x:c>
      <x:c r="H357" s="25" t="n">
        <x:v>3.423964915513189</x:v>
      </x:c>
      <x:c r="I357" s="24" t="n">
        <x:v>1</x:v>
      </x:c>
      <x:c r="J357" s="24" t="n">
        <x:v>1</x:v>
      </x:c>
      <x:c r="K357" s="22" t="str">
        <x:v>是</x:v>
      </x:c>
      <x:c r="L357" s="22" t="n">
        <x:v>0</x:v>
      </x:c>
      <x:c r="M357" s="22" t="n">
        <x:v>0</x:v>
      </x:c>
      <x:c r="N357" s="22" t="n">
        <x:v>0</x:v>
      </x:c>
      <x:c r="O357" s="22" t="n">
        <x:v>3.423964915513189</x:v>
      </x:c>
      <x:c r="P357" s="24" t="n">
        <x:v>0</x:v>
      </x:c>
      <x:c r="Q357" s="22" t="str">
        <x:v>["S0279"]</x:v>
      </x:c>
      <x:c r="R357" s="22" t="str">
        <x:v>evidence/student_evidence.jsonl；student_key=2025秋:259919</x:v>
      </x:c>
      <x:c r="S357" s="27" t="str">
        <x:v>同一锚点起止1条：未形成独立重复测量。</x:v>
      </x:c>
    </x:row>
    <x:row r="358" ht="23" customHeight="1">
      <x:c r="A358" s="21" t="str">
        <x:v>全量观察(探索)</x:v>
      </x:c>
      <x:c r="B358" s="22" t="str">
        <x:v>四项原始熵权对照</x:v>
      </x:c>
      <x:c r="C358" s="22" t="str">
        <x:v>后20%</x:v>
      </x:c>
      <x:c r="D358" s="22" t="str">
        <x:v>边界同分</x:v>
      </x:c>
      <x:c r="E358" s="22" t="str">
        <x:v>2025秋:259921</x:v>
      </x:c>
      <x:c r="F358" s="22" t="str">
        <x:v>s3</x:v>
      </x:c>
      <x:c r="G358" s="26" t="n">
        <x:v>128</x:v>
      </x:c>
      <x:c r="H358" s="25" t="n">
        <x:v>3.423964915513189</x:v>
      </x:c>
      <x:c r="I358" s="24" t="n">
        <x:v>1</x:v>
      </x:c>
      <x:c r="J358" s="24" t="n">
        <x:v>1</x:v>
      </x:c>
      <x:c r="K358" s="22" t="str">
        <x:v>是</x:v>
      </x:c>
      <x:c r="L358" s="22" t="n">
        <x:v>0</x:v>
      </x:c>
      <x:c r="M358" s="22" t="n">
        <x:v>0</x:v>
      </x:c>
      <x:c r="N358" s="22" t="n">
        <x:v>0</x:v>
      </x:c>
      <x:c r="O358" s="22" t="n">
        <x:v>3.423964915513189</x:v>
      </x:c>
      <x:c r="P358" s="24" t="n">
        <x:v>0</x:v>
      </x:c>
      <x:c r="Q358" s="22" t="str">
        <x:v>["S0276"]</x:v>
      </x:c>
      <x:c r="R358" s="22" t="str">
        <x:v>evidence/student_evidence.jsonl；student_key=2025秋:259921</x:v>
      </x:c>
      <x:c r="S358" s="27" t="str"/>
    </x:row>
    <x:row r="359" ht="48" customHeight="1">
      <x:c r="A359" s="21" t="str">
        <x:v>全量观察(探索)</x:v>
      </x:c>
      <x:c r="B359" s="22" t="str">
        <x:v>四项原始熵权对照</x:v>
      </x:c>
      <x:c r="C359" s="22" t="str">
        <x:v>后20%</x:v>
      </x:c>
      <x:c r="D359" s="22" t="str">
        <x:v>边界同分</x:v>
      </x:c>
      <x:c r="E359" s="22" t="str">
        <x:v>2025秋:25A086</x:v>
      </x:c>
      <x:c r="F359" s="22" t="str">
        <x:v>s3</x:v>
      </x:c>
      <x:c r="G359" s="26" t="n">
        <x:v>128</x:v>
      </x:c>
      <x:c r="H359" s="25" t="n">
        <x:v>3.423964915513189</x:v>
      </x:c>
      <x:c r="I359" s="24" t="n">
        <x:v>1</x:v>
      </x:c>
      <x:c r="J359" s="24" t="n">
        <x:v>1</x:v>
      </x:c>
      <x:c r="K359" s="22" t="str">
        <x:v>是</x:v>
      </x:c>
      <x:c r="L359" s="22" t="n">
        <x:v>0</x:v>
      </x:c>
      <x:c r="M359" s="22" t="n">
        <x:v>0</x:v>
      </x:c>
      <x:c r="N359" s="22" t="n">
        <x:v>0</x:v>
      </x:c>
      <x:c r="O359" s="22" t="n">
        <x:v>3.423964915513189</x:v>
      </x:c>
      <x:c r="P359" s="24" t="n">
        <x:v>0</x:v>
      </x:c>
      <x:c r="Q359" s="22" t="str">
        <x:v>["S0246"]</x:v>
      </x:c>
      <x:c r="R359" s="22" t="str">
        <x:v>evidence/student_evidence.jsonl；student_key=2025秋:25A086</x:v>
      </x:c>
      <x:c r="S359" s="27" t="str">
        <x:v>同一锚点起止1条：未形成独立重复测量。</x:v>
      </x:c>
    </x:row>
    <x:row r="360" ht="23" customHeight="1">
      <x:c r="A360" s="21" t="str">
        <x:v>全量观察(探索)</x:v>
      </x:c>
      <x:c r="B360" s="22" t="str">
        <x:v>四项原始熵权对照</x:v>
      </x:c>
      <x:c r="C360" s="22" t="str">
        <x:v>后20%</x:v>
      </x:c>
      <x:c r="D360" s="22" t="str">
        <x:v>边界同分</x:v>
      </x:c>
      <x:c r="E360" s="22" t="str">
        <x:v>2025秋:260001</x:v>
      </x:c>
      <x:c r="F360" s="22" t="str">
        <x:v>s3</x:v>
      </x:c>
      <x:c r="G360" s="26" t="n">
        <x:v>128</x:v>
      </x:c>
      <x:c r="H360" s="25" t="n">
        <x:v>3.423964915513189</x:v>
      </x:c>
      <x:c r="I360" s="24" t="n">
        <x:v>1</x:v>
      </x:c>
      <x:c r="J360" s="24" t="n">
        <x:v>1</x:v>
      </x:c>
      <x:c r="K360" s="22" t="str">
        <x:v>是</x:v>
      </x:c>
      <x:c r="L360" s="22" t="n">
        <x:v>0</x:v>
      </x:c>
      <x:c r="M360" s="22" t="n">
        <x:v>0</x:v>
      </x:c>
      <x:c r="N360" s="22" t="n">
        <x:v>0</x:v>
      </x:c>
      <x:c r="O360" s="22" t="n">
        <x:v>3.423964915513189</x:v>
      </x:c>
      <x:c r="P360" s="24" t="n">
        <x:v>0</x:v>
      </x:c>
      <x:c r="Q360" s="22" t="str">
        <x:v>["S0466"]</x:v>
      </x:c>
      <x:c r="R360" s="22" t="str">
        <x:v>evidence/student_evidence.jsonl；student_key=2025秋:260001</x:v>
      </x:c>
      <x:c r="S360" s="27" t="str"/>
    </x:row>
    <x:row r="361" ht="23" customHeight="1">
      <x:c r="A361" s="21" t="str">
        <x:v>全量观察(探索)</x:v>
      </x:c>
      <x:c r="B361" s="22" t="str">
        <x:v>四项原始熵权对照</x:v>
      </x:c>
      <x:c r="C361" s="22" t="str">
        <x:v>后20%</x:v>
      </x:c>
      <x:c r="D361" s="22" t="str">
        <x:v>边界同分</x:v>
      </x:c>
      <x:c r="E361" s="22" t="str">
        <x:v>2026春:268219</x:v>
      </x:c>
      <x:c r="F361" s="22" t="str">
        <x:v>s3</x:v>
      </x:c>
      <x:c r="G361" s="26" t="n">
        <x:v>128</x:v>
      </x:c>
      <x:c r="H361" s="25" t="n">
        <x:v>3.423964915513189</x:v>
      </x:c>
      <x:c r="I361" s="24" t="n">
        <x:v>1</x:v>
      </x:c>
      <x:c r="J361" s="24" t="n">
        <x:v>1</x:v>
      </x:c>
      <x:c r="K361" s="22" t="str">
        <x:v>是</x:v>
      </x:c>
      <x:c r="L361" s="22" t="n">
        <x:v>0</x:v>
      </x:c>
      <x:c r="M361" s="22" t="n">
        <x:v>0</x:v>
      </x:c>
      <x:c r="N361" s="22" t="n">
        <x:v>0</x:v>
      </x:c>
      <x:c r="O361" s="22" t="n">
        <x:v>3.423964915513189</x:v>
      </x:c>
      <x:c r="P361" s="24" t="n">
        <x:v>0</x:v>
      </x:c>
      <x:c r="Q361" s="22" t="str">
        <x:v>["S1094"]</x:v>
      </x:c>
      <x:c r="R361" s="22" t="str">
        <x:v>evidence/student_evidence.jsonl；student_key=2026春:268219</x:v>
      </x:c>
      <x:c r="S361" s="27" t="str"/>
    </x:row>
    <x:row r="362" ht="48" customHeight="1">
      <x:c r="A362" s="21" t="str">
        <x:v>全量观察(探索)</x:v>
      </x:c>
      <x:c r="B362" s="22" t="str">
        <x:v>四项原始熵权对照</x:v>
      </x:c>
      <x:c r="C362" s="22" t="str">
        <x:v>后20%</x:v>
      </x:c>
      <x:c r="D362" s="22" t="str">
        <x:v>严格进入</x:v>
      </x:c>
      <x:c r="E362" s="22" t="str">
        <x:v>2025秋:259419</x:v>
      </x:c>
      <x:c r="F362" s="22" t="str">
        <x:v>s3</x:v>
      </x:c>
      <x:c r="G362" s="26" t="n">
        <x:v>148</x:v>
      </x:c>
      <x:c r="H362" s="25" t="n">
        <x:v>2.567973686634892</x:v>
      </x:c>
      <x:c r="I362" s="24" t="n">
        <x:v>1</x:v>
      </x:c>
      <x:c r="J362" s="24" t="n">
        <x:v>1</x:v>
      </x:c>
      <x:c r="K362" s="22" t="str">
        <x:v>否</x:v>
      </x:c>
      <x:c r="L362" s="22" t="n">
        <x:v>0</x:v>
      </x:c>
      <x:c r="M362" s="22" t="n">
        <x:v>0</x:v>
      </x:c>
      <x:c r="N362" s="22" t="n">
        <x:v>0</x:v>
      </x:c>
      <x:c r="O362" s="22" t="n">
        <x:v>2.567973686634892</x:v>
      </x:c>
      <x:c r="P362" s="24" t="n">
        <x:v>2</x:v>
      </x:c>
      <x:c r="Q362" s="22" t="str">
        <x:v>["S0056"]</x:v>
      </x:c>
      <x:c r="R362" s="22" t="str">
        <x:v>evidence/student_evidence.jsonl；student_key=2025秋:259419</x:v>
      </x:c>
      <x:c r="S362" s="27" t="str">
        <x:v>同一锚点起止1条：未形成独立重复测量。</x:v>
      </x:c>
    </x:row>
    <x:row r="363" ht="48" customHeight="1">
      <x:c r="A363" s="21" t="str">
        <x:v>全量观察(探索)</x:v>
      </x:c>
      <x:c r="B363" s="22" t="str">
        <x:v>四项原始熵权对照</x:v>
      </x:c>
      <x:c r="C363" s="22" t="str">
        <x:v>后20%</x:v>
      </x:c>
      <x:c r="D363" s="22" t="str">
        <x:v>严格进入</x:v>
      </x:c>
      <x:c r="E363" s="22" t="str">
        <x:v>2025秋:259325</x:v>
      </x:c>
      <x:c r="F363" s="22" t="str">
        <x:v>s3</x:v>
      </x:c>
      <x:c r="G363" s="26" t="n">
        <x:v>150</x:v>
      </x:c>
      <x:c r="H363" s="25" t="n">
        <x:v>2.2826432770087925</x:v>
      </x:c>
      <x:c r="I363" s="24" t="n">
        <x:v>1</x:v>
      </x:c>
      <x:c r="J363" s="24" t="n">
        <x:v>1</x:v>
      </x:c>
      <x:c r="K363" s="22" t="str">
        <x:v>否</x:v>
      </x:c>
      <x:c r="L363" s="22" t="n">
        <x:v>0</x:v>
      </x:c>
      <x:c r="M363" s="22" t="n">
        <x:v>0</x:v>
      </x:c>
      <x:c r="N363" s="22" t="n">
        <x:v>0</x:v>
      </x:c>
      <x:c r="O363" s="22" t="n">
        <x:v>2.2826432770087925</x:v>
      </x:c>
      <x:c r="P363" s="24" t="n">
        <x:v>4</x:v>
      </x:c>
      <x:c r="Q363" s="22" t="str">
        <x:v>["S0744"]</x:v>
      </x:c>
      <x:c r="R363" s="22" t="str">
        <x:v>evidence/student_evidence.jsonl；student_key=2025秋:259325</x:v>
      </x:c>
      <x:c r="S363" s="27" t="str">
        <x:v>同一锚点起止1条：未形成独立重复测量。</x:v>
      </x:c>
    </x:row>
    <x:row r="364" ht="48" customHeight="1">
      <x:c r="A364" s="21" t="str">
        <x:v>全量观察(探索)</x:v>
      </x:c>
      <x:c r="B364" s="22" t="str">
        <x:v>四项原始熵权对照</x:v>
      </x:c>
      <x:c r="C364" s="22" t="str">
        <x:v>后20%</x:v>
      </x:c>
      <x:c r="D364" s="22" t="str">
        <x:v>严格进入</x:v>
      </x:c>
      <x:c r="E364" s="22" t="str">
        <x:v>2026春:268151</x:v>
      </x:c>
      <x:c r="F364" s="22" t="str">
        <x:v>s3</x:v>
      </x:c>
      <x:c r="G364" s="26" t="n">
        <x:v>150</x:v>
      </x:c>
      <x:c r="H364" s="25" t="n">
        <x:v>2.2826432770087925</x:v>
      </x:c>
      <x:c r="I364" s="24" t="n">
        <x:v>1</x:v>
      </x:c>
      <x:c r="J364" s="24" t="n">
        <x:v>1</x:v>
      </x:c>
      <x:c r="K364" s="22" t="str">
        <x:v>否</x:v>
      </x:c>
      <x:c r="L364" s="22" t="n">
        <x:v>0</x:v>
      </x:c>
      <x:c r="M364" s="22" t="n">
        <x:v>0</x:v>
      </x:c>
      <x:c r="N364" s="22" t="n">
        <x:v>0</x:v>
      </x:c>
      <x:c r="O364" s="22" t="n">
        <x:v>2.2826432770087925</x:v>
      </x:c>
      <x:c r="P364" s="24" t="n">
        <x:v>4</x:v>
      </x:c>
      <x:c r="Q364" s="22" t="str">
        <x:v>["S1004"]</x:v>
      </x:c>
      <x:c r="R364" s="22" t="str">
        <x:v>evidence/student_evidence.jsonl；student_key=2026春:268151</x:v>
      </x:c>
      <x:c r="S364" s="27" t="str">
        <x:v>同一锚点起止1条：未形成独立重复测量。</x:v>
      </x:c>
    </x:row>
    <x:row r="365" ht="48" customHeight="1">
      <x:c r="A365" s="21" t="str">
        <x:v>全量观察(探索)</x:v>
      </x:c>
      <x:c r="B365" s="22" t="str">
        <x:v>四项原始熵权对照</x:v>
      </x:c>
      <x:c r="C365" s="22" t="str">
        <x:v>后20%</x:v>
      </x:c>
      <x:c r="D365" s="22" t="str">
        <x:v>严格进入</x:v>
      </x:c>
      <x:c r="E365" s="22" t="str">
        <x:v>2026春:268520</x:v>
      </x:c>
      <x:c r="F365" s="22" t="str">
        <x:v>s6</x:v>
      </x:c>
      <x:c r="G365" s="26" t="n">
        <x:v>150</x:v>
      </x:c>
      <x:c r="H365" s="25" t="n">
        <x:v>2.2826432770087925</x:v>
      </x:c>
      <x:c r="I365" s="24" t="n">
        <x:v>1</x:v>
      </x:c>
      <x:c r="J365" s="24" t="n">
        <x:v>1</x:v>
      </x:c>
      <x:c r="K365" s="22" t="str">
        <x:v>是</x:v>
      </x:c>
      <x:c r="L365" s="22" t="n">
        <x:v>0</x:v>
      </x:c>
      <x:c r="M365" s="22" t="n">
        <x:v>0</x:v>
      </x:c>
      <x:c r="N365" s="22" t="n">
        <x:v>0</x:v>
      </x:c>
      <x:c r="O365" s="22" t="n">
        <x:v>2.2826432770087925</x:v>
      </x:c>
      <x:c r="P365" s="24" t="n">
        <x:v>4</x:v>
      </x:c>
      <x:c r="Q365" s="22" t="str">
        <x:v>["S1244"]</x:v>
      </x:c>
      <x:c r="R365" s="22" t="str">
        <x:v>evidence/student_evidence.jsonl；student_key=2026春:268520</x:v>
      </x:c>
      <x:c r="S365" s="27" t="str">
        <x:v>同一锚点起止1条：未形成独立重复测量。</x:v>
      </x:c>
    </x:row>
    <x:row r="366" ht="48" customHeight="1">
      <x:c r="A366" s="21" t="str">
        <x:v>全量观察(探索)</x:v>
      </x:c>
      <x:c r="B366" s="22" t="str">
        <x:v>四项原始熵权对照</x:v>
      </x:c>
      <x:c r="C366" s="22" t="str">
        <x:v>后20%</x:v>
      </x:c>
      <x:c r="D366" s="22" t="str">
        <x:v>严格进入</x:v>
      </x:c>
      <x:c r="E366" s="22" t="str">
        <x:v>2025秋:258274</x:v>
      </x:c>
      <x:c r="F366" s="22" t="str">
        <x:v>s3</x:v>
      </x:c>
      <x:c r="G366" s="26" t="n">
        <x:v>162</x:v>
      </x:c>
      <x:c r="H366" s="25" t="n">
        <x:v>1.7119824577565945</x:v>
      </x:c>
      <x:c r="I366" s="24" t="n">
        <x:v>1</x:v>
      </x:c>
      <x:c r="J366" s="24" t="n">
        <x:v>1</x:v>
      </x:c>
      <x:c r="K366" s="22" t="str">
        <x:v>是</x:v>
      </x:c>
      <x:c r="L366" s="22" t="n">
        <x:v>0</x:v>
      </x:c>
      <x:c r="M366" s="22" t="n">
        <x:v>0</x:v>
      </x:c>
      <x:c r="N366" s="22" t="n">
        <x:v>0</x:v>
      </x:c>
      <x:c r="O366" s="22" t="n">
        <x:v>1.7119824577565945</x:v>
      </x:c>
      <x:c r="P366" s="24" t="n">
        <x:v>4</x:v>
      </x:c>
      <x:c r="Q366" s="22" t="str">
        <x:v>["S0275"]</x:v>
      </x:c>
      <x:c r="R366" s="22" t="str">
        <x:v>evidence/student_evidence.jsonl；student_key=2025秋:258274</x:v>
      </x:c>
      <x:c r="S366" s="27" t="str">
        <x:v>同一锚点起止1条：未形成独立重复测量。</x:v>
      </x:c>
    </x:row>
    <x:row r="367" ht="23" customHeight="1">
      <x:c r="A367" s="21" t="str">
        <x:v>全量观察(探索)</x:v>
      </x:c>
      <x:c r="B367" s="22" t="str">
        <x:v>四项原始熵权对照</x:v>
      </x:c>
      <x:c r="C367" s="22" t="str">
        <x:v>后20%</x:v>
      </x:c>
      <x:c r="D367" s="22" t="str">
        <x:v>严格进入</x:v>
      </x:c>
      <x:c r="E367" s="22" t="str">
        <x:v>2025秋:258862</x:v>
      </x:c>
      <x:c r="F367" s="22" t="str">
        <x:v>s3</x:v>
      </x:c>
      <x:c r="G367" s="26" t="n">
        <x:v>162</x:v>
      </x:c>
      <x:c r="H367" s="25" t="n">
        <x:v>1.7119824577565945</x:v>
      </x:c>
      <x:c r="I367" s="24" t="n">
        <x:v>1</x:v>
      </x:c>
      <x:c r="J367" s="24" t="n">
        <x:v>1</x:v>
      </x:c>
      <x:c r="K367" s="22" t="str">
        <x:v>否</x:v>
      </x:c>
      <x:c r="L367" s="22" t="n">
        <x:v>0</x:v>
      </x:c>
      <x:c r="M367" s="22" t="n">
        <x:v>0</x:v>
      </x:c>
      <x:c r="N367" s="22" t="n">
        <x:v>0</x:v>
      </x:c>
      <x:c r="O367" s="22" t="n">
        <x:v>1.7119824577565945</x:v>
      </x:c>
      <x:c r="P367" s="24" t="n">
        <x:v>4</x:v>
      </x:c>
      <x:c r="Q367" s="22" t="str">
        <x:v>["S0151"]</x:v>
      </x:c>
      <x:c r="R367" s="22" t="str">
        <x:v>evidence/student_evidence.jsonl；student_key=2025秋:258862</x:v>
      </x:c>
      <x:c r="S367" s="27" t="str"/>
    </x:row>
    <x:row r="368" ht="23" customHeight="1">
      <x:c r="A368" s="21" t="str">
        <x:v>全量观察(探索)</x:v>
      </x:c>
      <x:c r="B368" s="22" t="str">
        <x:v>四项原始熵权对照</x:v>
      </x:c>
      <x:c r="C368" s="22" t="str">
        <x:v>后20%</x:v>
      </x:c>
      <x:c r="D368" s="22" t="str">
        <x:v>严格进入</x:v>
      </x:c>
      <x:c r="E368" s="22" t="str">
        <x:v>2025秋:258907</x:v>
      </x:c>
      <x:c r="F368" s="22" t="str">
        <x:v>s3</x:v>
      </x:c>
      <x:c r="G368" s="26" t="n">
        <x:v>162</x:v>
      </x:c>
      <x:c r="H368" s="25" t="n">
        <x:v>1.7119824577565945</x:v>
      </x:c>
      <x:c r="I368" s="24" t="n">
        <x:v>1</x:v>
      </x:c>
      <x:c r="J368" s="24" t="n">
        <x:v>1</x:v>
      </x:c>
      <x:c r="K368" s="22" t="str">
        <x:v>否</x:v>
      </x:c>
      <x:c r="L368" s="22" t="n">
        <x:v>0</x:v>
      </x:c>
      <x:c r="M368" s="22" t="n">
        <x:v>0</x:v>
      </x:c>
      <x:c r="N368" s="22" t="n">
        <x:v>0</x:v>
      </x:c>
      <x:c r="O368" s="22" t="n">
        <x:v>1.7119824577565945</x:v>
      </x:c>
      <x:c r="P368" s="24" t="n">
        <x:v>4</x:v>
      </x:c>
      <x:c r="Q368" s="22" t="str">
        <x:v>["S0269"]</x:v>
      </x:c>
      <x:c r="R368" s="22" t="str">
        <x:v>evidence/student_evidence.jsonl；student_key=2025秋:258907</x:v>
      </x:c>
      <x:c r="S368" s="27" t="str"/>
    </x:row>
    <x:row r="369" ht="48" customHeight="1">
      <x:c r="A369" s="21" t="str">
        <x:v>全量观察(探索)</x:v>
      </x:c>
      <x:c r="B369" s="22" t="str">
        <x:v>四项原始熵权对照</x:v>
      </x:c>
      <x:c r="C369" s="22" t="str">
        <x:v>后20%</x:v>
      </x:c>
      <x:c r="D369" s="22" t="str">
        <x:v>严格进入</x:v>
      </x:c>
      <x:c r="E369" s="22" t="str">
        <x:v>2025秋:258908</x:v>
      </x:c>
      <x:c r="F369" s="22" t="str">
        <x:v>s3</x:v>
      </x:c>
      <x:c r="G369" s="26" t="n">
        <x:v>162</x:v>
      </x:c>
      <x:c r="H369" s="25" t="n">
        <x:v>1.7119824577565945</x:v>
      </x:c>
      <x:c r="I369" s="24" t="n">
        <x:v>1</x:v>
      </x:c>
      <x:c r="J369" s="24" t="n">
        <x:v>1</x:v>
      </x:c>
      <x:c r="K369" s="22" t="str">
        <x:v>否</x:v>
      </x:c>
      <x:c r="L369" s="22" t="n">
        <x:v>0</x:v>
      </x:c>
      <x:c r="M369" s="22" t="n">
        <x:v>0</x:v>
      </x:c>
      <x:c r="N369" s="22" t="n">
        <x:v>0</x:v>
      </x:c>
      <x:c r="O369" s="22" t="n">
        <x:v>1.7119824577565945</x:v>
      </x:c>
      <x:c r="P369" s="24" t="n">
        <x:v>4</x:v>
      </x:c>
      <x:c r="Q369" s="22" t="str">
        <x:v>["S0292"]</x:v>
      </x:c>
      <x:c r="R369" s="22" t="str">
        <x:v>evidence/student_evidence.jsonl；student_key=2025秋:258908</x:v>
      </x:c>
      <x:c r="S369" s="27" t="str">
        <x:v>同一锚点起止1条：未形成独立重复测量。</x:v>
      </x:c>
    </x:row>
    <x:row r="370" ht="23" customHeight="1">
      <x:c r="A370" s="21" t="str">
        <x:v>全量观察(探索)</x:v>
      </x:c>
      <x:c r="B370" s="22" t="str">
        <x:v>四项原始熵权对照</x:v>
      </x:c>
      <x:c r="C370" s="22" t="str">
        <x:v>后20%</x:v>
      </x:c>
      <x:c r="D370" s="22" t="str">
        <x:v>严格进入</x:v>
      </x:c>
      <x:c r="E370" s="22" t="str">
        <x:v>2025秋:258912</x:v>
      </x:c>
      <x:c r="F370" s="22" t="str">
        <x:v>s3</x:v>
      </x:c>
      <x:c r="G370" s="26" t="n">
        <x:v>162</x:v>
      </x:c>
      <x:c r="H370" s="25" t="n">
        <x:v>1.7119824577565945</x:v>
      </x:c>
      <x:c r="I370" s="24" t="n">
        <x:v>1</x:v>
      </x:c>
      <x:c r="J370" s="24" t="n">
        <x:v>1</x:v>
      </x:c>
      <x:c r="K370" s="22" t="str">
        <x:v>是</x:v>
      </x:c>
      <x:c r="L370" s="22" t="n">
        <x:v>0</x:v>
      </x:c>
      <x:c r="M370" s="22" t="n">
        <x:v>0</x:v>
      </x:c>
      <x:c r="N370" s="22" t="n">
        <x:v>0</x:v>
      </x:c>
      <x:c r="O370" s="22" t="n">
        <x:v>1.7119824577565945</x:v>
      </x:c>
      <x:c r="P370" s="24" t="n">
        <x:v>4</x:v>
      </x:c>
      <x:c r="Q370" s="22" t="str">
        <x:v>["S0092"]</x:v>
      </x:c>
      <x:c r="R370" s="22" t="str">
        <x:v>evidence/student_evidence.jsonl；student_key=2025秋:258912</x:v>
      </x:c>
      <x:c r="S370" s="27" t="str"/>
    </x:row>
    <x:row r="371" ht="48" customHeight="1">
      <x:c r="A371" s="21" t="str">
        <x:v>全量观察(探索)</x:v>
      </x:c>
      <x:c r="B371" s="22" t="str">
        <x:v>四项原始熵权对照</x:v>
      </x:c>
      <x:c r="C371" s="22" t="str">
        <x:v>后20%</x:v>
      </x:c>
      <x:c r="D371" s="22" t="str">
        <x:v>严格进入</x:v>
      </x:c>
      <x:c r="E371" s="22" t="str">
        <x:v>2025秋:258918</x:v>
      </x:c>
      <x:c r="F371" s="22" t="str">
        <x:v>s3</x:v>
      </x:c>
      <x:c r="G371" s="26" t="n">
        <x:v>162</x:v>
      </x:c>
      <x:c r="H371" s="25" t="n">
        <x:v>1.7119824577565945</x:v>
      </x:c>
      <x:c r="I371" s="24" t="n">
        <x:v>1</x:v>
      </x:c>
      <x:c r="J371" s="24" t="n">
        <x:v>1</x:v>
      </x:c>
      <x:c r="K371" s="22" t="str">
        <x:v>否</x:v>
      </x:c>
      <x:c r="L371" s="22" t="n">
        <x:v>0</x:v>
      </x:c>
      <x:c r="M371" s="22" t="n">
        <x:v>0</x:v>
      </x:c>
      <x:c r="N371" s="22" t="n">
        <x:v>0</x:v>
      </x:c>
      <x:c r="O371" s="22" t="n">
        <x:v>1.7119824577565945</x:v>
      </x:c>
      <x:c r="P371" s="24" t="n">
        <x:v>4</x:v>
      </x:c>
      <x:c r="Q371" s="22" t="str">
        <x:v>["S0287"]</x:v>
      </x:c>
      <x:c r="R371" s="22" t="str">
        <x:v>evidence/student_evidence.jsonl；student_key=2025秋:258918</x:v>
      </x:c>
      <x:c r="S371" s="27" t="str">
        <x:v>同一锚点起止1条：未形成独立重复测量。</x:v>
      </x:c>
    </x:row>
    <x:row r="372" ht="48" customHeight="1">
      <x:c r="A372" s="21" t="str">
        <x:v>全量观察(探索)</x:v>
      </x:c>
      <x:c r="B372" s="22" t="str">
        <x:v>四项原始熵权对照</x:v>
      </x:c>
      <x:c r="C372" s="22" t="str">
        <x:v>后20%</x:v>
      </x:c>
      <x:c r="D372" s="22" t="str">
        <x:v>严格进入</x:v>
      </x:c>
      <x:c r="E372" s="22" t="str">
        <x:v>2025秋:258923</x:v>
      </x:c>
      <x:c r="F372" s="22" t="str">
        <x:v>s3</x:v>
      </x:c>
      <x:c r="G372" s="26" t="n">
        <x:v>162</x:v>
      </x:c>
      <x:c r="H372" s="25" t="n">
        <x:v>1.7119824577565945</x:v>
      </x:c>
      <x:c r="I372" s="24" t="n">
        <x:v>1</x:v>
      </x:c>
      <x:c r="J372" s="24" t="n">
        <x:v>1</x:v>
      </x:c>
      <x:c r="K372" s="22" t="str">
        <x:v>是</x:v>
      </x:c>
      <x:c r="L372" s="22" t="n">
        <x:v>0</x:v>
      </x:c>
      <x:c r="M372" s="22" t="n">
        <x:v>0</x:v>
      </x:c>
      <x:c r="N372" s="22" t="n">
        <x:v>0</x:v>
      </x:c>
      <x:c r="O372" s="22" t="n">
        <x:v>1.7119824577565945</x:v>
      </x:c>
      <x:c r="P372" s="24" t="n">
        <x:v>4</x:v>
      </x:c>
      <x:c r="Q372" s="22" t="str">
        <x:v>["S0120"]</x:v>
      </x:c>
      <x:c r="R372" s="22" t="str">
        <x:v>evidence/student_evidence.jsonl；student_key=2025秋:258923</x:v>
      </x:c>
      <x:c r="S372" s="27" t="str">
        <x:v>同一锚点起止1条：未形成独立重复测量。</x:v>
      </x:c>
    </x:row>
    <x:row r="373" ht="48" customHeight="1">
      <x:c r="A373" s="21" t="str">
        <x:v>全量观察(探索)</x:v>
      </x:c>
      <x:c r="B373" s="22" t="str">
        <x:v>四项原始熵权对照</x:v>
      </x:c>
      <x:c r="C373" s="22" t="str">
        <x:v>后20%</x:v>
      </x:c>
      <x:c r="D373" s="22" t="str">
        <x:v>严格进入</x:v>
      </x:c>
      <x:c r="E373" s="22" t="str">
        <x:v>2025秋:258945</x:v>
      </x:c>
      <x:c r="F373" s="22" t="str">
        <x:v>s3</x:v>
      </x:c>
      <x:c r="G373" s="26" t="n">
        <x:v>162</x:v>
      </x:c>
      <x:c r="H373" s="25" t="n">
        <x:v>1.7119824577565945</x:v>
      </x:c>
      <x:c r="I373" s="24" t="n">
        <x:v>1</x:v>
      </x:c>
      <x:c r="J373" s="24" t="n">
        <x:v>1</x:v>
      </x:c>
      <x:c r="K373" s="22" t="str">
        <x:v>否</x:v>
      </x:c>
      <x:c r="L373" s="22" t="n">
        <x:v>0</x:v>
      </x:c>
      <x:c r="M373" s="22" t="n">
        <x:v>0</x:v>
      </x:c>
      <x:c r="N373" s="22" t="n">
        <x:v>0</x:v>
      </x:c>
      <x:c r="O373" s="22" t="n">
        <x:v>1.7119824577565945</x:v>
      </x:c>
      <x:c r="P373" s="24" t="n">
        <x:v>4</x:v>
      </x:c>
      <x:c r="Q373" s="22" t="str">
        <x:v>["S0048"]</x:v>
      </x:c>
      <x:c r="R373" s="22" t="str">
        <x:v>evidence/student_evidence.jsonl；student_key=2025秋:258945</x:v>
      </x:c>
      <x:c r="S373" s="27" t="str">
        <x:v>同一锚点起止1条：未形成独立重复测量。</x:v>
      </x:c>
    </x:row>
    <x:row r="374" ht="23" customHeight="1">
      <x:c r="A374" s="21" t="str">
        <x:v>全量观察(探索)</x:v>
      </x:c>
      <x:c r="B374" s="22" t="str">
        <x:v>四项原始熵权对照</x:v>
      </x:c>
      <x:c r="C374" s="22" t="str">
        <x:v>后20%</x:v>
      </x:c>
      <x:c r="D374" s="22" t="str">
        <x:v>严格进入</x:v>
      </x:c>
      <x:c r="E374" s="22" t="str">
        <x:v>2025秋:259059</x:v>
      </x:c>
      <x:c r="F374" s="22" t="str">
        <x:v>s3</x:v>
      </x:c>
      <x:c r="G374" s="26" t="n">
        <x:v>162</x:v>
      </x:c>
      <x:c r="H374" s="25" t="n">
        <x:v>1.7119824577565945</x:v>
      </x:c>
      <x:c r="I374" s="24" t="n">
        <x:v>1</x:v>
      </x:c>
      <x:c r="J374" s="24" t="n">
        <x:v>1</x:v>
      </x:c>
      <x:c r="K374" s="22" t="str">
        <x:v>是</x:v>
      </x:c>
      <x:c r="L374" s="22" t="n">
        <x:v>0</x:v>
      </x:c>
      <x:c r="M374" s="22" t="n">
        <x:v>0</x:v>
      </x:c>
      <x:c r="N374" s="22" t="n">
        <x:v>0</x:v>
      </x:c>
      <x:c r="O374" s="22" t="n">
        <x:v>1.7119824577565945</x:v>
      </x:c>
      <x:c r="P374" s="24" t="n">
        <x:v>4</x:v>
      </x:c>
      <x:c r="Q374" s="22" t="str">
        <x:v>["S0426"]</x:v>
      </x:c>
      <x:c r="R374" s="22" t="str">
        <x:v>evidence/student_evidence.jsonl；student_key=2025秋:259059</x:v>
      </x:c>
      <x:c r="S374" s="27" t="str"/>
    </x:row>
    <x:row r="375" ht="23" customHeight="1">
      <x:c r="A375" s="21" t="str">
        <x:v>全量观察(探索)</x:v>
      </x:c>
      <x:c r="B375" s="22" t="str">
        <x:v>四项原始熵权对照</x:v>
      </x:c>
      <x:c r="C375" s="22" t="str">
        <x:v>后20%</x:v>
      </x:c>
      <x:c r="D375" s="22" t="str">
        <x:v>严格进入</x:v>
      </x:c>
      <x:c r="E375" s="22" t="str">
        <x:v>2025秋:259106</x:v>
      </x:c>
      <x:c r="F375" s="22" t="str">
        <x:v>s3</x:v>
      </x:c>
      <x:c r="G375" s="26" t="n">
        <x:v>162</x:v>
      </x:c>
      <x:c r="H375" s="25" t="n">
        <x:v>1.7119824577565945</x:v>
      </x:c>
      <x:c r="I375" s="24" t="n">
        <x:v>1</x:v>
      </x:c>
      <x:c r="J375" s="24" t="n">
        <x:v>1</x:v>
      </x:c>
      <x:c r="K375" s="22" t="str">
        <x:v>是</x:v>
      </x:c>
      <x:c r="L375" s="22" t="n">
        <x:v>0</x:v>
      </x:c>
      <x:c r="M375" s="22" t="n">
        <x:v>0</x:v>
      </x:c>
      <x:c r="N375" s="22" t="n">
        <x:v>0</x:v>
      </x:c>
      <x:c r="O375" s="22" t="n">
        <x:v>1.7119824577565945</x:v>
      </x:c>
      <x:c r="P375" s="24" t="n">
        <x:v>4</x:v>
      </x:c>
      <x:c r="Q375" s="22" t="str">
        <x:v>["S0005"]</x:v>
      </x:c>
      <x:c r="R375" s="22" t="str">
        <x:v>evidence/student_evidence.jsonl；student_key=2025秋:259106</x:v>
      </x:c>
      <x:c r="S375" s="27" t="str"/>
    </x:row>
    <x:row r="376" ht="23" customHeight="1">
      <x:c r="A376" s="21" t="str">
        <x:v>全量观察(探索)</x:v>
      </x:c>
      <x:c r="B376" s="22" t="str">
        <x:v>四项原始熵权对照</x:v>
      </x:c>
      <x:c r="C376" s="22" t="str">
        <x:v>后20%</x:v>
      </x:c>
      <x:c r="D376" s="22" t="str">
        <x:v>严格进入</x:v>
      </x:c>
      <x:c r="E376" s="22" t="str">
        <x:v>2025秋:259315</x:v>
      </x:c>
      <x:c r="F376" s="22" t="str">
        <x:v>s3</x:v>
      </x:c>
      <x:c r="G376" s="26" t="n">
        <x:v>162</x:v>
      </x:c>
      <x:c r="H376" s="25" t="n">
        <x:v>1.7119824577565945</x:v>
      </x:c>
      <x:c r="I376" s="24" t="n">
        <x:v>1</x:v>
      </x:c>
      <x:c r="J376" s="24" t="n">
        <x:v>1</x:v>
      </x:c>
      <x:c r="K376" s="22" t="str">
        <x:v>是</x:v>
      </x:c>
      <x:c r="L376" s="22" t="n">
        <x:v>0</x:v>
      </x:c>
      <x:c r="M376" s="22" t="n">
        <x:v>0</x:v>
      </x:c>
      <x:c r="N376" s="22" t="n">
        <x:v>0</x:v>
      </x:c>
      <x:c r="O376" s="22" t="n">
        <x:v>1.7119824577565945</x:v>
      </x:c>
      <x:c r="P376" s="24" t="n">
        <x:v>4</x:v>
      </x:c>
      <x:c r="Q376" s="22" t="str">
        <x:v>["S0405"]</x:v>
      </x:c>
      <x:c r="R376" s="22" t="str">
        <x:v>evidence/student_evidence.jsonl；student_key=2025秋:259315</x:v>
      </x:c>
      <x:c r="S376" s="27" t="str"/>
    </x:row>
    <x:row r="377" ht="48" customHeight="1">
      <x:c r="A377" s="21" t="str">
        <x:v>全量观察(探索)</x:v>
      </x:c>
      <x:c r="B377" s="22" t="str">
        <x:v>四项原始熵权对照</x:v>
      </x:c>
      <x:c r="C377" s="22" t="str">
        <x:v>后20%</x:v>
      </x:c>
      <x:c r="D377" s="22" t="str">
        <x:v>严格进入</x:v>
      </x:c>
      <x:c r="E377" s="22" t="str">
        <x:v>2025秋:259346</x:v>
      </x:c>
      <x:c r="F377" s="22" t="str">
        <x:v>s3</x:v>
      </x:c>
      <x:c r="G377" s="26" t="n">
        <x:v>162</x:v>
      </x:c>
      <x:c r="H377" s="25" t="n">
        <x:v>1.7119824577565945</x:v>
      </x:c>
      <x:c r="I377" s="24" t="n">
        <x:v>1</x:v>
      </x:c>
      <x:c r="J377" s="24" t="n">
        <x:v>1</x:v>
      </x:c>
      <x:c r="K377" s="22" t="str">
        <x:v>是</x:v>
      </x:c>
      <x:c r="L377" s="22" t="n">
        <x:v>0</x:v>
      </x:c>
      <x:c r="M377" s="22" t="n">
        <x:v>0</x:v>
      </x:c>
      <x:c r="N377" s="22" t="n">
        <x:v>0</x:v>
      </x:c>
      <x:c r="O377" s="22" t="n">
        <x:v>1.7119824577565945</x:v>
      </x:c>
      <x:c r="P377" s="24" t="n">
        <x:v>4</x:v>
      </x:c>
      <x:c r="Q377" s="22" t="str">
        <x:v>["S0672"]</x:v>
      </x:c>
      <x:c r="R377" s="22" t="str">
        <x:v>evidence/student_evidence.jsonl；student_key=2025秋:259346</x:v>
      </x:c>
      <x:c r="S377" s="27" t="str">
        <x:v>同一锚点起止1条：未形成独立重复测量。</x:v>
      </x:c>
    </x:row>
    <x:row r="378" ht="23" customHeight="1">
      <x:c r="A378" s="21" t="str">
        <x:v>全量观察(探索)</x:v>
      </x:c>
      <x:c r="B378" s="22" t="str">
        <x:v>四项原始熵权对照</x:v>
      </x:c>
      <x:c r="C378" s="22" t="str">
        <x:v>后20%</x:v>
      </x:c>
      <x:c r="D378" s="22" t="str">
        <x:v>严格进入</x:v>
      </x:c>
      <x:c r="E378" s="22" t="str">
        <x:v>2025秋:259405</x:v>
      </x:c>
      <x:c r="F378" s="22" t="str">
        <x:v>s3</x:v>
      </x:c>
      <x:c r="G378" s="26" t="n">
        <x:v>162</x:v>
      </x:c>
      <x:c r="H378" s="25" t="n">
        <x:v>1.7119824577565945</x:v>
      </x:c>
      <x:c r="I378" s="24" t="n">
        <x:v>1</x:v>
      </x:c>
      <x:c r="J378" s="24" t="n">
        <x:v>1</x:v>
      </x:c>
      <x:c r="K378" s="22" t="str">
        <x:v>否</x:v>
      </x:c>
      <x:c r="L378" s="22" t="n">
        <x:v>0</x:v>
      </x:c>
      <x:c r="M378" s="22" t="n">
        <x:v>0</x:v>
      </x:c>
      <x:c r="N378" s="22" t="n">
        <x:v>0</x:v>
      </x:c>
      <x:c r="O378" s="22" t="n">
        <x:v>1.7119824577565945</x:v>
      </x:c>
      <x:c r="P378" s="24" t="n">
        <x:v>4</x:v>
      </x:c>
      <x:c r="Q378" s="22" t="str">
        <x:v>["S0219"]</x:v>
      </x:c>
      <x:c r="R378" s="22" t="str">
        <x:v>evidence/student_evidence.jsonl；student_key=2025秋:259405</x:v>
      </x:c>
      <x:c r="S378" s="27" t="str"/>
    </x:row>
    <x:row r="379" ht="23" customHeight="1">
      <x:c r="A379" s="21" t="str">
        <x:v>全量观察(探索)</x:v>
      </x:c>
      <x:c r="B379" s="22" t="str">
        <x:v>四项原始熵权对照</x:v>
      </x:c>
      <x:c r="C379" s="22" t="str">
        <x:v>后20%</x:v>
      </x:c>
      <x:c r="D379" s="22" t="str">
        <x:v>严格进入</x:v>
      </x:c>
      <x:c r="E379" s="22" t="str">
        <x:v>2025秋:259422</x:v>
      </x:c>
      <x:c r="F379" s="22" t="str">
        <x:v>s3</x:v>
      </x:c>
      <x:c r="G379" s="26" t="n">
        <x:v>162</x:v>
      </x:c>
      <x:c r="H379" s="25" t="n">
        <x:v>1.7119824577565945</x:v>
      </x:c>
      <x:c r="I379" s="24" t="n">
        <x:v>1</x:v>
      </x:c>
      <x:c r="J379" s="24" t="n">
        <x:v>1</x:v>
      </x:c>
      <x:c r="K379" s="22" t="str">
        <x:v>是</x:v>
      </x:c>
      <x:c r="L379" s="22" t="n">
        <x:v>0</x:v>
      </x:c>
      <x:c r="M379" s="22" t="n">
        <x:v>0</x:v>
      </x:c>
      <x:c r="N379" s="22" t="n">
        <x:v>0</x:v>
      </x:c>
      <x:c r="O379" s="22" t="n">
        <x:v>1.7119824577565945</x:v>
      </x:c>
      <x:c r="P379" s="24" t="n">
        <x:v>4</x:v>
      </x:c>
      <x:c r="Q379" s="22" t="str">
        <x:v>["S0421"]</x:v>
      </x:c>
      <x:c r="R379" s="22" t="str">
        <x:v>evidence/student_evidence.jsonl；student_key=2025秋:259422</x:v>
      </x:c>
      <x:c r="S379" s="27" t="str"/>
    </x:row>
    <x:row r="380" ht="48" customHeight="1">
      <x:c r="A380" s="21" t="str">
        <x:v>全量观察(探索)</x:v>
      </x:c>
      <x:c r="B380" s="22" t="str">
        <x:v>四项原始熵权对照</x:v>
      </x:c>
      <x:c r="C380" s="22" t="str">
        <x:v>后20%</x:v>
      </x:c>
      <x:c r="D380" s="22" t="str">
        <x:v>严格进入</x:v>
      </x:c>
      <x:c r="E380" s="22" t="str">
        <x:v>2025秋:259927</x:v>
      </x:c>
      <x:c r="F380" s="22" t="str">
        <x:v>s3</x:v>
      </x:c>
      <x:c r="G380" s="26" t="n">
        <x:v>162</x:v>
      </x:c>
      <x:c r="H380" s="25" t="n">
        <x:v>1.7119824577565945</x:v>
      </x:c>
      <x:c r="I380" s="24" t="n">
        <x:v>1</x:v>
      </x:c>
      <x:c r="J380" s="24" t="n">
        <x:v>1</x:v>
      </x:c>
      <x:c r="K380" s="22" t="str">
        <x:v>否</x:v>
      </x:c>
      <x:c r="L380" s="22" t="n">
        <x:v>0</x:v>
      </x:c>
      <x:c r="M380" s="22" t="n">
        <x:v>0</x:v>
      </x:c>
      <x:c r="N380" s="22" t="n">
        <x:v>0</x:v>
      </x:c>
      <x:c r="O380" s="22" t="n">
        <x:v>1.7119824577565945</x:v>
      </x:c>
      <x:c r="P380" s="24" t="n">
        <x:v>4</x:v>
      </x:c>
      <x:c r="Q380" s="22" t="str">
        <x:v>["S0271"]</x:v>
      </x:c>
      <x:c r="R380" s="22" t="str">
        <x:v>evidence/student_evidence.jsonl；student_key=2025秋:259927</x:v>
      </x:c>
      <x:c r="S380" s="27" t="str">
        <x:v>同一锚点起止1条：未形成独立重复测量。</x:v>
      </x:c>
    </x:row>
    <x:row r="381" ht="23" customHeight="1">
      <x:c r="A381" s="21" t="str">
        <x:v>全量观察(探索)</x:v>
      </x:c>
      <x:c r="B381" s="22" t="str">
        <x:v>四项原始熵权对照</x:v>
      </x:c>
      <x:c r="C381" s="22" t="str">
        <x:v>后20%</x:v>
      </x:c>
      <x:c r="D381" s="22" t="str">
        <x:v>严格进入</x:v>
      </x:c>
      <x:c r="E381" s="22" t="str">
        <x:v>2025秋:259958</x:v>
      </x:c>
      <x:c r="F381" s="22" t="str">
        <x:v>s3</x:v>
      </x:c>
      <x:c r="G381" s="26" t="n">
        <x:v>162</x:v>
      </x:c>
      <x:c r="H381" s="25" t="n">
        <x:v>1.7119824577565945</x:v>
      </x:c>
      <x:c r="I381" s="24" t="n">
        <x:v>1</x:v>
      </x:c>
      <x:c r="J381" s="24" t="n">
        <x:v>1</x:v>
      </x:c>
      <x:c r="K381" s="22" t="str">
        <x:v>是</x:v>
      </x:c>
      <x:c r="L381" s="22" t="n">
        <x:v>0</x:v>
      </x:c>
      <x:c r="M381" s="22" t="n">
        <x:v>0</x:v>
      </x:c>
      <x:c r="N381" s="22" t="n">
        <x:v>0</x:v>
      </x:c>
      <x:c r="O381" s="22" t="n">
        <x:v>1.7119824577565945</x:v>
      </x:c>
      <x:c r="P381" s="24" t="n">
        <x:v>4</x:v>
      </x:c>
      <x:c r="Q381" s="22" t="str">
        <x:v>["S0183"]</x:v>
      </x:c>
      <x:c r="R381" s="22" t="str">
        <x:v>evidence/student_evidence.jsonl；student_key=2025秋:259958</x:v>
      </x:c>
      <x:c r="S381" s="27" t="str"/>
    </x:row>
    <x:row r="382" ht="48" customHeight="1">
      <x:c r="A382" s="21" t="str">
        <x:v>全量观察(探索)</x:v>
      </x:c>
      <x:c r="B382" s="22" t="str">
        <x:v>四项原始熵权对照</x:v>
      </x:c>
      <x:c r="C382" s="22" t="str">
        <x:v>后20%</x:v>
      </x:c>
      <x:c r="D382" s="22" t="str">
        <x:v>严格进入</x:v>
      </x:c>
      <x:c r="E382" s="22" t="str">
        <x:v>2025秋:25A171</x:v>
      </x:c>
      <x:c r="F382" s="22" t="str">
        <x:v>s3</x:v>
      </x:c>
      <x:c r="G382" s="26" t="n">
        <x:v>162</x:v>
      </x:c>
      <x:c r="H382" s="25" t="n">
        <x:v>1.7119824577565945</x:v>
      </x:c>
      <x:c r="I382" s="24" t="n">
        <x:v>1</x:v>
      </x:c>
      <x:c r="J382" s="24" t="n">
        <x:v>1</x:v>
      </x:c>
      <x:c r="K382" s="22" t="str">
        <x:v>是</x:v>
      </x:c>
      <x:c r="L382" s="22" t="n">
        <x:v>0</x:v>
      </x:c>
      <x:c r="M382" s="22" t="n">
        <x:v>0</x:v>
      </x:c>
      <x:c r="N382" s="22" t="n">
        <x:v>0</x:v>
      </x:c>
      <x:c r="O382" s="22" t="n">
        <x:v>1.7119824577565945</x:v>
      </x:c>
      <x:c r="P382" s="24" t="n">
        <x:v>4</x:v>
      </x:c>
      <x:c r="Q382" s="22" t="str">
        <x:v>["S0258"]</x:v>
      </x:c>
      <x:c r="R382" s="22" t="str">
        <x:v>evidence/student_evidence.jsonl；student_key=2025秋:25A171</x:v>
      </x:c>
      <x:c r="S382" s="27" t="str">
        <x:v>同一锚点起止1条：未形成独立重复测量。</x:v>
      </x:c>
    </x:row>
    <x:row r="383" ht="48" customHeight="1">
      <x:c r="A383" s="21" t="str">
        <x:v>全量观察(探索)</x:v>
      </x:c>
      <x:c r="B383" s="22" t="str">
        <x:v>四项原始熵权对照</x:v>
      </x:c>
      <x:c r="C383" s="22" t="str">
        <x:v>后20%</x:v>
      </x:c>
      <x:c r="D383" s="22" t="str">
        <x:v>严格进入</x:v>
      </x:c>
      <x:c r="E383" s="22" t="str">
        <x:v>2026春:250845</x:v>
      </x:c>
      <x:c r="F383" s="22" t="str">
        <x:v>s6</x:v>
      </x:c>
      <x:c r="G383" s="26" t="n">
        <x:v>162</x:v>
      </x:c>
      <x:c r="H383" s="25" t="n">
        <x:v>1.7119824577565945</x:v>
      </x:c>
      <x:c r="I383" s="24" t="n">
        <x:v>1</x:v>
      </x:c>
      <x:c r="J383" s="24" t="n">
        <x:v>1</x:v>
      </x:c>
      <x:c r="K383" s="22" t="str">
        <x:v>是</x:v>
      </x:c>
      <x:c r="L383" s="22" t="n">
        <x:v>0</x:v>
      </x:c>
      <x:c r="M383" s="22" t="n">
        <x:v>0</x:v>
      </x:c>
      <x:c r="N383" s="22" t="n">
        <x:v>0</x:v>
      </x:c>
      <x:c r="O383" s="22" t="n">
        <x:v>1.7119824577565945</x:v>
      </x:c>
      <x:c r="P383" s="24" t="n">
        <x:v>4</x:v>
      </x:c>
      <x:c r="Q383" s="22" t="str">
        <x:v>["S0825"]</x:v>
      </x:c>
      <x:c r="R383" s="22" t="str">
        <x:v>evidence/student_evidence.jsonl；student_key=2026春:250845</x:v>
      </x:c>
      <x:c r="S383" s="27" t="str">
        <x:v>同一锚点起止1条：未形成独立重复测量。</x:v>
      </x:c>
    </x:row>
    <x:row r="384" ht="23" customHeight="1">
      <x:c r="A384" s="21" t="str">
        <x:v>全量观察(探索)</x:v>
      </x:c>
      <x:c r="B384" s="22" t="str">
        <x:v>四项原始熵权对照</x:v>
      </x:c>
      <x:c r="C384" s="22" t="str">
        <x:v>后20%</x:v>
      </x:c>
      <x:c r="D384" s="22" t="str">
        <x:v>严格进入</x:v>
      </x:c>
      <x:c r="E384" s="22" t="str">
        <x:v>2026春:258955</x:v>
      </x:c>
      <x:c r="F384" s="22" t="str">
        <x:v>s3</x:v>
      </x:c>
      <x:c r="G384" s="26" t="n">
        <x:v>162</x:v>
      </x:c>
      <x:c r="H384" s="25" t="n">
        <x:v>1.7119824577565945</x:v>
      </x:c>
      <x:c r="I384" s="24" t="n">
        <x:v>1</x:v>
      </x:c>
      <x:c r="J384" s="24" t="n">
        <x:v>1</x:v>
      </x:c>
      <x:c r="K384" s="22" t="str">
        <x:v>是</x:v>
      </x:c>
      <x:c r="L384" s="22" t="n">
        <x:v>0</x:v>
      </x:c>
      <x:c r="M384" s="22" t="n">
        <x:v>0</x:v>
      </x:c>
      <x:c r="N384" s="22" t="n">
        <x:v>0</x:v>
      </x:c>
      <x:c r="O384" s="22" t="n">
        <x:v>1.7119824577565945</x:v>
      </x:c>
      <x:c r="P384" s="24" t="n">
        <x:v>4</x:v>
      </x:c>
      <x:c r="Q384" s="22" t="str">
        <x:v>["S0838"]</x:v>
      </x:c>
      <x:c r="R384" s="22" t="str">
        <x:v>evidence/student_evidence.jsonl；student_key=2026春:258955</x:v>
      </x:c>
      <x:c r="S384" s="27" t="str"/>
    </x:row>
    <x:row r="385" ht="23" customHeight="1">
      <x:c r="A385" s="21" t="str">
        <x:v>全量观察(探索)</x:v>
      </x:c>
      <x:c r="B385" s="22" t="str">
        <x:v>四项原始熵权对照</x:v>
      </x:c>
      <x:c r="C385" s="22" t="str">
        <x:v>后20%</x:v>
      </x:c>
      <x:c r="D385" s="22" t="str">
        <x:v>严格进入</x:v>
      </x:c>
      <x:c r="E385" s="22" t="str">
        <x:v>2026春:268176</x:v>
      </x:c>
      <x:c r="F385" s="22" t="str">
        <x:v>s3</x:v>
      </x:c>
      <x:c r="G385" s="26" t="n">
        <x:v>162</x:v>
      </x:c>
      <x:c r="H385" s="25" t="n">
        <x:v>1.7119824577565945</x:v>
      </x:c>
      <x:c r="I385" s="24" t="n">
        <x:v>1</x:v>
      </x:c>
      <x:c r="J385" s="24" t="n">
        <x:v>1</x:v>
      </x:c>
      <x:c r="K385" s="22" t="str">
        <x:v>是</x:v>
      </x:c>
      <x:c r="L385" s="22" t="n">
        <x:v>0</x:v>
      </x:c>
      <x:c r="M385" s="22" t="n">
        <x:v>0</x:v>
      </x:c>
      <x:c r="N385" s="22" t="n">
        <x:v>0</x:v>
      </x:c>
      <x:c r="O385" s="22" t="n">
        <x:v>1.7119824577565945</x:v>
      </x:c>
      <x:c r="P385" s="24" t="n">
        <x:v>4</x:v>
      </x:c>
      <x:c r="Q385" s="22" t="str">
        <x:v>["S1047"]</x:v>
      </x:c>
      <x:c r="R385" s="22" t="str">
        <x:v>evidence/student_evidence.jsonl；student_key=2026春:268176</x:v>
      </x:c>
      <x:c r="S385" s="27" t="str"/>
    </x:row>
    <x:row r="386" ht="23" customHeight="1">
      <x:c r="A386" s="21" t="str">
        <x:v>全量观察(探索)</x:v>
      </x:c>
      <x:c r="B386" s="22" t="str">
        <x:v>四项原始熵权对照</x:v>
      </x:c>
      <x:c r="C386" s="22" t="str">
        <x:v>后20%</x:v>
      </x:c>
      <x:c r="D386" s="22" t="str">
        <x:v>严格进入</x:v>
      </x:c>
      <x:c r="E386" s="22" t="str">
        <x:v>2026春:268538</x:v>
      </x:c>
      <x:c r="F386" s="22" t="str">
        <x:v>s3</x:v>
      </x:c>
      <x:c r="G386" s="26" t="n">
        <x:v>162</x:v>
      </x:c>
      <x:c r="H386" s="25" t="n">
        <x:v>1.7119824577565945</x:v>
      </x:c>
      <x:c r="I386" s="24" t="n">
        <x:v>1</x:v>
      </x:c>
      <x:c r="J386" s="24" t="n">
        <x:v>1</x:v>
      </x:c>
      <x:c r="K386" s="22" t="str">
        <x:v>是</x:v>
      </x:c>
      <x:c r="L386" s="22" t="n">
        <x:v>0</x:v>
      </x:c>
      <x:c r="M386" s="22" t="n">
        <x:v>0</x:v>
      </x:c>
      <x:c r="N386" s="22" t="n">
        <x:v>0</x:v>
      </x:c>
      <x:c r="O386" s="22" t="n">
        <x:v>1.7119824577565945</x:v>
      </x:c>
      <x:c r="P386" s="24" t="n">
        <x:v>4</x:v>
      </x:c>
      <x:c r="Q386" s="22" t="str">
        <x:v>["S1276"]</x:v>
      </x:c>
      <x:c r="R386" s="22" t="str">
        <x:v>evidence/student_evidence.jsonl；student_key=2026春:268538</x:v>
      </x:c>
      <x:c r="S386" s="27" t="str"/>
    </x:row>
    <x:row r="387" ht="48" customHeight="1">
      <x:c r="A387" s="21" t="str">
        <x:v>全量观察(探索)</x:v>
      </x:c>
      <x:c r="B387" s="22" t="str">
        <x:v>四项原始熵权对照</x:v>
      </x:c>
      <x:c r="C387" s="22" t="str">
        <x:v>后20%</x:v>
      </x:c>
      <x:c r="D387" s="22" t="str">
        <x:v>严格进入</x:v>
      </x:c>
      <x:c r="E387" s="22" t="str">
        <x:v>2025秋:258269</x:v>
      </x:c>
      <x:c r="F387" s="22" t="str">
        <x:v>s3</x:v>
      </x:c>
      <x:c r="G387" s="26" t="n">
        <x:v>173.5</x:v>
      </x:c>
      <x:c r="H387" s="25" t="n">
        <x:v>1.1413216385043963</x:v>
      </x:c>
      <x:c r="I387" s="24" t="n">
        <x:v>1</x:v>
      </x:c>
      <x:c r="J387" s="24" t="n">
        <x:v>1</x:v>
      </x:c>
      <x:c r="K387" s="22" t="str">
        <x:v>否</x:v>
      </x:c>
      <x:c r="L387" s="22" t="n">
        <x:v>0</x:v>
      </x:c>
      <x:c r="M387" s="22" t="n">
        <x:v>0</x:v>
      </x:c>
      <x:c r="N387" s="22" t="n">
        <x:v>0</x:v>
      </x:c>
      <x:c r="O387" s="22" t="n">
        <x:v>1.1413216385043963</x:v>
      </x:c>
      <x:c r="P387" s="24" t="n">
        <x:v>4</x:v>
      </x:c>
      <x:c r="Q387" s="22" t="str">
        <x:v>["S0297"]</x:v>
      </x:c>
      <x:c r="R387" s="22" t="str">
        <x:v>evidence/student_evidence.jsonl；student_key=2025秋:258269</x:v>
      </x:c>
      <x:c r="S387" s="27" t="str">
        <x:v>同一锚点起止1条：未形成独立重复测量。</x:v>
      </x:c>
    </x:row>
    <x:row r="388" ht="23" customHeight="1">
      <x:c r="A388" s="21" t="str">
        <x:v>全量观察(探索)</x:v>
      </x:c>
      <x:c r="B388" s="22" t="str">
        <x:v>四项原始熵权对照</x:v>
      </x:c>
      <x:c r="C388" s="22" t="str">
        <x:v>后20%</x:v>
      </x:c>
      <x:c r="D388" s="22" t="str">
        <x:v>严格进入</x:v>
      </x:c>
      <x:c r="E388" s="22" t="str">
        <x:v>2025秋:259001</x:v>
      </x:c>
      <x:c r="F388" s="22" t="str">
        <x:v>s3</x:v>
      </x:c>
      <x:c r="G388" s="26" t="n">
        <x:v>173.5</x:v>
      </x:c>
      <x:c r="H388" s="25" t="n">
        <x:v>1.1413216385043963</x:v>
      </x:c>
      <x:c r="I388" s="24" t="n">
        <x:v>1</x:v>
      </x:c>
      <x:c r="J388" s="24" t="n">
        <x:v>1</x:v>
      </x:c>
      <x:c r="K388" s="22" t="str">
        <x:v>否</x:v>
      </x:c>
      <x:c r="L388" s="22" t="n">
        <x:v>0</x:v>
      </x:c>
      <x:c r="M388" s="22" t="n">
        <x:v>0</x:v>
      </x:c>
      <x:c r="N388" s="22" t="n">
        <x:v>0</x:v>
      </x:c>
      <x:c r="O388" s="22" t="n">
        <x:v>1.1413216385043963</x:v>
      </x:c>
      <x:c r="P388" s="24" t="n">
        <x:v>4</x:v>
      </x:c>
      <x:c r="Q388" s="22" t="str">
        <x:v>["S0159"]</x:v>
      </x:c>
      <x:c r="R388" s="22" t="str">
        <x:v>evidence/student_evidence.jsonl；student_key=2025秋:259001</x:v>
      </x:c>
      <x:c r="S388" s="27" t="str"/>
    </x:row>
    <x:row r="389" ht="48" customHeight="1">
      <x:c r="A389" s="21" t="str">
        <x:v>严格基线调整</x:v>
      </x:c>
      <x:c r="B389" s="22" t="str">
        <x:v>均衡型</x:v>
      </x:c>
      <x:c r="C389" s="22" t="str">
        <x:v>前20%</x:v>
      </x:c>
      <x:c r="D389" s="22" t="str">
        <x:v>严格进入</x:v>
      </x:c>
      <x:c r="E389" s="22" t="str">
        <x:v>2025秋:259329</x:v>
      </x:c>
      <x:c r="F389" s="22" t="str">
        <x:v>s6</x:v>
      </x:c>
      <x:c r="G389" s="26" t="n">
        <x:v>1</x:v>
      </x:c>
      <x:c r="H389" s="25" t="n">
        <x:v>78.64857142857143</x:v>
      </x:c>
      <x:c r="I389" s="24" t="n">
        <x:v>1</x:v>
      </x:c>
      <x:c r="J389" s="24" t="n">
        <x:v>1</x:v>
      </x:c>
      <x:c r="K389" s="22" t="str">
        <x:v>是</x:v>
      </x:c>
      <x:c r="L389" s="22" t="n">
        <x:v>15.802857142857142</x:v>
      </x:c>
      <x:c r="M389" s="22" t="n">
        <x:v>20.52857142857143</x:v>
      </x:c>
      <x:c r="N389" s="22" t="n">
        <x:v>12.317142857142857</x:v>
      </x:c>
      <x:c r="O389" s="22" t="n">
        <x:v>30</x:v>
      </x:c>
      <x:c r="P389" s="24" t="n">
        <x:v>4</x:v>
      </x:c>
      <x:c r="Q389" s="22" t="str">
        <x:v>["S0112"]</x:v>
      </x:c>
      <x:c r="R389" s="22" t="str">
        <x:v>evidence/student_evidence.jsonl；student_key=2025秋:259329</x:v>
      </x:c>
      <x:c r="S389" s="27" t="str">
        <x:v>S0112库存案例为文字框架，未见完整方程、求解及验证；L6构造要求需复核。</x:v>
      </x:c>
    </x:row>
    <x:row r="390" ht="23" customHeight="1">
      <x:c r="A390" s="21" t="str">
        <x:v>严格基线调整</x:v>
      </x:c>
      <x:c r="B390" s="22" t="str">
        <x:v>均衡型</x:v>
      </x:c>
      <x:c r="C390" s="22" t="str">
        <x:v>前20%</x:v>
      </x:c>
      <x:c r="D390" s="22" t="str">
        <x:v>严格进入</x:v>
      </x:c>
      <x:c r="E390" s="22" t="str">
        <x:v>2025秋:258902</x:v>
      </x:c>
      <x:c r="F390" s="22" t="str">
        <x:v>s3</x:v>
      </x:c>
      <x:c r="G390" s="26" t="n">
        <x:v>2.5</x:v>
      </x:c>
      <x:c r="H390" s="25" t="n">
        <x:v>72.77485677638532</x:v>
      </x:c>
      <x:c r="I390" s="24" t="n">
        <x:v>1</x:v>
      </x:c>
      <x:c r="J390" s="24" t="n">
        <x:v>1</x:v>
      </x:c>
      <x:c r="K390" s="22" t="str">
        <x:v>是</x:v>
      </x:c>
      <x:c r="L390" s="22" t="n">
        <x:v>15.457344516257962</x:v>
      </x:c>
      <x:c r="M390" s="22" t="n">
        <x:v>17.0734451625796</x:v>
      </x:c>
      <x:c r="N390" s="22" t="n">
        <x:v>10.24406709754776</x:v>
      </x:c>
      <x:c r="O390" s="22" t="n">
        <x:v>30</x:v>
      </x:c>
      <x:c r="P390" s="24" t="n">
        <x:v>4</x:v>
      </x:c>
      <x:c r="Q390" s="22" t="str">
        <x:v>["S0149"]</x:v>
      </x:c>
      <x:c r="R390" s="22" t="str">
        <x:v>evidence/student_evidence.jsonl；student_key=2025秋:258902</x:v>
      </x:c>
      <x:c r="S390" s="27" t="str"/>
    </x:row>
    <x:row r="391" ht="23" customHeight="1">
      <x:c r="A391" s="21" t="str">
        <x:v>严格基线调整</x:v>
      </x:c>
      <x:c r="B391" s="22" t="str">
        <x:v>均衡型</x:v>
      </x:c>
      <x:c r="C391" s="22" t="str">
        <x:v>前20%</x:v>
      </x:c>
      <x:c r="D391" s="22" t="str">
        <x:v>严格进入</x:v>
      </x:c>
      <x:c r="E391" s="22" t="str">
        <x:v>2025秋:259407</x:v>
      </x:c>
      <x:c r="F391" s="22" t="str">
        <x:v>s3</x:v>
      </x:c>
      <x:c r="G391" s="26" t="n">
        <x:v>2.5</x:v>
      </x:c>
      <x:c r="H391" s="25" t="n">
        <x:v>72.77485677638532</x:v>
      </x:c>
      <x:c r="I391" s="24" t="n">
        <x:v>1</x:v>
      </x:c>
      <x:c r="J391" s="24" t="n">
        <x:v>1</x:v>
      </x:c>
      <x:c r="K391" s="22" t="str">
        <x:v>是</x:v>
      </x:c>
      <x:c r="L391" s="22" t="n">
        <x:v>15.457344516257962</x:v>
      </x:c>
      <x:c r="M391" s="22" t="n">
        <x:v>17.0734451625796</x:v>
      </x:c>
      <x:c r="N391" s="22" t="n">
        <x:v>10.24406709754776</x:v>
      </x:c>
      <x:c r="O391" s="22" t="n">
        <x:v>30</x:v>
      </x:c>
      <x:c r="P391" s="24" t="n">
        <x:v>4</x:v>
      </x:c>
      <x:c r="Q391" s="22" t="str">
        <x:v>["S0036"]</x:v>
      </x:c>
      <x:c r="R391" s="22" t="str">
        <x:v>evidence/student_evidence.jsonl；student_key=2025秋:259407</x:v>
      </x:c>
      <x:c r="S391" s="27" t="str"/>
    </x:row>
    <x:row r="392" ht="23" customHeight="1">
      <x:c r="A392" s="21" t="str">
        <x:v>严格基线调整</x:v>
      </x:c>
      <x:c r="B392" s="22" t="str">
        <x:v>均衡型</x:v>
      </x:c>
      <x:c r="C392" s="22" t="str">
        <x:v>前20%</x:v>
      </x:c>
      <x:c r="D392" s="22" t="str">
        <x:v>严格进入</x:v>
      </x:c>
      <x:c r="E392" s="22" t="str">
        <x:v>2025秋:259021</x:v>
      </x:c>
      <x:c r="F392" s="22" t="str">
        <x:v>s3</x:v>
      </x:c>
      <x:c r="G392" s="26" t="n">
        <x:v>4.5</x:v>
      </x:c>
      <x:c r="H392" s="25" t="n">
        <x:v>72.63540408589056</x:v>
      </x:c>
      <x:c r="I392" s="24" t="n">
        <x:v>1</x:v>
      </x:c>
      <x:c r="J392" s="24" t="n">
        <x:v>1</x:v>
      </x:c>
      <x:c r="K392" s="22" t="str">
        <x:v>是</x:v>
      </x:c>
      <x:c r="L392" s="22" t="n">
        <x:v>15.44914141681709</x:v>
      </x:c>
      <x:c r="M392" s="22" t="n">
        <x:v>16.99141416817092</x:v>
      </x:c>
      <x:c r="N392" s="22" t="n">
        <x:v>10.194848500902552</x:v>
      </x:c>
      <x:c r="O392" s="22" t="n">
        <x:v>30</x:v>
      </x:c>
      <x:c r="P392" s="24" t="n">
        <x:v>4</x:v>
      </x:c>
      <x:c r="Q392" s="22" t="str">
        <x:v>["S0464"]</x:v>
      </x:c>
      <x:c r="R392" s="22" t="str">
        <x:v>evidence/student_evidence.jsonl；student_key=2025秋:259021</x:v>
      </x:c>
      <x:c r="S392" s="27" t="str"/>
    </x:row>
    <x:row r="393" ht="23" customHeight="1">
      <x:c r="A393" s="21" t="str">
        <x:v>严格基线调整</x:v>
      </x:c>
      <x:c r="B393" s="22" t="str">
        <x:v>均衡型</x:v>
      </x:c>
      <x:c r="C393" s="22" t="str">
        <x:v>前20%</x:v>
      </x:c>
      <x:c r="D393" s="22" t="str">
        <x:v>严格进入</x:v>
      </x:c>
      <x:c r="E393" s="22" t="str">
        <x:v>2025秋:25A081</x:v>
      </x:c>
      <x:c r="F393" s="22" t="str">
        <x:v>s3</x:v>
      </x:c>
      <x:c r="G393" s="26" t="n">
        <x:v>4.5</x:v>
      </x:c>
      <x:c r="H393" s="25" t="n">
        <x:v>72.63540408589056</x:v>
      </x:c>
      <x:c r="I393" s="24" t="n">
        <x:v>1</x:v>
      </x:c>
      <x:c r="J393" s="24" t="n">
        <x:v>1</x:v>
      </x:c>
      <x:c r="K393" s="22" t="str">
        <x:v>是</x:v>
      </x:c>
      <x:c r="L393" s="22" t="n">
        <x:v>15.44914141681709</x:v>
      </x:c>
      <x:c r="M393" s="22" t="n">
        <x:v>16.99141416817092</x:v>
      </x:c>
      <x:c r="N393" s="22" t="n">
        <x:v>10.194848500902552</x:v>
      </x:c>
      <x:c r="O393" s="22" t="n">
        <x:v>30</x:v>
      </x:c>
      <x:c r="P393" s="24" t="n">
        <x:v>4</x:v>
      </x:c>
      <x:c r="Q393" s="22" t="str">
        <x:v>["S0411"]</x:v>
      </x:c>
      <x:c r="R393" s="22" t="str">
        <x:v>evidence/student_evidence.jsonl；student_key=2025秋:25A081</x:v>
      </x:c>
      <x:c r="S393" s="27" t="str"/>
    </x:row>
    <x:row r="394" ht="23" customHeight="1">
      <x:c r="A394" s="21" t="str">
        <x:v>严格基线调整</x:v>
      </x:c>
      <x:c r="B394" s="22" t="str">
        <x:v>均衡型</x:v>
      </x:c>
      <x:c r="C394" s="22" t="str">
        <x:v>前20%</x:v>
      </x:c>
      <x:c r="D394" s="22" t="str">
        <x:v>严格进入</x:v>
      </x:c>
      <x:c r="E394" s="22" t="str">
        <x:v>2025秋:259961</x:v>
      </x:c>
      <x:c r="F394" s="22" t="str">
        <x:v>s3</x:v>
      </x:c>
      <x:c r="G394" s="26" t="n">
        <x:v>6</x:v>
      </x:c>
      <x:c r="H394" s="25" t="n">
        <x:v>72.57090650093568</x:v>
      </x:c>
      <x:c r="I394" s="24" t="n">
        <x:v>1</x:v>
      </x:c>
      <x:c r="J394" s="24" t="n">
        <x:v>1</x:v>
      </x:c>
      <x:c r="K394" s="22" t="str">
        <x:v>是</x:v>
      </x:c>
      <x:c r="L394" s="22" t="n">
        <x:v>15.44534744123151</x:v>
      </x:c>
      <x:c r="M394" s="22" t="n">
        <x:v>16.953474412315106</x:v>
      </x:c>
      <x:c r="N394" s="22" t="n">
        <x:v>10.172084647389063</x:v>
      </x:c>
      <x:c r="O394" s="22" t="n">
        <x:v>30</x:v>
      </x:c>
      <x:c r="P394" s="24" t="n">
        <x:v>4</x:v>
      </x:c>
      <x:c r="Q394" s="22" t="str">
        <x:v>["S0296"]</x:v>
      </x:c>
      <x:c r="R394" s="22" t="str">
        <x:v>evidence/student_evidence.jsonl；student_key=2025秋:259961</x:v>
      </x:c>
      <x:c r="S394" s="27" t="str"/>
    </x:row>
    <x:row r="395" ht="23" customHeight="1">
      <x:c r="A395" s="21" t="str">
        <x:v>严格基线调整</x:v>
      </x:c>
      <x:c r="B395" s="22" t="str">
        <x:v>均衡型</x:v>
      </x:c>
      <x:c r="C395" s="22" t="str">
        <x:v>前20%</x:v>
      </x:c>
      <x:c r="D395" s="22" t="str">
        <x:v>严格进入</x:v>
      </x:c>
      <x:c r="E395" s="22" t="str">
        <x:v>2025秋:25A134</x:v>
      </x:c>
      <x:c r="F395" s="22" t="str">
        <x:v>s3</x:v>
      </x:c>
      <x:c r="G395" s="26" t="n">
        <x:v>7</x:v>
      </x:c>
      <x:c r="H395" s="25" t="n">
        <x:v>72.45601907354404</x:v>
      </x:c>
      <x:c r="I395" s="24" t="n">
        <x:v>1</x:v>
      </x:c>
      <x:c r="J395" s="24" t="n">
        <x:v>1</x:v>
      </x:c>
      <x:c r="K395" s="22" t="str">
        <x:v>是</x:v>
      </x:c>
      <x:c r="L395" s="22" t="n">
        <x:v>15.438589357267295</x:v>
      </x:c>
      <x:c r="M395" s="22" t="n">
        <x:v>16.88589357267297</x:v>
      </x:c>
      <x:c r="N395" s="22" t="n">
        <x:v>10.131536143603782</x:v>
      </x:c>
      <x:c r="O395" s="22" t="n">
        <x:v>30</x:v>
      </x:c>
      <x:c r="P395" s="24" t="n">
        <x:v>4</x:v>
      </x:c>
      <x:c r="Q395" s="22" t="str">
        <x:v>["S0311"]</x:v>
      </x:c>
      <x:c r="R395" s="22" t="str">
        <x:v>evidence/student_evidence.jsonl；student_key=2025秋:25A134</x:v>
      </x:c>
      <x:c r="S395" s="27" t="str"/>
    </x:row>
    <x:row r="396" ht="23" customHeight="1">
      <x:c r="A396" s="21" t="str">
        <x:v>严格基线调整</x:v>
      </x:c>
      <x:c r="B396" s="22" t="str">
        <x:v>均衡型</x:v>
      </x:c>
      <x:c r="C396" s="22" t="str">
        <x:v>前20%</x:v>
      </x:c>
      <x:c r="D396" s="22" t="str">
        <x:v>严格进入</x:v>
      </x:c>
      <x:c r="E396" s="22" t="str">
        <x:v>2025秋:258878</x:v>
      </x:c>
      <x:c r="F396" s="22" t="str">
        <x:v>s3</x:v>
      </x:c>
      <x:c r="G396" s="26" t="n">
        <x:v>8.5</x:v>
      </x:c>
      <x:c r="H396" s="25" t="n">
        <x:v>72.44160248737867</x:v>
      </x:c>
      <x:c r="I396" s="24" t="n">
        <x:v>1</x:v>
      </x:c>
      <x:c r="J396" s="24" t="n">
        <x:v>1</x:v>
      </x:c>
      <x:c r="K396" s="22" t="str">
        <x:v>是</x:v>
      </x:c>
      <x:c r="L396" s="22" t="n">
        <x:v>15.437741322786978</x:v>
      </x:c>
      <x:c r="M396" s="22" t="n">
        <x:v>16.87741322786981</x:v>
      </x:c>
      <x:c r="N396" s="22" t="n">
        <x:v>10.126447936721885</x:v>
      </x:c>
      <x:c r="O396" s="22" t="n">
        <x:v>30</x:v>
      </x:c>
      <x:c r="P396" s="24" t="n">
        <x:v>4</x:v>
      </x:c>
      <x:c r="Q396" s="22" t="str">
        <x:v>["S0364"]</x:v>
      </x:c>
      <x:c r="R396" s="22" t="str">
        <x:v>evidence/student_evidence.jsonl；student_key=2025秋:258878</x:v>
      </x:c>
      <x:c r="S396" s="27" t="str"/>
    </x:row>
    <x:row r="397" ht="23" customHeight="1">
      <x:c r="A397" s="21" t="str">
        <x:v>严格基线调整</x:v>
      </x:c>
      <x:c r="B397" s="22" t="str">
        <x:v>均衡型</x:v>
      </x:c>
      <x:c r="C397" s="22" t="str">
        <x:v>前20%</x:v>
      </x:c>
      <x:c r="D397" s="22" t="str">
        <x:v>严格进入</x:v>
      </x:c>
      <x:c r="E397" s="22" t="str">
        <x:v>2025秋:258888</x:v>
      </x:c>
      <x:c r="F397" s="22" t="str">
        <x:v>s3</x:v>
      </x:c>
      <x:c r="G397" s="26" t="n">
        <x:v>8.5</x:v>
      </x:c>
      <x:c r="H397" s="25" t="n">
        <x:v>72.44160248737867</x:v>
      </x:c>
      <x:c r="I397" s="24" t="n">
        <x:v>2</x:v>
      </x:c>
      <x:c r="J397" s="24" t="n">
        <x:v>1</x:v>
      </x:c>
      <x:c r="K397" s="22" t="str">
        <x:v>是</x:v>
      </x:c>
      <x:c r="L397" s="22" t="n">
        <x:v>15.437741322786978</x:v>
      </x:c>
      <x:c r="M397" s="22" t="n">
        <x:v>16.87741322786981</x:v>
      </x:c>
      <x:c r="N397" s="22" t="n">
        <x:v>10.126447936721885</x:v>
      </x:c>
      <x:c r="O397" s="22" t="n">
        <x:v>30</x:v>
      </x:c>
      <x:c r="P397" s="24" t="n">
        <x:v>4</x:v>
      </x:c>
      <x:c r="Q397" s="22" t="str">
        <x:v>["S0190","S0365"]</x:v>
      </x:c>
      <x:c r="R397" s="22" t="str">
        <x:v>evidence/student_evidence.jsonl；student_key=2025秋:258888</x:v>
      </x:c>
      <x:c r="S397" s="27" t="str"/>
    </x:row>
    <x:row r="398" ht="23" customHeight="1">
      <x:c r="A398" s="21" t="str">
        <x:v>严格基线调整</x:v>
      </x:c>
      <x:c r="B398" s="22" t="str">
        <x:v>均衡型</x:v>
      </x:c>
      <x:c r="C398" s="22" t="str">
        <x:v>前20%</x:v>
      </x:c>
      <x:c r="D398" s="22" t="str">
        <x:v>严格进入</x:v>
      </x:c>
      <x:c r="E398" s="22" t="str">
        <x:v>2025秋:258988</x:v>
      </x:c>
      <x:c r="F398" s="22" t="str">
        <x:v>s3</x:v>
      </x:c>
      <x:c r="G398" s="26" t="n">
        <x:v>10</x:v>
      </x:c>
      <x:c r="H398" s="25" t="n">
        <x:v>72.36034454278972</x:v>
      </x:c>
      <x:c r="I398" s="24" t="n">
        <x:v>1</x:v>
      </x:c>
      <x:c r="J398" s="24" t="n">
        <x:v>1</x:v>
      </x:c>
      <x:c r="K398" s="22" t="str">
        <x:v>是</x:v>
      </x:c>
      <x:c r="L398" s="22" t="n">
        <x:v>15.432961443693513</x:v>
      </x:c>
      <x:c r="M398" s="22" t="n">
        <x:v>16.829614436935124</x:v>
      </x:c>
      <x:c r="N398" s="22" t="n">
        <x:v>10.097768662161075</x:v>
      </x:c>
      <x:c r="O398" s="22" t="n">
        <x:v>30</x:v>
      </x:c>
      <x:c r="P398" s="24" t="n">
        <x:v>4</x:v>
      </x:c>
      <x:c r="Q398" s="22" t="str">
        <x:v>["S0315"]</x:v>
      </x:c>
      <x:c r="R398" s="22" t="str">
        <x:v>evidence/student_evidence.jsonl；student_key=2025秋:258988</x:v>
      </x:c>
      <x:c r="S398" s="27" t="str"/>
    </x:row>
    <x:row r="399" ht="23" customHeight="1">
      <x:c r="A399" s="21" t="str">
        <x:v>严格基线调整</x:v>
      </x:c>
      <x:c r="B399" s="22" t="str">
        <x:v>均衡型</x:v>
      </x:c>
      <x:c r="C399" s="22" t="str">
        <x:v>前20%</x:v>
      </x:c>
      <x:c r="D399" s="22" t="str">
        <x:v>严格进入</x:v>
      </x:c>
      <x:c r="E399" s="22" t="str">
        <x:v>2025秋:259044</x:v>
      </x:c>
      <x:c r="F399" s="22" t="str">
        <x:v>s3</x:v>
      </x:c>
      <x:c r="G399" s="26" t="n">
        <x:v>11</x:v>
      </x:c>
      <x:c r="H399" s="25" t="n">
        <x:v>72.32384477540987</x:v>
      </x:c>
      <x:c r="I399" s="24" t="n">
        <x:v>1</x:v>
      </x:c>
      <x:c r="J399" s="24" t="n">
        <x:v>1</x:v>
      </x:c>
      <x:c r="K399" s="22" t="str">
        <x:v>是</x:v>
      </x:c>
      <x:c r="L399" s="22" t="n">
        <x:v>15.430814398553522</x:v>
      </x:c>
      <x:c r="M399" s="22" t="n">
        <x:v>16.808143985535224</x:v>
      </x:c>
      <x:c r="N399" s="22" t="n">
        <x:v>10.084886391321135</x:v>
      </x:c>
      <x:c r="O399" s="22" t="n">
        <x:v>30</x:v>
      </x:c>
      <x:c r="P399" s="24" t="n">
        <x:v>4</x:v>
      </x:c>
      <x:c r="Q399" s="22" t="str">
        <x:v>["S0074"]</x:v>
      </x:c>
      <x:c r="R399" s="22" t="str">
        <x:v>evidence/student_evidence.jsonl；student_key=2025秋:259044</x:v>
      </x:c>
      <x:c r="S399" s="27" t="str"/>
    </x:row>
    <x:row r="400" ht="23" customHeight="1">
      <x:c r="A400" s="21" t="str">
        <x:v>严格基线调整</x:v>
      </x:c>
      <x:c r="B400" s="22" t="str">
        <x:v>均衡型</x:v>
      </x:c>
      <x:c r="C400" s="22" t="str">
        <x:v>前20%</x:v>
      </x:c>
      <x:c r="D400" s="22" t="str">
        <x:v>严格进入</x:v>
      </x:c>
      <x:c r="E400" s="22" t="str">
        <x:v>2025秋:258430</x:v>
      </x:c>
      <x:c r="F400" s="22" t="str">
        <x:v>s3</x:v>
      </x:c>
      <x:c r="G400" s="26" t="n">
        <x:v>12</x:v>
      </x:c>
      <x:c r="H400" s="25" t="n">
        <x:v>72.12857599705538</x:v>
      </x:c>
      <x:c r="I400" s="24" t="n">
        <x:v>1</x:v>
      </x:c>
      <x:c r="J400" s="24" t="n">
        <x:v>1</x:v>
      </x:c>
      <x:c r="K400" s="22" t="str">
        <x:v>是</x:v>
      </x:c>
      <x:c r="L400" s="22" t="n">
        <x:v>15.339455999859782</x:v>
      </x:c>
      <x:c r="M400" s="22" t="n">
        <x:v>16.743199998247256</x:v>
      </x:c>
      <x:c r="N400" s="22" t="n">
        <x:v>10.045919998948353</x:v>
      </x:c>
      <x:c r="O400" s="22" t="n">
        <x:v>30</x:v>
      </x:c>
      <x:c r="P400" s="24" t="n">
        <x:v>4</x:v>
      </x:c>
      <x:c r="Q400" s="22" t="str">
        <x:v>["S0052"]</x:v>
      </x:c>
      <x:c r="R400" s="22" t="str">
        <x:v>evidence/student_evidence.jsonl；student_key=2025秋:258430</x:v>
      </x:c>
      <x:c r="S400" s="27" t="str"/>
    </x:row>
    <x:row r="401" ht="23" customHeight="1">
      <x:c r="A401" s="21" t="str">
        <x:v>严格基线调整</x:v>
      </x:c>
      <x:c r="B401" s="22" t="str">
        <x:v>均衡型</x:v>
      </x:c>
      <x:c r="C401" s="22" t="str">
        <x:v>前20%</x:v>
      </x:c>
      <x:c r="D401" s="22" t="str">
        <x:v>严格进入</x:v>
      </x:c>
      <x:c r="E401" s="22" t="str">
        <x:v>2025秋:258858</x:v>
      </x:c>
      <x:c r="F401" s="22" t="str">
        <x:v>s3</x:v>
      </x:c>
      <x:c r="G401" s="26" t="n">
        <x:v>13</x:v>
      </x:c>
      <x:c r="H401" s="25" t="n">
        <x:v>71.25257577425424</x:v>
      </x:c>
      <x:c r="I401" s="24" t="n">
        <x:v>2</x:v>
      </x:c>
      <x:c r="J401" s="24" t="n">
        <x:v>2</x:v>
      </x:c>
      <x:c r="K401" s="22" t="str">
        <x:v>是</x:v>
      </x:c>
      <x:c r="L401" s="22" t="n">
        <x:v>15.606912479656003</x:v>
      </x:c>
      <x:c r="M401" s="22" t="n">
        <x:v>15.871735998088917</x:v>
      </x:c>
      <x:c r="N401" s="22" t="n">
        <x:v>9.773927296509308</x:v>
      </x:c>
      <x:c r="O401" s="22" t="n">
        <x:v>30</x:v>
      </x:c>
      <x:c r="P401" s="24" t="n">
        <x:v>4</x:v>
      </x:c>
      <x:c r="Q401" s="22" t="str">
        <x:v>["S0103","S0232"]</x:v>
      </x:c>
      <x:c r="R401" s="22" t="str">
        <x:v>evidence/student_evidence.jsonl；student_key=2025秋:258858</x:v>
      </x:c>
      <x:c r="S401" s="27" t="str"/>
    </x:row>
    <x:row r="402" ht="23" customHeight="1">
      <x:c r="A402" s="21" t="str">
        <x:v>严格基线调整</x:v>
      </x:c>
      <x:c r="B402" s="22" t="str">
        <x:v>均衡型</x:v>
      </x:c>
      <x:c r="C402" s="22" t="str">
        <x:v>前20%</x:v>
      </x:c>
      <x:c r="D402" s="22" t="str">
        <x:v>严格进入</x:v>
      </x:c>
      <x:c r="E402" s="22" t="str">
        <x:v>2025秋:259112</x:v>
      </x:c>
      <x:c r="F402" s="22" t="str">
        <x:v>s3</x:v>
      </x:c>
      <x:c r="G402" s="26" t="n">
        <x:v>14.5</x:v>
      </x:c>
      <x:c r="H402" s="25" t="n">
        <x:v>70.2073569234303</x:v>
      </x:c>
      <x:c r="I402" s="24" t="n">
        <x:v>1</x:v>
      </x:c>
      <x:c r="J402" s="24" t="n">
        <x:v>1</x:v>
      </x:c>
      <x:c r="K402" s="22" t="str">
        <x:v>是</x:v>
      </x:c>
      <x:c r="L402" s="22" t="n">
        <x:v>15.306315113142958</x:v>
      </x:c>
      <x:c r="M402" s="22" t="n">
        <x:v>15.56315113142959</x:v>
      </x:c>
      <x:c r="N402" s="22" t="n">
        <x:v>9.337890678857754</x:v>
      </x:c>
      <x:c r="O402" s="22" t="n">
        <x:v>30</x:v>
      </x:c>
      <x:c r="P402" s="24" t="n">
        <x:v>4</x:v>
      </x:c>
      <x:c r="Q402" s="22" t="str">
        <x:v>["S0204"]</x:v>
      </x:c>
      <x:c r="R402" s="22" t="str">
        <x:v>evidence/student_evidence.jsonl；student_key=2025秋:259112</x:v>
      </x:c>
      <x:c r="S402" s="27" t="str"/>
    </x:row>
    <x:row r="403" ht="23" customHeight="1">
      <x:c r="A403" s="21" t="str">
        <x:v>严格基线调整</x:v>
      </x:c>
      <x:c r="B403" s="22" t="str">
        <x:v>均衡型</x:v>
      </x:c>
      <x:c r="C403" s="22" t="str">
        <x:v>前20%</x:v>
      </x:c>
      <x:c r="D403" s="22" t="str">
        <x:v>严格进入</x:v>
      </x:c>
      <x:c r="E403" s="22" t="str">
        <x:v>2026春:268183</x:v>
      </x:c>
      <x:c r="F403" s="22" t="str">
        <x:v>s3</x:v>
      </x:c>
      <x:c r="G403" s="26" t="n">
        <x:v>14.5</x:v>
      </x:c>
      <x:c r="H403" s="25" t="n">
        <x:v>70.2073569234303</x:v>
      </x:c>
      <x:c r="I403" s="24" t="n">
        <x:v>1</x:v>
      </x:c>
      <x:c r="J403" s="24" t="n">
        <x:v>1</x:v>
      </x:c>
      <x:c r="K403" s="22" t="str">
        <x:v>是</x:v>
      </x:c>
      <x:c r="L403" s="22" t="n">
        <x:v>15.306315113142958</x:v>
      </x:c>
      <x:c r="M403" s="22" t="n">
        <x:v>15.56315113142959</x:v>
      </x:c>
      <x:c r="N403" s="22" t="n">
        <x:v>9.337890678857754</x:v>
      </x:c>
      <x:c r="O403" s="22" t="n">
        <x:v>30</x:v>
      </x:c>
      <x:c r="P403" s="24" t="n">
        <x:v>4</x:v>
      </x:c>
      <x:c r="Q403" s="22" t="str">
        <x:v>["S1051"]</x:v>
      </x:c>
      <x:c r="R403" s="22" t="str">
        <x:v>evidence/student_evidence.jsonl；student_key=2026春:268183</x:v>
      </x:c>
      <x:c r="S403" s="27" t="str"/>
    </x:row>
    <x:row r="404" ht="23" customHeight="1">
      <x:c r="A404" s="21" t="str">
        <x:v>严格基线调整</x:v>
      </x:c>
      <x:c r="B404" s="22" t="str">
        <x:v>均衡型</x:v>
      </x:c>
      <x:c r="C404" s="22" t="str">
        <x:v>前20%</x:v>
      </x:c>
      <x:c r="D404" s="22" t="str">
        <x:v>严格进入</x:v>
      </x:c>
      <x:c r="E404" s="22" t="str">
        <x:v>2025秋:258428</x:v>
      </x:c>
      <x:c r="F404" s="22" t="str">
        <x:v>s3</x:v>
      </x:c>
      <x:c r="G404" s="26" t="n">
        <x:v>17.5</x:v>
      </x:c>
      <x:c r="H404" s="25" t="n">
        <x:v>70.18857274037302</x:v>
      </x:c>
      <x:c r="I404" s="24" t="n">
        <x:v>1</x:v>
      </x:c>
      <x:c r="J404" s="24" t="n">
        <x:v>1</x:v>
      </x:c>
      <x:c r="K404" s="22" t="str">
        <x:v>是</x:v>
      </x:c>
      <x:c r="L404" s="22" t="n">
        <x:v>15.305210161198412</x:v>
      </x:c>
      <x:c r="M404" s="22" t="n">
        <x:v>15.552101611984131</x:v>
      </x:c>
      <x:c r="N404" s="22" t="n">
        <x:v>9.33126096719048</x:v>
      </x:c>
      <x:c r="O404" s="22" t="n">
        <x:v>30</x:v>
      </x:c>
      <x:c r="P404" s="24" t="n">
        <x:v>4</x:v>
      </x:c>
      <x:c r="Q404" s="22" t="str">
        <x:v>["S0096"]</x:v>
      </x:c>
      <x:c r="R404" s="22" t="str">
        <x:v>evidence/student_evidence.jsonl；student_key=2025秋:258428</x:v>
      </x:c>
      <x:c r="S404" s="27" t="str"/>
    </x:row>
    <x:row r="405" ht="23" customHeight="1">
      <x:c r="A405" s="21" t="str">
        <x:v>严格基线调整</x:v>
      </x:c>
      <x:c r="B405" s="22" t="str">
        <x:v>均衡型</x:v>
      </x:c>
      <x:c r="C405" s="22" t="str">
        <x:v>前20%</x:v>
      </x:c>
      <x:c r="D405" s="22" t="str">
        <x:v>严格进入</x:v>
      </x:c>
      <x:c r="E405" s="22" t="str">
        <x:v>2025秋:258922</x:v>
      </x:c>
      <x:c r="F405" s="22" t="str">
        <x:v>s3</x:v>
      </x:c>
      <x:c r="G405" s="26" t="n">
        <x:v>17.5</x:v>
      </x:c>
      <x:c r="H405" s="25" t="n">
        <x:v>70.18857274037302</x:v>
      </x:c>
      <x:c r="I405" s="24" t="n">
        <x:v>1</x:v>
      </x:c>
      <x:c r="J405" s="24" t="n">
        <x:v>1</x:v>
      </x:c>
      <x:c r="K405" s="22" t="str">
        <x:v>是</x:v>
      </x:c>
      <x:c r="L405" s="22" t="n">
        <x:v>15.305210161198412</x:v>
      </x:c>
      <x:c r="M405" s="22" t="n">
        <x:v>15.552101611984131</x:v>
      </x:c>
      <x:c r="N405" s="22" t="n">
        <x:v>9.33126096719048</x:v>
      </x:c>
      <x:c r="O405" s="22" t="n">
        <x:v>30</x:v>
      </x:c>
      <x:c r="P405" s="24" t="n">
        <x:v>4</x:v>
      </x:c>
      <x:c r="Q405" s="22" t="str">
        <x:v>["S0351"]</x:v>
      </x:c>
      <x:c r="R405" s="22" t="str">
        <x:v>evidence/student_evidence.jsonl；student_key=2025秋:258922</x:v>
      </x:c>
      <x:c r="S405" s="27" t="str"/>
    </x:row>
    <x:row r="406" ht="23" customHeight="1">
      <x:c r="A406" s="21" t="str">
        <x:v>严格基线调整</x:v>
      </x:c>
      <x:c r="B406" s="22" t="str">
        <x:v>均衡型</x:v>
      </x:c>
      <x:c r="C406" s="22" t="str">
        <x:v>前20%</x:v>
      </x:c>
      <x:c r="D406" s="22" t="str">
        <x:v>严格进入</x:v>
      </x:c>
      <x:c r="E406" s="22" t="str">
        <x:v>2025秋:259895</x:v>
      </x:c>
      <x:c r="F406" s="22" t="str">
        <x:v>s3</x:v>
      </x:c>
      <x:c r="G406" s="26" t="n">
        <x:v>17.5</x:v>
      </x:c>
      <x:c r="H406" s="25" t="n">
        <x:v>70.18857274037302</x:v>
      </x:c>
      <x:c r="I406" s="24" t="n">
        <x:v>1</x:v>
      </x:c>
      <x:c r="J406" s="24" t="n">
        <x:v>1</x:v>
      </x:c>
      <x:c r="K406" s="22" t="str">
        <x:v>是</x:v>
      </x:c>
      <x:c r="L406" s="22" t="n">
        <x:v>15.305210161198412</x:v>
      </x:c>
      <x:c r="M406" s="22" t="n">
        <x:v>15.552101611984131</x:v>
      </x:c>
      <x:c r="N406" s="22" t="n">
        <x:v>9.33126096719048</x:v>
      </x:c>
      <x:c r="O406" s="22" t="n">
        <x:v>30</x:v>
      </x:c>
      <x:c r="P406" s="24" t="n">
        <x:v>4</x:v>
      </x:c>
      <x:c r="Q406" s="22" t="str">
        <x:v>["S0407"]</x:v>
      </x:c>
      <x:c r="R406" s="22" t="str">
        <x:v>evidence/student_evidence.jsonl；student_key=2025秋:259895</x:v>
      </x:c>
      <x:c r="S406" s="27" t="str"/>
    </x:row>
    <x:row r="407" ht="23" customHeight="1">
      <x:c r="A407" s="21" t="str">
        <x:v>严格基线调整</x:v>
      </x:c>
      <x:c r="B407" s="22" t="str">
        <x:v>均衡型</x:v>
      </x:c>
      <x:c r="C407" s="22" t="str">
        <x:v>前20%</x:v>
      </x:c>
      <x:c r="D407" s="22" t="str">
        <x:v>严格进入</x:v>
      </x:c>
      <x:c r="E407" s="22" t="str">
        <x:v>2026春:259443</x:v>
      </x:c>
      <x:c r="F407" s="22" t="str">
        <x:v>s3</x:v>
      </x:c>
      <x:c r="G407" s="26" t="n">
        <x:v>17.5</x:v>
      </x:c>
      <x:c r="H407" s="25" t="n">
        <x:v>70.18857274037302</x:v>
      </x:c>
      <x:c r="I407" s="24" t="n">
        <x:v>1</x:v>
      </x:c>
      <x:c r="J407" s="24" t="n">
        <x:v>1</x:v>
      </x:c>
      <x:c r="K407" s="22" t="str">
        <x:v>是</x:v>
      </x:c>
      <x:c r="L407" s="22" t="n">
        <x:v>15.305210161198412</x:v>
      </x:c>
      <x:c r="M407" s="22" t="n">
        <x:v>15.552101611984131</x:v>
      </x:c>
      <x:c r="N407" s="22" t="n">
        <x:v>9.33126096719048</x:v>
      </x:c>
      <x:c r="O407" s="22" t="n">
        <x:v>30</x:v>
      </x:c>
      <x:c r="P407" s="24" t="n">
        <x:v>4</x:v>
      </x:c>
      <x:c r="Q407" s="22" t="str">
        <x:v>["S0850"]</x:v>
      </x:c>
      <x:c r="R407" s="22" t="str">
        <x:v>evidence/student_evidence.jsonl；student_key=2026春:259443</x:v>
      </x:c>
      <x:c r="S407" s="27" t="str"/>
    </x:row>
    <x:row r="408" ht="23" customHeight="1">
      <x:c r="A408" s="21" t="str">
        <x:v>严格基线调整</x:v>
      </x:c>
      <x:c r="B408" s="22" t="str">
        <x:v>均衡型</x:v>
      </x:c>
      <x:c r="C408" s="22" t="str">
        <x:v>前20%</x:v>
      </x:c>
      <x:c r="D408" s="22" t="str">
        <x:v>严格进入</x:v>
      </x:c>
      <x:c r="E408" s="22" t="str">
        <x:v>2025秋:25P025</x:v>
      </x:c>
      <x:c r="F408" s="22" t="str">
        <x:v>s3</x:v>
      </x:c>
      <x:c r="G408" s="26" t="n">
        <x:v>20</x:v>
      </x:c>
      <x:c r="H408" s="25" t="n">
        <x:v>70.163276948731</x:v>
      </x:c>
      <x:c r="I408" s="24" t="n">
        <x:v>1</x:v>
      </x:c>
      <x:c r="J408" s="24" t="n">
        <x:v>1</x:v>
      </x:c>
      <x:c r="K408" s="22" t="str">
        <x:v>是</x:v>
      </x:c>
      <x:c r="L408" s="22" t="n">
        <x:v>15.303722173454764</x:v>
      </x:c>
      <x:c r="M408" s="22" t="n">
        <x:v>15.537221734547643</x:v>
      </x:c>
      <x:c r="N408" s="22" t="n">
        <x:v>9.322333040728585</x:v>
      </x:c>
      <x:c r="O408" s="22" t="n">
        <x:v>30</x:v>
      </x:c>
      <x:c r="P408" s="24" t="n">
        <x:v>4</x:v>
      </x:c>
      <x:c r="Q408" s="22" t="str">
        <x:v>["S0130"]</x:v>
      </x:c>
      <x:c r="R408" s="22" t="str">
        <x:v>evidence/student_evidence.jsonl；student_key=2025秋:25P025</x:v>
      </x:c>
      <x:c r="S408" s="27" t="str"/>
    </x:row>
    <x:row r="409" ht="23" customHeight="1">
      <x:c r="A409" s="21" t="str">
        <x:v>严格基线调整</x:v>
      </x:c>
      <x:c r="B409" s="22" t="str">
        <x:v>均衡型</x:v>
      </x:c>
      <x:c r="C409" s="22" t="str">
        <x:v>前20%</x:v>
      </x:c>
      <x:c r="D409" s="22" t="str">
        <x:v>严格进入</x:v>
      </x:c>
      <x:c r="E409" s="22" t="str">
        <x:v>2025秋:259043</x:v>
      </x:c>
      <x:c r="F409" s="22" t="str">
        <x:v>s3</x:v>
      </x:c>
      <x:c r="G409" s="26" t="n">
        <x:v>21</x:v>
      </x:c>
      <x:c r="H409" s="25" t="n">
        <x:v>69.87931188053969</x:v>
      </x:c>
      <x:c r="I409" s="24" t="n">
        <x:v>1</x:v>
      </x:c>
      <x:c r="J409" s="24" t="n">
        <x:v>1</x:v>
      </x:c>
      <x:c r="K409" s="22" t="str">
        <x:v>是</x:v>
      </x:c>
      <x:c r="L409" s="22" t="n">
        <x:v>15.287018345914099</x:v>
      </x:c>
      <x:c r="M409" s="22" t="n">
        <x:v>15.370183459140987</x:v>
      </x:c>
      <x:c r="N409" s="22" t="n">
        <x:v>9.222110075484592</x:v>
      </x:c>
      <x:c r="O409" s="22" t="n">
        <x:v>30</x:v>
      </x:c>
      <x:c r="P409" s="24" t="n">
        <x:v>4</x:v>
      </x:c>
      <x:c r="Q409" s="22" t="str">
        <x:v>["S0066"]</x:v>
      </x:c>
      <x:c r="R409" s="22" t="str">
        <x:v>evidence/student_evidence.jsonl；student_key=2025秋:259043</x:v>
      </x:c>
      <x:c r="S409" s="27" t="str"/>
    </x:row>
    <x:row r="410" ht="23" customHeight="1">
      <x:c r="A410" s="21" t="str">
        <x:v>严格基线调整</x:v>
      </x:c>
      <x:c r="B410" s="22" t="str">
        <x:v>均衡型</x:v>
      </x:c>
      <x:c r="C410" s="22" t="str">
        <x:v>前20%</x:v>
      </x:c>
      <x:c r="D410" s="22" t="str">
        <x:v>严格进入</x:v>
      </x:c>
      <x:c r="E410" s="22" t="str">
        <x:v>2025秋:25A148</x:v>
      </x:c>
      <x:c r="F410" s="22" t="str">
        <x:v>s3</x:v>
      </x:c>
      <x:c r="G410" s="26" t="n">
        <x:v>22.5</x:v>
      </x:c>
      <x:c r="H410" s="25" t="n">
        <x:v>69.8004464412119</x:v>
      </x:c>
      <x:c r="I410" s="24" t="n">
        <x:v>1</x:v>
      </x:c>
      <x:c r="J410" s="24" t="n">
        <x:v>1</x:v>
      </x:c>
      <x:c r="K410" s="22" t="str">
        <x:v>是</x:v>
      </x:c>
      <x:c r="L410" s="22" t="n">
        <x:v>15.282379202424229</x:v>
      </x:c>
      <x:c r="M410" s="22" t="n">
        <x:v>15.323792024242294</x:v>
      </x:c>
      <x:c r="N410" s="22" t="n">
        <x:v>9.194275214545376</x:v>
      </x:c>
      <x:c r="O410" s="22" t="n">
        <x:v>30</x:v>
      </x:c>
      <x:c r="P410" s="24" t="n">
        <x:v>4</x:v>
      </x:c>
      <x:c r="Q410" s="22" t="str">
        <x:v>["S0067"]</x:v>
      </x:c>
      <x:c r="R410" s="22" t="str">
        <x:v>evidence/student_evidence.jsonl；student_key=2025秋:25A148</x:v>
      </x:c>
      <x:c r="S410" s="27" t="str"/>
    </x:row>
    <x:row r="411" ht="23" customHeight="1">
      <x:c r="A411" s="21" t="str">
        <x:v>严格基线调整</x:v>
      </x:c>
      <x:c r="B411" s="22" t="str">
        <x:v>均衡型</x:v>
      </x:c>
      <x:c r="C411" s="22" t="str">
        <x:v>前20%</x:v>
      </x:c>
      <x:c r="D411" s="22" t="str">
        <x:v>严格进入</x:v>
      </x:c>
      <x:c r="E411" s="22" t="str">
        <x:v>2026春:268184</x:v>
      </x:c>
      <x:c r="F411" s="22" t="str">
        <x:v>s3</x:v>
      </x:c>
      <x:c r="G411" s="26" t="n">
        <x:v>22.5</x:v>
      </x:c>
      <x:c r="H411" s="25" t="n">
        <x:v>69.8004464412119</x:v>
      </x:c>
      <x:c r="I411" s="24" t="n">
        <x:v>1</x:v>
      </x:c>
      <x:c r="J411" s="24" t="n">
        <x:v>1</x:v>
      </x:c>
      <x:c r="K411" s="22" t="str">
        <x:v>是</x:v>
      </x:c>
      <x:c r="L411" s="22" t="n">
        <x:v>15.282379202424229</x:v>
      </x:c>
      <x:c r="M411" s="22" t="n">
        <x:v>15.323792024242294</x:v>
      </x:c>
      <x:c r="N411" s="22" t="n">
        <x:v>9.194275214545376</x:v>
      </x:c>
      <x:c r="O411" s="22" t="n">
        <x:v>30</x:v>
      </x:c>
      <x:c r="P411" s="24" t="n">
        <x:v>4</x:v>
      </x:c>
      <x:c r="Q411" s="22" t="str">
        <x:v>["S1054"]</x:v>
      </x:c>
      <x:c r="R411" s="22" t="str">
        <x:v>evidence/student_evidence.jsonl；student_key=2026春:268184</x:v>
      </x:c>
      <x:c r="S411" s="27" t="str"/>
    </x:row>
    <x:row r="412" ht="23" customHeight="1">
      <x:c r="A412" s="21" t="str">
        <x:v>严格基线调整</x:v>
      </x:c>
      <x:c r="B412" s="22" t="str">
        <x:v>均衡型</x:v>
      </x:c>
      <x:c r="C412" s="22" t="str">
        <x:v>前20%</x:v>
      </x:c>
      <x:c r="D412" s="22" t="str">
        <x:v>严格进入</x:v>
      </x:c>
      <x:c r="E412" s="22" t="str">
        <x:v>2025秋:240957</x:v>
      </x:c>
      <x:c r="F412" s="22" t="str">
        <x:v>s3</x:v>
      </x:c>
      <x:c r="G412" s="26" t="n">
        <x:v>25</x:v>
      </x:c>
      <x:c r="H412" s="25" t="n">
        <x:v>69.70814414152487</x:v>
      </x:c>
      <x:c r="I412" s="24" t="n">
        <x:v>1</x:v>
      </x:c>
      <x:c r="J412" s="24" t="n">
        <x:v>1</x:v>
      </x:c>
      <x:c r="K412" s="22" t="str">
        <x:v>是</x:v>
      </x:c>
      <x:c r="L412" s="22" t="n">
        <x:v>15.276949655383815</x:v>
      </x:c>
      <x:c r="M412" s="22" t="n">
        <x:v>15.269496553838149</x:v>
      </x:c>
      <x:c r="N412" s="22" t="n">
        <x:v>9.16169793230289</x:v>
      </x:c>
      <x:c r="O412" s="22" t="n">
        <x:v>30</x:v>
      </x:c>
      <x:c r="P412" s="24" t="n">
        <x:v>4</x:v>
      </x:c>
      <x:c r="Q412" s="22" t="str">
        <x:v>["S0440"]</x:v>
      </x:c>
      <x:c r="R412" s="22" t="str">
        <x:v>evidence/student_evidence.jsonl；student_key=2025秋:240957</x:v>
      </x:c>
      <x:c r="S412" s="27" t="str"/>
    </x:row>
    <x:row r="413" ht="23" customHeight="1">
      <x:c r="A413" s="21" t="str">
        <x:v>严格基线调整</x:v>
      </x:c>
      <x:c r="B413" s="22" t="str">
        <x:v>均衡型</x:v>
      </x:c>
      <x:c r="C413" s="22" t="str">
        <x:v>前20%</x:v>
      </x:c>
      <x:c r="D413" s="22" t="str">
        <x:v>严格进入</x:v>
      </x:c>
      <x:c r="E413" s="22" t="str">
        <x:v>2025秋:259425</x:v>
      </x:c>
      <x:c r="F413" s="22" t="str">
        <x:v>s3</x:v>
      </x:c>
      <x:c r="G413" s="26" t="n">
        <x:v>25</x:v>
      </x:c>
      <x:c r="H413" s="25" t="n">
        <x:v>69.70814414152487</x:v>
      </x:c>
      <x:c r="I413" s="24" t="n">
        <x:v>1</x:v>
      </x:c>
      <x:c r="J413" s="24" t="n">
        <x:v>1</x:v>
      </x:c>
      <x:c r="K413" s="22" t="str">
        <x:v>是</x:v>
      </x:c>
      <x:c r="L413" s="22" t="n">
        <x:v>15.276949655383815</x:v>
      </x:c>
      <x:c r="M413" s="22" t="n">
        <x:v>15.269496553838149</x:v>
      </x:c>
      <x:c r="N413" s="22" t="n">
        <x:v>9.16169793230289</x:v>
      </x:c>
      <x:c r="O413" s="22" t="n">
        <x:v>30</x:v>
      </x:c>
      <x:c r="P413" s="24" t="n">
        <x:v>4</x:v>
      </x:c>
      <x:c r="Q413" s="22" t="str">
        <x:v>["S0037"]</x:v>
      </x:c>
      <x:c r="R413" s="22" t="str">
        <x:v>evidence/student_evidence.jsonl；student_key=2025秋:259425</x:v>
      </x:c>
      <x:c r="S413" s="27" t="str"/>
    </x:row>
    <x:row r="414" ht="23" customHeight="1">
      <x:c r="A414" s="21" t="str">
        <x:v>严格基线调整</x:v>
      </x:c>
      <x:c r="B414" s="22" t="str">
        <x:v>均衡型</x:v>
      </x:c>
      <x:c r="C414" s="22" t="str">
        <x:v>前20%</x:v>
      </x:c>
      <x:c r="D414" s="22" t="str">
        <x:v>严格进入</x:v>
      </x:c>
      <x:c r="E414" s="22" t="str">
        <x:v>2026春:268502</x:v>
      </x:c>
      <x:c r="F414" s="22" t="str">
        <x:v>s3</x:v>
      </x:c>
      <x:c r="G414" s="26" t="n">
        <x:v>25</x:v>
      </x:c>
      <x:c r="H414" s="25" t="n">
        <x:v>69.70814414152487</x:v>
      </x:c>
      <x:c r="I414" s="24" t="n">
        <x:v>1</x:v>
      </x:c>
      <x:c r="J414" s="24" t="n">
        <x:v>1</x:v>
      </x:c>
      <x:c r="K414" s="22" t="str">
        <x:v>是</x:v>
      </x:c>
      <x:c r="L414" s="22" t="n">
        <x:v>15.276949655383815</x:v>
      </x:c>
      <x:c r="M414" s="22" t="n">
        <x:v>15.269496553838149</x:v>
      </x:c>
      <x:c r="N414" s="22" t="n">
        <x:v>9.16169793230289</x:v>
      </x:c>
      <x:c r="O414" s="22" t="n">
        <x:v>30</x:v>
      </x:c>
      <x:c r="P414" s="24" t="n">
        <x:v>4</x:v>
      </x:c>
      <x:c r="Q414" s="22" t="str">
        <x:v>["S1220"]</x:v>
      </x:c>
      <x:c r="R414" s="22" t="str">
        <x:v>evidence/student_evidence.jsonl；student_key=2026春:268502</x:v>
      </x:c>
      <x:c r="S414" s="27" t="str"/>
    </x:row>
    <x:row r="415" ht="48" customHeight="1">
      <x:c r="A415" s="21" t="str">
        <x:v>严格基线调整</x:v>
      </x:c>
      <x:c r="B415" s="22" t="str">
        <x:v>均衡型</x:v>
      </x:c>
      <x:c r="C415" s="22" t="str">
        <x:v>前20%</x:v>
      </x:c>
      <x:c r="D415" s="22" t="str">
        <x:v>严格进入</x:v>
      </x:c>
      <x:c r="E415" s="22" t="str">
        <x:v>2025秋:258431</x:v>
      </x:c>
      <x:c r="F415" s="22" t="str">
        <x:v>s3</x:v>
      </x:c>
      <x:c r="G415" s="26" t="n">
        <x:v>28</x:v>
      </x:c>
      <x:c r="H415" s="25" t="n">
        <x:v>69.70451907795918</x:v>
      </x:c>
      <x:c r="I415" s="24" t="n">
        <x:v>2</x:v>
      </x:c>
      <x:c r="J415" s="24" t="n">
        <x:v>1</x:v>
      </x:c>
      <x:c r="K415" s="22" t="str">
        <x:v>是</x:v>
      </x:c>
      <x:c r="L415" s="22" t="n">
        <x:v>15.276736416350538</x:v>
      </x:c>
      <x:c r="M415" s="22" t="n">
        <x:v>15.2673641635054</x:v>
      </x:c>
      <x:c r="N415" s="22" t="n">
        <x:v>9.16041849810324</x:v>
      </x:c>
      <x:c r="O415" s="22" t="n">
        <x:v>30</x:v>
      </x:c>
      <x:c r="P415" s="24" t="n">
        <x:v>2</x:v>
      </x:c>
      <x:c r="Q415" s="22" t="str">
        <x:v>["S0444","S0667"]</x:v>
      </x:c>
      <x:c r="R415" s="22" t="str">
        <x:v>evidence/student_evidence.jsonl；student_key=2025秋:258431</x:v>
      </x:c>
      <x:c r="S415" s="27" t="str">
        <x:v>同一锚点起止1条：未形成独立重复测量。</x:v>
      </x:c>
    </x:row>
    <x:row r="416" ht="23" customHeight="1">
      <x:c r="A416" s="21" t="str">
        <x:v>严格基线调整</x:v>
      </x:c>
      <x:c r="B416" s="22" t="str">
        <x:v>均衡型</x:v>
      </x:c>
      <x:c r="C416" s="22" t="str">
        <x:v>前20%</x:v>
      </x:c>
      <x:c r="D416" s="22" t="str">
        <x:v>严格进入</x:v>
      </x:c>
      <x:c r="E416" s="22" t="str">
        <x:v>2025秋:259326</x:v>
      </x:c>
      <x:c r="F416" s="22" t="str">
        <x:v>s3</x:v>
      </x:c>
      <x:c r="G416" s="26" t="n">
        <x:v>28</x:v>
      </x:c>
      <x:c r="H416" s="25" t="n">
        <x:v>69.70451907795918</x:v>
      </x:c>
      <x:c r="I416" s="24" t="n">
        <x:v>1</x:v>
      </x:c>
      <x:c r="J416" s="24" t="n">
        <x:v>1</x:v>
      </x:c>
      <x:c r="K416" s="22" t="str">
        <x:v>是</x:v>
      </x:c>
      <x:c r="L416" s="22" t="n">
        <x:v>15.276736416350538</x:v>
      </x:c>
      <x:c r="M416" s="22" t="n">
        <x:v>15.2673641635054</x:v>
      </x:c>
      <x:c r="N416" s="22" t="n">
        <x:v>9.16041849810324</x:v>
      </x:c>
      <x:c r="O416" s="22" t="n">
        <x:v>30</x:v>
      </x:c>
      <x:c r="P416" s="24" t="n">
        <x:v>2</x:v>
      </x:c>
      <x:c r="Q416" s="22" t="str">
        <x:v>["S0496"]</x:v>
      </x:c>
      <x:c r="R416" s="22" t="str">
        <x:v>evidence/student_evidence.jsonl；student_key=2025秋:259326</x:v>
      </x:c>
      <x:c r="S416" s="27" t="str"/>
    </x:row>
    <x:row r="417" ht="23" customHeight="1">
      <x:c r="A417" s="21" t="str">
        <x:v>严格基线调整</x:v>
      </x:c>
      <x:c r="B417" s="22" t="str">
        <x:v>均衡型</x:v>
      </x:c>
      <x:c r="C417" s="22" t="str">
        <x:v>前20%</x:v>
      </x:c>
      <x:c r="D417" s="22" t="str">
        <x:v>严格进入</x:v>
      </x:c>
      <x:c r="E417" s="22" t="str">
        <x:v>2026春:268174</x:v>
      </x:c>
      <x:c r="F417" s="22" t="str">
        <x:v>s3</x:v>
      </x:c>
      <x:c r="G417" s="26" t="n">
        <x:v>28</x:v>
      </x:c>
      <x:c r="H417" s="25" t="n">
        <x:v>69.70451907795918</x:v>
      </x:c>
      <x:c r="I417" s="24" t="n">
        <x:v>1</x:v>
      </x:c>
      <x:c r="J417" s="24" t="n">
        <x:v>1</x:v>
      </x:c>
      <x:c r="K417" s="22" t="str">
        <x:v>是</x:v>
      </x:c>
      <x:c r="L417" s="22" t="n">
        <x:v>15.276736416350538</x:v>
      </x:c>
      <x:c r="M417" s="22" t="n">
        <x:v>15.2673641635054</x:v>
      </x:c>
      <x:c r="N417" s="22" t="n">
        <x:v>9.16041849810324</x:v>
      </x:c>
      <x:c r="O417" s="22" t="n">
        <x:v>30</x:v>
      </x:c>
      <x:c r="P417" s="24" t="n">
        <x:v>2</x:v>
      </x:c>
      <x:c r="Q417" s="22" t="str">
        <x:v>["S1044"]</x:v>
      </x:c>
      <x:c r="R417" s="22" t="str">
        <x:v>evidence/student_evidence.jsonl；student_key=2026春:268174</x:v>
      </x:c>
      <x:c r="S417" s="27" t="str"/>
    </x:row>
    <x:row r="418" ht="23" customHeight="1">
      <x:c r="A418" s="21" t="str">
        <x:v>严格基线调整</x:v>
      </x:c>
      <x:c r="B418" s="22" t="str">
        <x:v>均衡型</x:v>
      </x:c>
      <x:c r="C418" s="22" t="str">
        <x:v>前20%</x:v>
      </x:c>
      <x:c r="D418" s="22" t="str">
        <x:v>边界同分</x:v>
      </x:c>
      <x:c r="E418" s="22" t="str">
        <x:v>2025秋:259016</x:v>
      </x:c>
      <x:c r="F418" s="22" t="str">
        <x:v>s3</x:v>
      </x:c>
      <x:c r="G418" s="26" t="n">
        <x:v>30.5</x:v>
      </x:c>
      <x:c r="H418" s="25" t="n">
        <x:v>69.68409650754106</x:v>
      </x:c>
      <x:c r="I418" s="24" t="n">
        <x:v>1</x:v>
      </x:c>
      <x:c r="J418" s="24" t="n">
        <x:v>1</x:v>
      </x:c>
      <x:c r="K418" s="22" t="str">
        <x:v>是</x:v>
      </x:c>
      <x:c r="L418" s="22" t="n">
        <x:v>15.223052214644811</x:v>
      </x:c>
      <x:c r="M418" s="22" t="n">
        <x:v>15.288152683060153</x:v>
      </x:c>
      <x:c r="N418" s="22" t="n">
        <x:v>9.17289160983609</x:v>
      </x:c>
      <x:c r="O418" s="22" t="n">
        <x:v>30</x:v>
      </x:c>
      <x:c r="P418" s="24" t="n">
        <x:v>4</x:v>
      </x:c>
      <x:c r="Q418" s="22" t="str">
        <x:v>["S0203"]</x:v>
      </x:c>
      <x:c r="R418" s="22" t="str">
        <x:v>evidence/student_evidence.jsonl；student_key=2025秋:259016</x:v>
      </x:c>
      <x:c r="S418" s="27" t="str"/>
    </x:row>
    <x:row r="419" ht="23" customHeight="1">
      <x:c r="A419" s="21" t="str">
        <x:v>严格基线调整</x:v>
      </x:c>
      <x:c r="B419" s="22" t="str">
        <x:v>均衡型</x:v>
      </x:c>
      <x:c r="C419" s="22" t="str">
        <x:v>前20%</x:v>
      </x:c>
      <x:c r="D419" s="22" t="str">
        <x:v>边界同分</x:v>
      </x:c>
      <x:c r="E419" s="22" t="str">
        <x:v>2025秋:259024</x:v>
      </x:c>
      <x:c r="F419" s="22" t="str">
        <x:v>s3</x:v>
      </x:c>
      <x:c r="G419" s="26" t="n">
        <x:v>30.5</x:v>
      </x:c>
      <x:c r="H419" s="25" t="n">
        <x:v>69.68409650754106</x:v>
      </x:c>
      <x:c r="I419" s="24" t="n">
        <x:v>1</x:v>
      </x:c>
      <x:c r="J419" s="24" t="n">
        <x:v>1</x:v>
      </x:c>
      <x:c r="K419" s="22" t="str">
        <x:v>是</x:v>
      </x:c>
      <x:c r="L419" s="22" t="n">
        <x:v>15.223052214644811</x:v>
      </x:c>
      <x:c r="M419" s="22" t="n">
        <x:v>15.288152683060153</x:v>
      </x:c>
      <x:c r="N419" s="22" t="n">
        <x:v>9.17289160983609</x:v>
      </x:c>
      <x:c r="O419" s="22" t="n">
        <x:v>30</x:v>
      </x:c>
      <x:c r="P419" s="24" t="n">
        <x:v>4</x:v>
      </x:c>
      <x:c r="Q419" s="22" t="str">
        <x:v>["S0359"]</x:v>
      </x:c>
      <x:c r="R419" s="22" t="str">
        <x:v>evidence/student_evidence.jsonl；student_key=2025秋:259024</x:v>
      </x:c>
      <x:c r="S419" s="27" t="str"/>
    </x:row>
    <x:row r="420" ht="23" customHeight="1">
      <x:c r="A420" s="21" t="str">
        <x:v>严格基线调整</x:v>
      </x:c>
      <x:c r="B420" s="22" t="str">
        <x:v>均衡型</x:v>
      </x:c>
      <x:c r="C420" s="22" t="str">
        <x:v>后20%</x:v>
      </x:c>
      <x:c r="D420" s="22" t="str">
        <x:v>边界同分</x:v>
      </x:c>
      <x:c r="E420" s="22" t="str">
        <x:v>2025秋:259321</x:v>
      </x:c>
      <x:c r="F420" s="22" t="str">
        <x:v>s3</x:v>
      </x:c>
      <x:c r="G420" s="26" t="n">
        <x:v>117</x:v>
      </x:c>
      <x:c r="H420" s="25" t="n">
        <x:v>51.783856067232705</x:v>
      </x:c>
      <x:c r="I420" s="24" t="n">
        <x:v>1</x:v>
      </x:c>
      <x:c r="J420" s="24" t="n">
        <x:v>1</x:v>
      </x:c>
      <x:c r="K420" s="22" t="str">
        <x:v>是</x:v>
      </x:c>
      <x:c r="L420" s="22" t="n">
        <x:v>15.064476725321665</x:v>
      </x:c>
      <x:c r="M420" s="22" t="n">
        <x:v>13.5746120886944</x:v>
      </x:c>
      <x:c r="N420" s="22" t="n">
        <x:v>8.144767253216639</x:v>
      </x:c>
      <x:c r="O420" s="22" t="n">
        <x:v>15</x:v>
      </x:c>
      <x:c r="P420" s="24" t="n">
        <x:v>3</x:v>
      </x:c>
      <x:c r="Q420" s="22" t="str">
        <x:v>["S0288"]</x:v>
      </x:c>
      <x:c r="R420" s="22" t="str">
        <x:v>evidence/student_evidence.jsonl；student_key=2025秋:259321</x:v>
      </x:c>
      <x:c r="S420" s="27" t="str"/>
    </x:row>
    <x:row r="421" ht="48" customHeight="1">
      <x:c r="A421" s="21" t="str">
        <x:v>严格基线调整</x:v>
      </x:c>
      <x:c r="B421" s="22" t="str">
        <x:v>均衡型</x:v>
      </x:c>
      <x:c r="C421" s="22" t="str">
        <x:v>后20%</x:v>
      </x:c>
      <x:c r="D421" s="22" t="str">
        <x:v>严格进入</x:v>
      </x:c>
      <x:c r="E421" s="22" t="str">
        <x:v>2026春:268520</x:v>
      </x:c>
      <x:c r="F421" s="22" t="str">
        <x:v>s6</x:v>
      </x:c>
      <x:c r="G421" s="26" t="n">
        <x:v>118</x:v>
      </x:c>
      <x:c r="H421" s="25" t="n">
        <x:v>51.64857142857142</x:v>
      </x:c>
      <x:c r="I421" s="24" t="n">
        <x:v>1</x:v>
      </x:c>
      <x:c r="J421" s="24" t="n">
        <x:v>1</x:v>
      </x:c>
      <x:c r="K421" s="22" t="str">
        <x:v>是</x:v>
      </x:c>
      <x:c r="L421" s="22" t="n">
        <x:v>14.802857142857142</x:v>
      </x:c>
      <x:c r="M421" s="22" t="n">
        <x:v>10.528571428571428</x:v>
      </x:c>
      <x:c r="N421" s="22" t="n">
        <x:v>6.317142857142857</x:v>
      </x:c>
      <x:c r="O421" s="22" t="n">
        <x:v>19.999999999999996</x:v>
      </x:c>
      <x:c r="P421" s="24" t="n">
        <x:v>3</x:v>
      </x:c>
      <x:c r="Q421" s="22" t="str">
        <x:v>["S1244"]</x:v>
      </x:c>
      <x:c r="R421" s="22" t="str">
        <x:v>evidence/student_evidence.jsonl；student_key=2026春:268520</x:v>
      </x:c>
      <x:c r="S421" s="27" t="str">
        <x:v>同一锚点起止1条：未形成独立重复测量。</x:v>
      </x:c>
    </x:row>
    <x:row r="422" ht="23" customHeight="1">
      <x:c r="A422" s="21" t="str">
        <x:v>严格基线调整</x:v>
      </x:c>
      <x:c r="B422" s="22" t="str">
        <x:v>均衡型</x:v>
      </x:c>
      <x:c r="C422" s="22" t="str">
        <x:v>后20%</x:v>
      </x:c>
      <x:c r="D422" s="22" t="str">
        <x:v>严格进入</x:v>
      </x:c>
      <x:c r="E422" s="22" t="str">
        <x:v>2026春:250695</x:v>
      </x:c>
      <x:c r="F422" s="22" t="str">
        <x:v>s6</x:v>
      </x:c>
      <x:c r="G422" s="26" t="n">
        <x:v>119</x:v>
      </x:c>
      <x:c r="H422" s="25" t="n">
        <x:v>51.30200000000001</x:v>
      </x:c>
      <x:c r="I422" s="24" t="n">
        <x:v>1</x:v>
      </x:c>
      <x:c r="J422" s="24" t="n">
        <x:v>1</x:v>
      </x:c>
      <x:c r="K422" s="22" t="str">
        <x:v>是</x:v>
      </x:c>
      <x:c r="L422" s="22" t="n">
        <x:v>15.061999999999998</x:v>
      </x:c>
      <x:c r="M422" s="22" t="n">
        <x:v>13.275</x:v>
      </x:c>
      <x:c r="N422" s="22" t="n">
        <x:v>7.965</x:v>
      </x:c>
      <x:c r="O422" s="22" t="n">
        <x:v>15</x:v>
      </x:c>
      <x:c r="P422" s="24" t="n">
        <x:v>4</x:v>
      </x:c>
      <x:c r="Q422" s="22" t="str">
        <x:v>["S0818"]</x:v>
      </x:c>
      <x:c r="R422" s="22" t="str">
        <x:v>evidence/student_evidence.jsonl；student_key=2026春:250695</x:v>
      </x:c>
      <x:c r="S422" s="27" t="str"/>
    </x:row>
    <x:row r="423" ht="23" customHeight="1">
      <x:c r="A423" s="21" t="str">
        <x:v>严格基线调整</x:v>
      </x:c>
      <x:c r="B423" s="22" t="str">
        <x:v>均衡型</x:v>
      </x:c>
      <x:c r="C423" s="22" t="str">
        <x:v>后20%</x:v>
      </x:c>
      <x:c r="D423" s="22" t="str">
        <x:v>严格进入</x:v>
      </x:c>
      <x:c r="E423" s="22" t="str">
        <x:v>2025秋:259336</x:v>
      </x:c>
      <x:c r="F423" s="22" t="str">
        <x:v>s3</x:v>
      </x:c>
      <x:c r="G423" s="26" t="n">
        <x:v>120</x:v>
      </x:c>
      <x:c r="H423" s="25" t="n">
        <x:v>50.207356923430304</x:v>
      </x:c>
      <x:c r="I423" s="24" t="n">
        <x:v>1</x:v>
      </x:c>
      <x:c r="J423" s="24" t="n">
        <x:v>1</x:v>
      </x:c>
      <x:c r="K423" s="22" t="str">
        <x:v>是</x:v>
      </x:c>
      <x:c r="L423" s="22" t="n">
        <x:v>15.306315113142958</x:v>
      </x:c>
      <x:c r="M423" s="22" t="n">
        <x:v>15.56315113142959</x:v>
      </x:c>
      <x:c r="N423" s="22" t="n">
        <x:v>9.337890678857754</x:v>
      </x:c>
      <x:c r="O423" s="22" t="n">
        <x:v>9.999999999999998</x:v>
      </x:c>
      <x:c r="P423" s="24" t="n">
        <x:v>2</x:v>
      </x:c>
      <x:c r="Q423" s="22" t="str">
        <x:v>["S0286"]</x:v>
      </x:c>
      <x:c r="R423" s="22" t="str">
        <x:v>evidence/student_evidence.jsonl；student_key=2025秋:259336</x:v>
      </x:c>
      <x:c r="S423" s="27" t="str"/>
    </x:row>
    <x:row r="424" ht="23" customHeight="1">
      <x:c r="A424" s="21" t="str">
        <x:v>严格基线调整</x:v>
      </x:c>
      <x:c r="B424" s="22" t="str">
        <x:v>均衡型</x:v>
      </x:c>
      <x:c r="C424" s="22" t="str">
        <x:v>后20%</x:v>
      </x:c>
      <x:c r="D424" s="22" t="str">
        <x:v>严格进入</x:v>
      </x:c>
      <x:c r="E424" s="22" t="str">
        <x:v>2026春:268194</x:v>
      </x:c>
      <x:c r="F424" s="22" t="str">
        <x:v>s3</x:v>
      </x:c>
      <x:c r="G424" s="26" t="n">
        <x:v>121</x:v>
      </x:c>
      <x:c r="H424" s="25" t="n">
        <x:v>50.188572740373026</x:v>
      </x:c>
      <x:c r="I424" s="24" t="n">
        <x:v>1</x:v>
      </x:c>
      <x:c r="J424" s="24" t="n">
        <x:v>1</x:v>
      </x:c>
      <x:c r="K424" s="22" t="str">
        <x:v>是</x:v>
      </x:c>
      <x:c r="L424" s="22" t="n">
        <x:v>15.305210161198412</x:v>
      </x:c>
      <x:c r="M424" s="22" t="n">
        <x:v>15.552101611984131</x:v>
      </x:c>
      <x:c r="N424" s="22" t="n">
        <x:v>9.33126096719048</x:v>
      </x:c>
      <x:c r="O424" s="22" t="n">
        <x:v>9.999999999999998</x:v>
      </x:c>
      <x:c r="P424" s="24" t="n">
        <x:v>4</x:v>
      </x:c>
      <x:c r="Q424" s="22" t="str">
        <x:v>["S1067"]</x:v>
      </x:c>
      <x:c r="R424" s="22" t="str">
        <x:v>evidence/student_evidence.jsonl；student_key=2026春:268194</x:v>
      </x:c>
      <x:c r="S424" s="27" t="str"/>
    </x:row>
    <x:row r="425" ht="23" customHeight="1">
      <x:c r="A425" s="21" t="str">
        <x:v>严格基线调整</x:v>
      </x:c>
      <x:c r="B425" s="22" t="str">
        <x:v>均衡型</x:v>
      </x:c>
      <x:c r="C425" s="22" t="str">
        <x:v>后20%</x:v>
      </x:c>
      <x:c r="D425" s="22" t="str">
        <x:v>严格进入</x:v>
      </x:c>
      <x:c r="E425" s="22" t="str">
        <x:v>2025秋:258939</x:v>
      </x:c>
      <x:c r="F425" s="22" t="str">
        <x:v>s3</x:v>
      </x:c>
      <x:c r="G425" s="26" t="n">
        <x:v>122</x:v>
      </x:c>
      <x:c r="H425" s="25" t="n">
        <x:v>50.06688729575867</x:v>
      </x:c>
      <x:c r="I425" s="24" t="n">
        <x:v>1</x:v>
      </x:c>
      <x:c r="J425" s="24" t="n">
        <x:v>1</x:v>
      </x:c>
      <x:c r="K425" s="22" t="str">
        <x:v>是</x:v>
      </x:c>
      <x:c r="L425" s="22" t="n">
        <x:v>15.241280347417078</x:v>
      </x:c>
      <x:c r="M425" s="22" t="n">
        <x:v>15.516004342713497</x:v>
      </x:c>
      <x:c r="N425" s="22" t="n">
        <x:v>9.309602605628099</x:v>
      </x:c>
      <x:c r="O425" s="22" t="n">
        <x:v>9.999999999999998</x:v>
      </x:c>
      <x:c r="P425" s="24" t="n">
        <x:v>4</x:v>
      </x:c>
      <x:c r="Q425" s="22" t="str">
        <x:v>["S0367"]</x:v>
      </x:c>
      <x:c r="R425" s="22" t="str">
        <x:v>evidence/student_evidence.jsonl；student_key=2025秋:258939</x:v>
      </x:c>
      <x:c r="S425" s="27" t="str"/>
    </x:row>
    <x:row r="426" ht="23" customHeight="1">
      <x:c r="A426" s="21" t="str">
        <x:v>严格基线调整</x:v>
      </x:c>
      <x:c r="B426" s="22" t="str">
        <x:v>均衡型</x:v>
      </x:c>
      <x:c r="C426" s="22" t="str">
        <x:v>后20%</x:v>
      </x:c>
      <x:c r="D426" s="22" t="str">
        <x:v>严格进入</x:v>
      </x:c>
      <x:c r="E426" s="22" t="str">
        <x:v>2026春:268126</x:v>
      </x:c>
      <x:c r="F426" s="22" t="str">
        <x:v>s3</x:v>
      </x:c>
      <x:c r="G426" s="26" t="n">
        <x:v>123</x:v>
      </x:c>
      <x:c r="H426" s="25" t="n">
        <x:v>49.92066618070848</x:v>
      </x:c>
      <x:c r="I426" s="24" t="n">
        <x:v>1</x:v>
      </x:c>
      <x:c r="J426" s="24" t="n">
        <x:v>1</x:v>
      </x:c>
      <x:c r="K426" s="22" t="str">
        <x:v>是</x:v>
      </x:c>
      <x:c r="L426" s="22" t="n">
        <x:v>15.28945095180638</x:v>
      </x:c>
      <x:c r="M426" s="22" t="n">
        <x:v>15.394509518063812</x:v>
      </x:c>
      <x:c r="N426" s="22" t="n">
        <x:v>9.236705710838287</x:v>
      </x:c>
      <x:c r="O426" s="22" t="n">
        <x:v>9.999999999999998</x:v>
      </x:c>
      <x:c r="P426" s="24" t="n">
        <x:v>4</x:v>
      </x:c>
      <x:c r="Q426" s="22" t="str">
        <x:v>["S0931"]</x:v>
      </x:c>
      <x:c r="R426" s="22" t="str">
        <x:v>evidence/student_evidence.jsonl；student_key=2026春:268126</x:v>
      </x:c>
      <x:c r="S426" s="27" t="str"/>
    </x:row>
    <x:row r="427" ht="23" customHeight="1">
      <x:c r="A427" s="21" t="str">
        <x:v>严格基线调整</x:v>
      </x:c>
      <x:c r="B427" s="22" t="str">
        <x:v>均衡型</x:v>
      </x:c>
      <x:c r="C427" s="22" t="str">
        <x:v>后20%</x:v>
      </x:c>
      <x:c r="D427" s="22" t="str">
        <x:v>严格进入</x:v>
      </x:c>
      <x:c r="E427" s="22" t="str">
        <x:v>2026春:268162</x:v>
      </x:c>
      <x:c r="F427" s="22" t="str">
        <x:v>s3</x:v>
      </x:c>
      <x:c r="G427" s="26" t="n">
        <x:v>124</x:v>
      </x:c>
      <x:c r="H427" s="25" t="n">
        <x:v>49.800446441211896</x:v>
      </x:c>
      <x:c r="I427" s="24" t="n">
        <x:v>1</x:v>
      </x:c>
      <x:c r="J427" s="24" t="n">
        <x:v>1</x:v>
      </x:c>
      <x:c r="K427" s="22" t="str">
        <x:v>是</x:v>
      </x:c>
      <x:c r="L427" s="22" t="n">
        <x:v>15.282379202424229</x:v>
      </x:c>
      <x:c r="M427" s="22" t="n">
        <x:v>15.323792024242294</x:v>
      </x:c>
      <x:c r="N427" s="22" t="n">
        <x:v>9.194275214545376</x:v>
      </x:c>
      <x:c r="O427" s="22" t="n">
        <x:v>9.999999999999998</x:v>
      </x:c>
      <x:c r="P427" s="24" t="n">
        <x:v>4</x:v>
      </x:c>
      <x:c r="Q427" s="22" t="str">
        <x:v>["S1027"]</x:v>
      </x:c>
      <x:c r="R427" s="22" t="str">
        <x:v>evidence/student_evidence.jsonl；student_key=2026春:268162</x:v>
      </x:c>
      <x:c r="S427" s="27" t="str"/>
    </x:row>
    <x:row r="428" ht="23" customHeight="1">
      <x:c r="A428" s="21" t="str">
        <x:v>严格基线调整</x:v>
      </x:c>
      <x:c r="B428" s="22" t="str">
        <x:v>均衡型</x:v>
      </x:c>
      <x:c r="C428" s="22" t="str">
        <x:v>后20%</x:v>
      </x:c>
      <x:c r="D428" s="22" t="str">
        <x:v>严格进入</x:v>
      </x:c>
      <x:c r="E428" s="22" t="str">
        <x:v>2026春:268144</x:v>
      </x:c>
      <x:c r="F428" s="22" t="str">
        <x:v>s3</x:v>
      </x:c>
      <x:c r="G428" s="26" t="n">
        <x:v>125</x:v>
      </x:c>
      <x:c r="H428" s="25" t="n">
        <x:v>49.704519077959176</x:v>
      </x:c>
      <x:c r="I428" s="24" t="n">
        <x:v>1</x:v>
      </x:c>
      <x:c r="J428" s="24" t="n">
        <x:v>1</x:v>
      </x:c>
      <x:c r="K428" s="22" t="str">
        <x:v>是</x:v>
      </x:c>
      <x:c r="L428" s="22" t="n">
        <x:v>15.276736416350538</x:v>
      </x:c>
      <x:c r="M428" s="22" t="n">
        <x:v>15.2673641635054</x:v>
      </x:c>
      <x:c r="N428" s="22" t="n">
        <x:v>9.16041849810324</x:v>
      </x:c>
      <x:c r="O428" s="22" t="n">
        <x:v>9.999999999999998</x:v>
      </x:c>
      <x:c r="P428" s="24" t="n">
        <x:v>4</x:v>
      </x:c>
      <x:c r="Q428" s="22" t="str">
        <x:v>["S0983"]</x:v>
      </x:c>
      <x:c r="R428" s="22" t="str">
        <x:v>evidence/student_evidence.jsonl；student_key=2026春:268144</x:v>
      </x:c>
      <x:c r="S428" s="27" t="str"/>
    </x:row>
    <x:row r="429" ht="23" customHeight="1">
      <x:c r="A429" s="21" t="str">
        <x:v>严格基线调整</x:v>
      </x:c>
      <x:c r="B429" s="22" t="str">
        <x:v>均衡型</x:v>
      </x:c>
      <x:c r="C429" s="22" t="str">
        <x:v>后20%</x:v>
      </x:c>
      <x:c r="D429" s="22" t="str">
        <x:v>严格进入</x:v>
      </x:c>
      <x:c r="E429" s="22" t="str">
        <x:v>2025秋:258990</x:v>
      </x:c>
      <x:c r="F429" s="22" t="str">
        <x:v>s3</x:v>
      </x:c>
      <x:c r="G429" s="26" t="n">
        <x:v>126</x:v>
      </x:c>
      <x:c r="H429" s="25" t="n">
        <x:v>49.58103988498374</x:v>
      </x:c>
      <x:c r="I429" s="24" t="n">
        <x:v>1</x:v>
      </x:c>
      <x:c r="J429" s="24" t="n">
        <x:v>1</x:v>
      </x:c>
      <x:c r="K429" s="22" t="str">
        <x:v>是</x:v>
      </x:c>
      <x:c r="L429" s="22" t="n">
        <x:v>15.269472934410805</x:v>
      </x:c>
      <x:c r="M429" s="22" t="n">
        <x:v>15.194729344108088</x:v>
      </x:c>
      <x:c r="N429" s="22" t="n">
        <x:v>9.116837606464852</x:v>
      </x:c>
      <x:c r="O429" s="22" t="n">
        <x:v>9.999999999999998</x:v>
      </x:c>
      <x:c r="P429" s="24" t="n">
        <x:v>4</x:v>
      </x:c>
      <x:c r="Q429" s="22" t="str">
        <x:v>["S0491"]</x:v>
      </x:c>
      <x:c r="R429" s="22" t="str">
        <x:v>evidence/student_evidence.jsonl；student_key=2025秋:258990</x:v>
      </x:c>
      <x:c r="S429" s="27" t="str"/>
    </x:row>
    <x:row r="430" ht="23" customHeight="1">
      <x:c r="A430" s="21" t="str">
        <x:v>严格基线调整</x:v>
      </x:c>
      <x:c r="B430" s="22" t="str">
        <x:v>均衡型</x:v>
      </x:c>
      <x:c r="C430" s="22" t="str">
        <x:v>后20%</x:v>
      </x:c>
      <x:c r="D430" s="22" t="str">
        <x:v>严格进入</x:v>
      </x:c>
      <x:c r="E430" s="22" t="str">
        <x:v>2025秋:259958</x:v>
      </x:c>
      <x:c r="F430" s="22" t="str">
        <x:v>s3</x:v>
      </x:c>
      <x:c r="G430" s="26" t="n">
        <x:v>127</x:v>
      </x:c>
      <x:c r="H430" s="25" t="n">
        <x:v>49.05634648868864</x:v>
      </x:c>
      <x:c r="I430" s="24" t="n">
        <x:v>1</x:v>
      </x:c>
      <x:c r="J430" s="24" t="n">
        <x:v>1</x:v>
      </x:c>
      <x:c r="K430" s="22" t="str">
        <x:v>是</x:v>
      </x:c>
      <x:c r="L430" s="22" t="n">
        <x:v>14.96589204175983</x:v>
      </x:c>
      <x:c r="M430" s="22" t="n">
        <x:v>11.931534029330509</x:v>
      </x:c>
      <x:c r="N430" s="22" t="n">
        <x:v>7.158920417598305</x:v>
      </x:c>
      <x:c r="O430" s="22" t="n">
        <x:v>15</x:v>
      </x:c>
      <x:c r="P430" s="24" t="n">
        <x:v>4</x:v>
      </x:c>
      <x:c r="Q430" s="22" t="str">
        <x:v>["S0183"]</x:v>
      </x:c>
      <x:c r="R430" s="22" t="str">
        <x:v>evidence/student_evidence.jsonl；student_key=2025秋:259958</x:v>
      </x:c>
      <x:c r="S430" s="27" t="str"/>
    </x:row>
    <x:row r="431" ht="48" customHeight="1">
      <x:c r="A431" s="21" t="str">
        <x:v>严格基线调整</x:v>
      </x:c>
      <x:c r="B431" s="22" t="str">
        <x:v>均衡型</x:v>
      </x:c>
      <x:c r="C431" s="22" t="str">
        <x:v>后20%</x:v>
      </x:c>
      <x:c r="D431" s="22" t="str">
        <x:v>严格进入</x:v>
      </x:c>
      <x:c r="E431" s="22" t="str">
        <x:v>2025秋:25A171</x:v>
      </x:c>
      <x:c r="F431" s="22" t="str">
        <x:v>s3</x:v>
      </x:c>
      <x:c r="G431" s="26" t="n">
        <x:v>128</x:v>
      </x:c>
      <x:c r="H431" s="25" t="n">
        <x:v>48.02657481166354</x:v>
      </x:c>
      <x:c r="I431" s="24" t="n">
        <x:v>1</x:v>
      </x:c>
      <x:c r="J431" s="24" t="n">
        <x:v>1</x:v>
      </x:c>
      <x:c r="K431" s="22" t="str">
        <x:v>是</x:v>
      </x:c>
      <x:c r="L431" s="22" t="n">
        <x:v>14.906027371983978</x:v>
      </x:c>
      <x:c r="M431" s="22" t="n">
        <x:v>11.32534214979972</x:v>
      </x:c>
      <x:c r="N431" s="22" t="n">
        <x:v>6.795205289879832</x:v>
      </x:c>
      <x:c r="O431" s="22" t="n">
        <x:v>15</x:v>
      </x:c>
      <x:c r="P431" s="24" t="n">
        <x:v>4</x:v>
      </x:c>
      <x:c r="Q431" s="22" t="str">
        <x:v>["S0258"]</x:v>
      </x:c>
      <x:c r="R431" s="22" t="str">
        <x:v>evidence/student_evidence.jsonl；student_key=2025秋:25A171</x:v>
      </x:c>
      <x:c r="S431" s="27" t="str">
        <x:v>同一锚点起止1条：未形成独立重复测量。</x:v>
      </x:c>
    </x:row>
    <x:row r="432" ht="23" customHeight="1">
      <x:c r="A432" s="21" t="str">
        <x:v>严格基线调整</x:v>
      </x:c>
      <x:c r="B432" s="22" t="str">
        <x:v>均衡型</x:v>
      </x:c>
      <x:c r="C432" s="22" t="str">
        <x:v>后20%</x:v>
      </x:c>
      <x:c r="D432" s="22" t="str">
        <x:v>严格进入</x:v>
      </x:c>
      <x:c r="E432" s="22" t="str">
        <x:v>2025秋:258892</x:v>
      </x:c>
      <x:c r="F432" s="22" t="str">
        <x:v>s3</x:v>
      </x:c>
      <x:c r="G432" s="26" t="n">
        <x:v>129</x:v>
      </x:c>
      <x:c r="H432" s="25" t="n">
        <x:v>48.003201817849906</x:v>
      </x:c>
      <x:c r="I432" s="24" t="n">
        <x:v>2</x:v>
      </x:c>
      <x:c r="J432" s="24" t="n">
        <x:v>2</x:v>
      </x:c>
      <x:c r="K432" s="22" t="str">
        <x:v>是</x:v>
      </x:c>
      <x:c r="L432" s="22" t="n">
        <x:v>14.904914372278565</x:v>
      </x:c>
      <x:c r="M432" s="22" t="n">
        <x:v>11.311429653482087</x:v>
      </x:c>
      <x:c r="N432" s="22" t="n">
        <x:v>6.786857792089251</x:v>
      </x:c>
      <x:c r="O432" s="22" t="n">
        <x:v>15</x:v>
      </x:c>
      <x:c r="P432" s="24" t="n">
        <x:v>4</x:v>
      </x:c>
      <x:c r="Q432" s="22" t="str">
        <x:v>["S0095","S0473"]</x:v>
      </x:c>
      <x:c r="R432" s="22" t="str">
        <x:v>evidence/student_evidence.jsonl；student_key=2025秋:258892</x:v>
      </x:c>
      <x:c r="S432" s="27" t="str"/>
    </x:row>
    <x:row r="433" ht="48" customHeight="1">
      <x:c r="A433" s="21" t="str">
        <x:v>严格基线调整</x:v>
      </x:c>
      <x:c r="B433" s="22" t="str">
        <x:v>均衡型</x:v>
      </x:c>
      <x:c r="C433" s="22" t="str">
        <x:v>后20%</x:v>
      </x:c>
      <x:c r="D433" s="22" t="str">
        <x:v>严格进入</x:v>
      </x:c>
      <x:c r="E433" s="22" t="str">
        <x:v>2025秋:258274</x:v>
      </x:c>
      <x:c r="F433" s="22" t="str">
        <x:v>s3</x:v>
      </x:c>
      <x:c r="G433" s="26" t="n">
        <x:v>130.5</x:v>
      </x:c>
      <x:c r="H433" s="25" t="n">
        <x:v>47.49494405513385</x:v>
      </x:c>
      <x:c r="I433" s="24" t="n">
        <x:v>1</x:v>
      </x:c>
      <x:c r="J433" s="24" t="n">
        <x:v>1</x:v>
      </x:c>
      <x:c r="K433" s="22" t="str">
        <x:v>是</x:v>
      </x:c>
      <x:c r="L433" s="22" t="n">
        <x:v>14.85264376794905</x:v>
      </x:c>
      <x:c r="M433" s="22" t="n">
        <x:v>11.0264376794905</x:v>
      </x:c>
      <x:c r="N433" s="22" t="n">
        <x:v>6.6158626076943</x:v>
      </x:c>
      <x:c r="O433" s="22" t="n">
        <x:v>15</x:v>
      </x:c>
      <x:c r="P433" s="24" t="n">
        <x:v>4</x:v>
      </x:c>
      <x:c r="Q433" s="22" t="str">
        <x:v>["S0275"]</x:v>
      </x:c>
      <x:c r="R433" s="22" t="str">
        <x:v>evidence/student_evidence.jsonl；student_key=2025秋:258274</x:v>
      </x:c>
      <x:c r="S433" s="27" t="str">
        <x:v>同一锚点起止1条：未形成独立重复测量。</x:v>
      </x:c>
    </x:row>
    <x:row r="434" ht="23" customHeight="1">
      <x:c r="A434" s="21" t="str">
        <x:v>严格基线调整</x:v>
      </x:c>
      <x:c r="B434" s="22" t="str">
        <x:v>均衡型</x:v>
      </x:c>
      <x:c r="C434" s="22" t="str">
        <x:v>后20%</x:v>
      </x:c>
      <x:c r="D434" s="22" t="str">
        <x:v>严格进入</x:v>
      </x:c>
      <x:c r="E434" s="22" t="str">
        <x:v>2025秋:259315</x:v>
      </x:c>
      <x:c r="F434" s="22" t="str">
        <x:v>s3</x:v>
      </x:c>
      <x:c r="G434" s="26" t="n">
        <x:v>130.5</x:v>
      </x:c>
      <x:c r="H434" s="25" t="n">
        <x:v>47.49494405513385</x:v>
      </x:c>
      <x:c r="I434" s="24" t="n">
        <x:v>1</x:v>
      </x:c>
      <x:c r="J434" s="24" t="n">
        <x:v>1</x:v>
      </x:c>
      <x:c r="K434" s="22" t="str">
        <x:v>是</x:v>
      </x:c>
      <x:c r="L434" s="22" t="n">
        <x:v>14.85264376794905</x:v>
      </x:c>
      <x:c r="M434" s="22" t="n">
        <x:v>11.0264376794905</x:v>
      </x:c>
      <x:c r="N434" s="22" t="n">
        <x:v>6.6158626076943</x:v>
      </x:c>
      <x:c r="O434" s="22" t="n">
        <x:v>15</x:v>
      </x:c>
      <x:c r="P434" s="24" t="n">
        <x:v>4</x:v>
      </x:c>
      <x:c r="Q434" s="22" t="str">
        <x:v>["S0405"]</x:v>
      </x:c>
      <x:c r="R434" s="22" t="str">
        <x:v>evidence/student_evidence.jsonl；student_key=2025秋:259315</x:v>
      </x:c>
      <x:c r="S434" s="27" t="str"/>
    </x:row>
    <x:row r="435" ht="23" customHeight="1">
      <x:c r="A435" s="21" t="str">
        <x:v>严格基线调整</x:v>
      </x:c>
      <x:c r="B435" s="22" t="str">
        <x:v>均衡型</x:v>
      </x:c>
      <x:c r="C435" s="22" t="str">
        <x:v>后20%</x:v>
      </x:c>
      <x:c r="D435" s="22" t="str">
        <x:v>严格进入</x:v>
      </x:c>
      <x:c r="E435" s="22" t="str">
        <x:v>2025秋:259422</x:v>
      </x:c>
      <x:c r="F435" s="22" t="str">
        <x:v>s3</x:v>
      </x:c>
      <x:c r="G435" s="26" t="n">
        <x:v>132</x:v>
      </x:c>
      <x:c r="H435" s="25" t="n">
        <x:v>47.092916556433096</x:v>
      </x:c>
      <x:c r="I435" s="24" t="n">
        <x:v>1</x:v>
      </x:c>
      <x:c r="J435" s="24" t="n">
        <x:v>1</x:v>
      </x:c>
      <x:c r="K435" s="22" t="str">
        <x:v>是</x:v>
      </x:c>
      <x:c r="L435" s="22" t="n">
        <x:v>14.828995091554889</x:v>
      </x:c>
      <x:c r="M435" s="22" t="n">
        <x:v>10.789950915548879</x:v>
      </x:c>
      <x:c r="N435" s="22" t="n">
        <x:v>6.473970549329327</x:v>
      </x:c>
      <x:c r="O435" s="22" t="n">
        <x:v>15</x:v>
      </x:c>
      <x:c r="P435" s="24" t="n">
        <x:v>4</x:v>
      </x:c>
      <x:c r="Q435" s="22" t="str">
        <x:v>["S0421"]</x:v>
      </x:c>
      <x:c r="R435" s="22" t="str">
        <x:v>evidence/student_evidence.jsonl；student_key=2025秋:259422</x:v>
      </x:c>
      <x:c r="S435" s="27" t="str"/>
    </x:row>
    <x:row r="436" ht="23" customHeight="1">
      <x:c r="A436" s="21" t="str">
        <x:v>严格基线调整</x:v>
      </x:c>
      <x:c r="B436" s="22" t="str">
        <x:v>均衡型</x:v>
      </x:c>
      <x:c r="C436" s="22" t="str">
        <x:v>后20%</x:v>
      </x:c>
      <x:c r="D436" s="22" t="str">
        <x:v>严格进入</x:v>
      </x:c>
      <x:c r="E436" s="22" t="str">
        <x:v>2025秋:258912</x:v>
      </x:c>
      <x:c r="F436" s="22" t="str">
        <x:v>s3</x:v>
      </x:c>
      <x:c r="G436" s="26" t="n">
        <x:v>136.5</x:v>
      </x:c>
      <x:c r="H436" s="25" t="n">
        <x:v>47.09231392988755</x:v>
      </x:c>
      <x:c r="I436" s="24" t="n">
        <x:v>1</x:v>
      </x:c>
      <x:c r="J436" s="24" t="n">
        <x:v>1</x:v>
      </x:c>
      <x:c r="K436" s="22" t="str">
        <x:v>是</x:v>
      </x:c>
      <x:c r="L436" s="22" t="n">
        <x:v>14.828959642934562</x:v>
      </x:c>
      <x:c r="M436" s="22" t="n">
        <x:v>10.789596429345622</x:v>
      </x:c>
      <x:c r="N436" s="22" t="n">
        <x:v>6.473757857607373</x:v>
      </x:c>
      <x:c r="O436" s="22" t="n">
        <x:v>15</x:v>
      </x:c>
      <x:c r="P436" s="24" t="n">
        <x:v>4</x:v>
      </x:c>
      <x:c r="Q436" s="22" t="str">
        <x:v>["S0092"]</x:v>
      </x:c>
      <x:c r="R436" s="22" t="str">
        <x:v>evidence/student_evidence.jsonl；student_key=2025秋:258912</x:v>
      </x:c>
      <x:c r="S436" s="27" t="str"/>
    </x:row>
    <x:row r="437" ht="48" customHeight="1">
      <x:c r="A437" s="21" t="str">
        <x:v>严格基线调整</x:v>
      </x:c>
      <x:c r="B437" s="22" t="str">
        <x:v>均衡型</x:v>
      </x:c>
      <x:c r="C437" s="22" t="str">
        <x:v>后20%</x:v>
      </x:c>
      <x:c r="D437" s="22" t="str">
        <x:v>严格进入</x:v>
      </x:c>
      <x:c r="E437" s="22" t="str">
        <x:v>2025秋:258923</x:v>
      </x:c>
      <x:c r="F437" s="22" t="str">
        <x:v>s3</x:v>
      </x:c>
      <x:c r="G437" s="26" t="n">
        <x:v>136.5</x:v>
      </x:c>
      <x:c r="H437" s="25" t="n">
        <x:v>47.09231392988755</x:v>
      </x:c>
      <x:c r="I437" s="24" t="n">
        <x:v>1</x:v>
      </x:c>
      <x:c r="J437" s="24" t="n">
        <x:v>1</x:v>
      </x:c>
      <x:c r="K437" s="22" t="str">
        <x:v>是</x:v>
      </x:c>
      <x:c r="L437" s="22" t="n">
        <x:v>14.828959642934562</x:v>
      </x:c>
      <x:c r="M437" s="22" t="n">
        <x:v>10.789596429345622</x:v>
      </x:c>
      <x:c r="N437" s="22" t="n">
        <x:v>6.473757857607373</x:v>
      </x:c>
      <x:c r="O437" s="22" t="n">
        <x:v>15</x:v>
      </x:c>
      <x:c r="P437" s="24" t="n">
        <x:v>4</x:v>
      </x:c>
      <x:c r="Q437" s="22" t="str">
        <x:v>["S0120"]</x:v>
      </x:c>
      <x:c r="R437" s="22" t="str">
        <x:v>evidence/student_evidence.jsonl；student_key=2025秋:258923</x:v>
      </x:c>
      <x:c r="S437" s="27" t="str">
        <x:v>同一锚点起止1条：未形成独立重复测量。</x:v>
      </x:c>
    </x:row>
    <x:row r="438" ht="23" customHeight="1">
      <x:c r="A438" s="21" t="str">
        <x:v>严格基线调整</x:v>
      </x:c>
      <x:c r="B438" s="22" t="str">
        <x:v>均衡型</x:v>
      </x:c>
      <x:c r="C438" s="22" t="str">
        <x:v>后20%</x:v>
      </x:c>
      <x:c r="D438" s="22" t="str">
        <x:v>严格进入</x:v>
      </x:c>
      <x:c r="E438" s="22" t="str">
        <x:v>2025秋:259059</x:v>
      </x:c>
      <x:c r="F438" s="22" t="str">
        <x:v>s3</x:v>
      </x:c>
      <x:c r="G438" s="26" t="n">
        <x:v>136.5</x:v>
      </x:c>
      <x:c r="H438" s="25" t="n">
        <x:v>47.09231392988755</x:v>
      </x:c>
      <x:c r="I438" s="24" t="n">
        <x:v>1</x:v>
      </x:c>
      <x:c r="J438" s="24" t="n">
        <x:v>1</x:v>
      </x:c>
      <x:c r="K438" s="22" t="str">
        <x:v>是</x:v>
      </x:c>
      <x:c r="L438" s="22" t="n">
        <x:v>14.828959642934562</x:v>
      </x:c>
      <x:c r="M438" s="22" t="n">
        <x:v>10.789596429345622</x:v>
      </x:c>
      <x:c r="N438" s="22" t="n">
        <x:v>6.473757857607373</x:v>
      </x:c>
      <x:c r="O438" s="22" t="n">
        <x:v>15</x:v>
      </x:c>
      <x:c r="P438" s="24" t="n">
        <x:v>4</x:v>
      </x:c>
      <x:c r="Q438" s="22" t="str">
        <x:v>["S0426"]</x:v>
      </x:c>
      <x:c r="R438" s="22" t="str">
        <x:v>evidence/student_evidence.jsonl；student_key=2025秋:259059</x:v>
      </x:c>
      <x:c r="S438" s="27" t="str"/>
    </x:row>
    <x:row r="439" ht="23" customHeight="1">
      <x:c r="A439" s="21" t="str">
        <x:v>严格基线调整</x:v>
      </x:c>
      <x:c r="B439" s="22" t="str">
        <x:v>均衡型</x:v>
      </x:c>
      <x:c r="C439" s="22" t="str">
        <x:v>后20%</x:v>
      </x:c>
      <x:c r="D439" s="22" t="str">
        <x:v>严格进入</x:v>
      </x:c>
      <x:c r="E439" s="22" t="str">
        <x:v>2025秋:259106</x:v>
      </x:c>
      <x:c r="F439" s="22" t="str">
        <x:v>s3</x:v>
      </x:c>
      <x:c r="G439" s="26" t="n">
        <x:v>136.5</x:v>
      </x:c>
      <x:c r="H439" s="25" t="n">
        <x:v>47.09231392988755</x:v>
      </x:c>
      <x:c r="I439" s="24" t="n">
        <x:v>1</x:v>
      </x:c>
      <x:c r="J439" s="24" t="n">
        <x:v>1</x:v>
      </x:c>
      <x:c r="K439" s="22" t="str">
        <x:v>是</x:v>
      </x:c>
      <x:c r="L439" s="22" t="n">
        <x:v>14.828959642934562</x:v>
      </x:c>
      <x:c r="M439" s="22" t="n">
        <x:v>10.789596429345622</x:v>
      </x:c>
      <x:c r="N439" s="22" t="n">
        <x:v>6.473757857607373</x:v>
      </x:c>
      <x:c r="O439" s="22" t="n">
        <x:v>15</x:v>
      </x:c>
      <x:c r="P439" s="24" t="n">
        <x:v>4</x:v>
      </x:c>
      <x:c r="Q439" s="22" t="str">
        <x:v>["S0005"]</x:v>
      </x:c>
      <x:c r="R439" s="22" t="str">
        <x:v>evidence/student_evidence.jsonl；student_key=2025秋:259106</x:v>
      </x:c>
      <x:c r="S439" s="27" t="str"/>
    </x:row>
    <x:row r="440" ht="48" customHeight="1">
      <x:c r="A440" s="21" t="str">
        <x:v>严格基线调整</x:v>
      </x:c>
      <x:c r="B440" s="22" t="str">
        <x:v>均衡型</x:v>
      </x:c>
      <x:c r="C440" s="22" t="str">
        <x:v>后20%</x:v>
      </x:c>
      <x:c r="D440" s="22" t="str">
        <x:v>严格进入</x:v>
      </x:c>
      <x:c r="E440" s="22" t="str">
        <x:v>2025秋:259346</x:v>
      </x:c>
      <x:c r="F440" s="22" t="str">
        <x:v>s3</x:v>
      </x:c>
      <x:c r="G440" s="26" t="n">
        <x:v>136.5</x:v>
      </x:c>
      <x:c r="H440" s="25" t="n">
        <x:v>47.09231392988755</x:v>
      </x:c>
      <x:c r="I440" s="24" t="n">
        <x:v>1</x:v>
      </x:c>
      <x:c r="J440" s="24" t="n">
        <x:v>1</x:v>
      </x:c>
      <x:c r="K440" s="22" t="str">
        <x:v>是</x:v>
      </x:c>
      <x:c r="L440" s="22" t="n">
        <x:v>14.828959642934562</x:v>
      </x:c>
      <x:c r="M440" s="22" t="n">
        <x:v>10.789596429345622</x:v>
      </x:c>
      <x:c r="N440" s="22" t="n">
        <x:v>6.473757857607373</x:v>
      </x:c>
      <x:c r="O440" s="22" t="n">
        <x:v>15</x:v>
      </x:c>
      <x:c r="P440" s="24" t="n">
        <x:v>4</x:v>
      </x:c>
      <x:c r="Q440" s="22" t="str">
        <x:v>["S0672"]</x:v>
      </x:c>
      <x:c r="R440" s="22" t="str">
        <x:v>evidence/student_evidence.jsonl；student_key=2025秋:259346</x:v>
      </x:c>
      <x:c r="S440" s="27" t="str">
        <x:v>同一锚点起止1条：未形成独立重复测量。</x:v>
      </x:c>
    </x:row>
    <x:row r="441" ht="23" customHeight="1">
      <x:c r="A441" s="21" t="str">
        <x:v>严格基线调整</x:v>
      </x:c>
      <x:c r="B441" s="22" t="str">
        <x:v>均衡型</x:v>
      </x:c>
      <x:c r="C441" s="22" t="str">
        <x:v>后20%</x:v>
      </x:c>
      <x:c r="D441" s="22" t="str">
        <x:v>严格进入</x:v>
      </x:c>
      <x:c r="E441" s="22" t="str">
        <x:v>2026春:258955</x:v>
      </x:c>
      <x:c r="F441" s="22" t="str">
        <x:v>s3</x:v>
      </x:c>
      <x:c r="G441" s="26" t="n">
        <x:v>136.5</x:v>
      </x:c>
      <x:c r="H441" s="25" t="n">
        <x:v>47.09231392988755</x:v>
      </x:c>
      <x:c r="I441" s="24" t="n">
        <x:v>1</x:v>
      </x:c>
      <x:c r="J441" s="24" t="n">
        <x:v>1</x:v>
      </x:c>
      <x:c r="K441" s="22" t="str">
        <x:v>是</x:v>
      </x:c>
      <x:c r="L441" s="22" t="n">
        <x:v>14.828959642934562</x:v>
      </x:c>
      <x:c r="M441" s="22" t="n">
        <x:v>10.789596429345622</x:v>
      </x:c>
      <x:c r="N441" s="22" t="n">
        <x:v>6.473757857607373</x:v>
      </x:c>
      <x:c r="O441" s="22" t="n">
        <x:v>15</x:v>
      </x:c>
      <x:c r="P441" s="24" t="n">
        <x:v>4</x:v>
      </x:c>
      <x:c r="Q441" s="22" t="str">
        <x:v>["S0838"]</x:v>
      </x:c>
      <x:c r="R441" s="22" t="str">
        <x:v>evidence/student_evidence.jsonl；student_key=2026春:258955</x:v>
      </x:c>
      <x:c r="S441" s="27" t="str"/>
    </x:row>
    <x:row r="442" ht="23" customHeight="1">
      <x:c r="A442" s="21" t="str">
        <x:v>严格基线调整</x:v>
      </x:c>
      <x:c r="B442" s="22" t="str">
        <x:v>均衡型</x:v>
      </x:c>
      <x:c r="C442" s="22" t="str">
        <x:v>后20%</x:v>
      </x:c>
      <x:c r="D442" s="22" t="str">
        <x:v>严格进入</x:v>
      </x:c>
      <x:c r="E442" s="22" t="str">
        <x:v>2026春:268176</x:v>
      </x:c>
      <x:c r="F442" s="22" t="str">
        <x:v>s3</x:v>
      </x:c>
      <x:c r="G442" s="26" t="n">
        <x:v>136.5</x:v>
      </x:c>
      <x:c r="H442" s="25" t="n">
        <x:v>47.09231392988755</x:v>
      </x:c>
      <x:c r="I442" s="24" t="n">
        <x:v>1</x:v>
      </x:c>
      <x:c r="J442" s="24" t="n">
        <x:v>1</x:v>
      </x:c>
      <x:c r="K442" s="22" t="str">
        <x:v>是</x:v>
      </x:c>
      <x:c r="L442" s="22" t="n">
        <x:v>14.828959642934562</x:v>
      </x:c>
      <x:c r="M442" s="22" t="n">
        <x:v>10.789596429345622</x:v>
      </x:c>
      <x:c r="N442" s="22" t="n">
        <x:v>6.473757857607373</x:v>
      </x:c>
      <x:c r="O442" s="22" t="n">
        <x:v>15</x:v>
      </x:c>
      <x:c r="P442" s="24" t="n">
        <x:v>4</x:v>
      </x:c>
      <x:c r="Q442" s="22" t="str">
        <x:v>["S1047"]</x:v>
      </x:c>
      <x:c r="R442" s="22" t="str">
        <x:v>evidence/student_evidence.jsonl；student_key=2026春:268176</x:v>
      </x:c>
      <x:c r="S442" s="27" t="str"/>
    </x:row>
    <x:row r="443" ht="23" customHeight="1">
      <x:c r="A443" s="21" t="str">
        <x:v>严格基线调整</x:v>
      </x:c>
      <x:c r="B443" s="22" t="str">
        <x:v>均衡型</x:v>
      </x:c>
      <x:c r="C443" s="22" t="str">
        <x:v>后20%</x:v>
      </x:c>
      <x:c r="D443" s="22" t="str">
        <x:v>严格进入</x:v>
      </x:c>
      <x:c r="E443" s="22" t="str">
        <x:v>2026春:268538</x:v>
      </x:c>
      <x:c r="F443" s="22" t="str">
        <x:v>s3</x:v>
      </x:c>
      <x:c r="G443" s="26" t="n">
        <x:v>136.5</x:v>
      </x:c>
      <x:c r="H443" s="25" t="n">
        <x:v>47.09231392988755</x:v>
      </x:c>
      <x:c r="I443" s="24" t="n">
        <x:v>1</x:v>
      </x:c>
      <x:c r="J443" s="24" t="n">
        <x:v>1</x:v>
      </x:c>
      <x:c r="K443" s="22" t="str">
        <x:v>是</x:v>
      </x:c>
      <x:c r="L443" s="22" t="n">
        <x:v>14.828959642934562</x:v>
      </x:c>
      <x:c r="M443" s="22" t="n">
        <x:v>10.789596429345622</x:v>
      </x:c>
      <x:c r="N443" s="22" t="n">
        <x:v>6.473757857607373</x:v>
      </x:c>
      <x:c r="O443" s="22" t="n">
        <x:v>15</x:v>
      </x:c>
      <x:c r="P443" s="24" t="n">
        <x:v>4</x:v>
      </x:c>
      <x:c r="Q443" s="22" t="str">
        <x:v>["S1276"]</x:v>
      </x:c>
      <x:c r="R443" s="22" t="str">
        <x:v>evidence/student_evidence.jsonl；student_key=2026春:268538</x:v>
      </x:c>
      <x:c r="S443" s="27" t="str"/>
    </x:row>
    <x:row r="444" ht="23" customHeight="1">
      <x:c r="A444" s="21" t="str">
        <x:v>严格基线调整</x:v>
      </x:c>
      <x:c r="B444" s="22" t="str">
        <x:v>均衡型</x:v>
      </x:c>
      <x:c r="C444" s="22" t="str">
        <x:v>后20%</x:v>
      </x:c>
      <x:c r="D444" s="22" t="str">
        <x:v>严格进入</x:v>
      </x:c>
      <x:c r="E444" s="22" t="str">
        <x:v>2026春:268498</x:v>
      </x:c>
      <x:c r="F444" s="22" t="str">
        <x:v>s3</x:v>
      </x:c>
      <x:c r="G444" s="26" t="n">
        <x:v>141</x:v>
      </x:c>
      <x:c r="H444" s="25" t="n">
        <x:v>46.795758617769486</x:v>
      </x:c>
      <x:c r="I444" s="24" t="n">
        <x:v>1</x:v>
      </x:c>
      <x:c r="J444" s="24" t="n">
        <x:v>1</x:v>
      </x:c>
      <x:c r="K444" s="22" t="str">
        <x:v>是</x:v>
      </x:c>
      <x:c r="L444" s="22" t="n">
        <x:v>14.987985801045264</x:v>
      </x:c>
      <x:c r="M444" s="22" t="n">
        <x:v>12.379858010452642</x:v>
      </x:c>
      <x:c r="N444" s="22" t="n">
        <x:v>7.427914806271585</x:v>
      </x:c>
      <x:c r="O444" s="22" t="n">
        <x:v>12</x:v>
      </x:c>
      <x:c r="P444" s="24" t="n">
        <x:v>4</x:v>
      </x:c>
      <x:c r="Q444" s="22" t="str">
        <x:v>["S1207"]</x:v>
      </x:c>
      <x:c r="R444" s="22" t="str">
        <x:v>evidence/student_evidence.jsonl；student_key=2026春:268498</x:v>
      </x:c>
      <x:c r="S444" s="27" t="str"/>
    </x:row>
    <x:row r="445" ht="23" customHeight="1">
      <x:c r="A445" s="21" t="str">
        <x:v>严格基线调整</x:v>
      </x:c>
      <x:c r="B445" s="22" t="str">
        <x:v>均衡型</x:v>
      </x:c>
      <x:c r="C445" s="22" t="str">
        <x:v>后20%</x:v>
      </x:c>
      <x:c r="D445" s="22" t="str">
        <x:v>严格进入</x:v>
      </x:c>
      <x:c r="E445" s="22" t="str">
        <x:v>2026春:268135</x:v>
      </x:c>
      <x:c r="F445" s="22" t="str">
        <x:v>s3</x:v>
      </x:c>
      <x:c r="G445" s="26" t="n">
        <x:v>142</x:v>
      </x:c>
      <x:c r="H445" s="25" t="n">
        <x:v>46.79201245249697</x:v>
      </x:c>
      <x:c r="I445" s="24" t="n">
        <x:v>1</x:v>
      </x:c>
      <x:c r="J445" s="24" t="n">
        <x:v>1</x:v>
      </x:c>
      <x:c r="K445" s="22" t="str">
        <x:v>是</x:v>
      </x:c>
      <x:c r="L445" s="22" t="n">
        <x:v>15.252471320735115</x:v>
      </x:c>
      <x:c r="M445" s="22" t="n">
        <x:v>15.024713207351162</x:v>
      </x:c>
      <x:c r="N445" s="22" t="n">
        <x:v>9.014827924410698</x:v>
      </x:c>
      <x:c r="O445" s="22" t="n">
        <x:v>7.5</x:v>
      </x:c>
      <x:c r="P445" s="24" t="n">
        <x:v>4</x:v>
      </x:c>
      <x:c r="Q445" s="22" t="str">
        <x:v>["S0948"]</x:v>
      </x:c>
      <x:c r="R445" s="22" t="str">
        <x:v>evidence/student_evidence.jsonl；student_key=2026春:268135</x:v>
      </x:c>
      <x:c r="S445" s="27" t="str"/>
    </x:row>
    <x:row r="446" ht="48" customHeight="1">
      <x:c r="A446" s="21" t="str">
        <x:v>严格基线调整</x:v>
      </x:c>
      <x:c r="B446" s="22" t="str">
        <x:v>均衡型</x:v>
      </x:c>
      <x:c r="C446" s="22" t="str">
        <x:v>后20%</x:v>
      </x:c>
      <x:c r="D446" s="22" t="str">
        <x:v>严格进入</x:v>
      </x:c>
      <x:c r="E446" s="22" t="str">
        <x:v>2026春:250845</x:v>
      </x:c>
      <x:c r="F446" s="22" t="str">
        <x:v>s6</x:v>
      </x:c>
      <x:c r="G446" s="26" t="n">
        <x:v>143</x:v>
      </x:c>
      <x:c r="H446" s="25" t="n">
        <x:v>46.64857142857143</x:v>
      </x:c>
      <x:c r="I446" s="24" t="n">
        <x:v>1</x:v>
      </x:c>
      <x:c r="J446" s="24" t="n">
        <x:v>1</x:v>
      </x:c>
      <x:c r="K446" s="22" t="str">
        <x:v>是</x:v>
      </x:c>
      <x:c r="L446" s="22" t="n">
        <x:v>14.802857142857142</x:v>
      </x:c>
      <x:c r="M446" s="22" t="n">
        <x:v>10.528571428571428</x:v>
      </x:c>
      <x:c r="N446" s="22" t="n">
        <x:v>6.317142857142857</x:v>
      </x:c>
      <x:c r="O446" s="22" t="n">
        <x:v>15</x:v>
      </x:c>
      <x:c r="P446" s="24" t="n">
        <x:v>4</x:v>
      </x:c>
      <x:c r="Q446" s="22" t="str">
        <x:v>["S0825"]</x:v>
      </x:c>
      <x:c r="R446" s="22" t="str">
        <x:v>evidence/student_evidence.jsonl；student_key=2026春:250845</x:v>
      </x:c>
      <x:c r="S446" s="27" t="str">
        <x:v>同一锚点起止1条：未形成独立重复测量。</x:v>
      </x:c>
    </x:row>
    <x:row r="447" ht="23" customHeight="1">
      <x:c r="A447" s="21" t="str">
        <x:v>严格基线调整</x:v>
      </x:c>
      <x:c r="B447" s="22" t="str">
        <x:v>均衡型</x:v>
      </x:c>
      <x:c r="C447" s="22" t="str">
        <x:v>后20%</x:v>
      </x:c>
      <x:c r="D447" s="22" t="str">
        <x:v>严格进入</x:v>
      </x:c>
      <x:c r="E447" s="22" t="str">
        <x:v>2026春:268130</x:v>
      </x:c>
      <x:c r="F447" s="22" t="str">
        <x:v>s3</x:v>
      </x:c>
      <x:c r="G447" s="26" t="n">
        <x:v>144</x:v>
      </x:c>
      <x:c r="H447" s="25" t="n">
        <x:v>45.64149134440967</x:v>
      </x:c>
      <x:c r="I447" s="24" t="n">
        <x:v>1</x:v>
      </x:c>
      <x:c r="J447" s="24" t="n">
        <x:v>1</x:v>
      </x:c>
      <x:c r="K447" s="22" t="str">
        <x:v>是</x:v>
      </x:c>
      <x:c r="L447" s="22" t="n">
        <x:v>15.037734784965275</x:v>
      </x:c>
      <x:c r="M447" s="22" t="n">
        <x:v>12.877347849652748</x:v>
      </x:c>
      <x:c r="N447" s="22" t="n">
        <x:v>7.726408709791649</x:v>
      </x:c>
      <x:c r="O447" s="22" t="n">
        <x:v>9.999999999999998</x:v>
      </x:c>
      <x:c r="P447" s="24" t="n">
        <x:v>4</x:v>
      </x:c>
      <x:c r="Q447" s="22" t="str">
        <x:v>["S0938"]</x:v>
      </x:c>
      <x:c r="R447" s="22" t="str">
        <x:v>evidence/student_evidence.jsonl；student_key=2026春:268130</x:v>
      </x:c>
      <x:c r="S447" s="27" t="str"/>
    </x:row>
    <x:row r="448" ht="23" customHeight="1">
      <x:c r="A448" s="21" t="str">
        <x:v>严格基线调整</x:v>
      </x:c>
      <x:c r="B448" s="22" t="str">
        <x:v>均衡型</x:v>
      </x:c>
      <x:c r="C448" s="22" t="str">
        <x:v>后20%</x:v>
      </x:c>
      <x:c r="D448" s="22" t="str">
        <x:v>严格进入</x:v>
      </x:c>
      <x:c r="E448" s="22" t="str">
        <x:v>2026春:268133</x:v>
      </x:c>
      <x:c r="F448" s="22" t="str">
        <x:v>s3</x:v>
      </x:c>
      <x:c r="G448" s="26" t="n">
        <x:v>145</x:v>
      </x:c>
      <x:c r="H448" s="25" t="n">
        <x:v>42.36277398961133</x:v>
      </x:c>
      <x:c r="I448" s="24" t="n">
        <x:v>1</x:v>
      </x:c>
      <x:c r="J448" s="24" t="n">
        <x:v>1</x:v>
      </x:c>
      <x:c r="K448" s="22" t="str">
        <x:v>是</x:v>
      </x:c>
      <x:c r="L448" s="22" t="n">
        <x:v>14.991927881741843</x:v>
      </x:c>
      <x:c r="M448" s="22" t="n">
        <x:v>12.419278817418432</x:v>
      </x:c>
      <x:c r="N448" s="22" t="n">
        <x:v>7.451567290451059</x:v>
      </x:c>
      <x:c r="O448" s="22" t="n">
        <x:v>7.5</x:v>
      </x:c>
      <x:c r="P448" s="24" t="n">
        <x:v>4</x:v>
      </x:c>
      <x:c r="Q448" s="22" t="str">
        <x:v>["S0944"]</x:v>
      </x:c>
      <x:c r="R448" s="22" t="str">
        <x:v>evidence/student_evidence.jsonl；student_key=2026春:268133</x:v>
      </x:c>
      <x:c r="S448" s="27" t="str"/>
    </x:row>
    <x:row r="449" ht="23" customHeight="1">
      <x:c r="A449" s="21" t="str">
        <x:v>严格基线调整</x:v>
      </x:c>
      <x:c r="B449" s="22" t="str">
        <x:v>均衡型</x:v>
      </x:c>
      <x:c r="C449" s="22" t="str">
        <x:v>后20%</x:v>
      </x:c>
      <x:c r="D449" s="22" t="str">
        <x:v>严格进入</x:v>
      </x:c>
      <x:c r="E449" s="22" t="str">
        <x:v>2026春:250868</x:v>
      </x:c>
      <x:c r="F449" s="22" t="str">
        <x:v>s3</x:v>
      </x:c>
      <x:c r="G449" s="26" t="n">
        <x:v>146</x:v>
      </x:c>
      <x:c r="H449" s="25" t="n">
        <x:v>42.21163962733826</x:v>
      </x:c>
      <x:c r="I449" s="24" t="n">
        <x:v>1</x:v>
      </x:c>
      <x:c r="J449" s="24" t="n">
        <x:v>1</x:v>
      </x:c>
      <x:c r="K449" s="22" t="str">
        <x:v>是</x:v>
      </x:c>
      <x:c r="L449" s="22" t="n">
        <x:v>14.983037625137545</x:v>
      </x:c>
      <x:c r="M449" s="22" t="n">
        <x:v>12.330376251375444</x:v>
      </x:c>
      <x:c r="N449" s="22" t="n">
        <x:v>7.398225750825266</x:v>
      </x:c>
      <x:c r="O449" s="22" t="n">
        <x:v>7.5</x:v>
      </x:c>
      <x:c r="P449" s="24" t="n">
        <x:v>4</x:v>
      </x:c>
      <x:c r="Q449" s="22" t="str">
        <x:v>["S0828"]</x:v>
      </x:c>
      <x:c r="R449" s="22" t="str">
        <x:v>evidence/student_evidence.jsonl；student_key=2026春:250868</x:v>
      </x:c>
      <x:c r="S449" s="27" t="str"/>
    </x:row>
    <x:row r="450" ht="48" customHeight="1">
      <x:c r="A450" s="21" t="str">
        <x:v>严格基线调整</x:v>
      </x:c>
      <x:c r="B450" s="22" t="str">
        <x:v>突破优先型</x:v>
      </x:c>
      <x:c r="C450" s="22" t="str">
        <x:v>前20%</x:v>
      </x:c>
      <x:c r="D450" s="22" t="str">
        <x:v>严格进入</x:v>
      </x:c>
      <x:c r="E450" s="22" t="str">
        <x:v>2025秋:259329</x:v>
      </x:c>
      <x:c r="F450" s="22" t="str">
        <x:v>s6</x:v>
      </x:c>
      <x:c r="G450" s="26" t="n">
        <x:v>1</x:v>
      </x:c>
      <x:c r="H450" s="25" t="n">
        <x:v>79.80380952380952</x:v>
      </x:c>
      <x:c r="I450" s="24" t="n">
        <x:v>1</x:v>
      </x:c>
      <x:c r="J450" s="24" t="n">
        <x:v>1</x:v>
      </x:c>
      <x:c r="K450" s="22" t="str">
        <x:v>是</x:v>
      </x:c>
      <x:c r="L450" s="22" t="n">
        <x:v>10.535238095238096</x:v>
      </x:c>
      <x:c r="M450" s="22" t="n">
        <x:v>16.422857142857143</x:v>
      </x:c>
      <x:c r="N450" s="22" t="n">
        <x:v>32.84571428571429</x:v>
      </x:c>
      <x:c r="O450" s="22" t="n">
        <x:v>20</x:v>
      </x:c>
      <x:c r="P450" s="24" t="n">
        <x:v>4</x:v>
      </x:c>
      <x:c r="Q450" s="22" t="str">
        <x:v>["S0112"]</x:v>
      </x:c>
      <x:c r="R450" s="22" t="str">
        <x:v>evidence/student_evidence.jsonl；student_key=2025秋:259329</x:v>
      </x:c>
      <x:c r="S450" s="27" t="str">
        <x:v>S0112库存案例为文字框架，未见完整方程、求解及验证；L6构造要求需复核。</x:v>
      </x:c>
    </x:row>
    <x:row r="451" ht="48" customHeight="1">
      <x:c r="A451" s="21" t="str">
        <x:v>严格基线调整</x:v>
      </x:c>
      <x:c r="B451" s="22" t="str">
        <x:v>突破优先型</x:v>
      </x:c>
      <x:c r="C451" s="22" t="str">
        <x:v>前20%</x:v>
      </x:c>
      <x:c r="D451" s="22" t="str">
        <x:v>严格进入</x:v>
      </x:c>
      <x:c r="E451" s="22" t="str">
        <x:v>2025秋:259869</x:v>
      </x:c>
      <x:c r="F451" s="22" t="str">
        <x:v>s6</x:v>
      </x:c>
      <x:c r="G451" s="26" t="n">
        <x:v>2</x:v>
      </x:c>
      <x:c r="H451" s="25" t="n">
        <x:v>75.9704761904762</x:v>
      </x:c>
      <x:c r="I451" s="24" t="n">
        <x:v>1</x:v>
      </x:c>
      <x:c r="J451" s="24" t="n">
        <x:v>1</x:v>
      </x:c>
      <x:c r="K451" s="22" t="str">
        <x:v>是</x:v>
      </x:c>
      <x:c r="L451" s="22" t="n">
        <x:v>10.701904761904762</x:v>
      </x:c>
      <x:c r="M451" s="22" t="n">
        <x:v>18.422857142857143</x:v>
      </x:c>
      <x:c r="N451" s="22" t="n">
        <x:v>36.84571428571429</x:v>
      </x:c>
      <x:c r="O451" s="22" t="n">
        <x:v>10</x:v>
      </x:c>
      <x:c r="P451" s="24" t="n">
        <x:v>2</x:v>
      </x:c>
      <x:c r="Q451" s="22" t="str">
        <x:v>["S0220"]</x:v>
      </x:c>
      <x:c r="R451" s="22" t="str">
        <x:v>evidence/student_evidence.jsonl；student_key=2025秋:259869</x:v>
      </x:c>
      <x:c r="S451" s="27" t="str">
        <x:v>S0220 L1→L6。高点为无人机局部方案，未见独立求解及最优性验证；L6充分性待复核。</x:v>
      </x:c>
    </x:row>
    <x:row r="452" ht="23" customHeight="1">
      <x:c r="A452" s="21" t="str">
        <x:v>严格基线调整</x:v>
      </x:c>
      <x:c r="B452" s="22" t="str">
        <x:v>突破优先型</x:v>
      </x:c>
      <x:c r="C452" s="22" t="str">
        <x:v>前20%</x:v>
      </x:c>
      <x:c r="D452" s="22" t="str">
        <x:v>严格进入</x:v>
      </x:c>
      <x:c r="E452" s="22" t="str">
        <x:v>2025秋:258902</x:v>
      </x:c>
      <x:c r="F452" s="22" t="str">
        <x:v>s3</x:v>
      </x:c>
      <x:c r="G452" s="26" t="n">
        <x:v>3.5</x:v>
      </x:c>
      <x:c r="H452" s="25" t="n">
        <x:v>71.28116473436302</x:v>
      </x:c>
      <x:c r="I452" s="24" t="n">
        <x:v>1</x:v>
      </x:c>
      <x:c r="J452" s="24" t="n">
        <x:v>1</x:v>
      </x:c>
      <x:c r="K452" s="22" t="str">
        <x:v>是</x:v>
      </x:c>
      <x:c r="L452" s="22" t="n">
        <x:v>10.304896344171976</x:v>
      </x:c>
      <x:c r="M452" s="22" t="n">
        <x:v>13.65875613006368</x:v>
      </x:c>
      <x:c r="N452" s="22" t="n">
        <x:v>27.31751226012736</x:v>
      </x:c>
      <x:c r="O452" s="22" t="n">
        <x:v>20</x:v>
      </x:c>
      <x:c r="P452" s="24" t="n">
        <x:v>4</x:v>
      </x:c>
      <x:c r="Q452" s="22" t="str">
        <x:v>["S0149"]</x:v>
      </x:c>
      <x:c r="R452" s="22" t="str">
        <x:v>evidence/student_evidence.jsonl；student_key=2025秋:258902</x:v>
      </x:c>
      <x:c r="S452" s="27" t="str"/>
    </x:row>
    <x:row r="453" ht="23" customHeight="1">
      <x:c r="A453" s="21" t="str">
        <x:v>严格基线调整</x:v>
      </x:c>
      <x:c r="B453" s="22" t="str">
        <x:v>突破优先型</x:v>
      </x:c>
      <x:c r="C453" s="22" t="str">
        <x:v>前20%</x:v>
      </x:c>
      <x:c r="D453" s="22" t="str">
        <x:v>严格进入</x:v>
      </x:c>
      <x:c r="E453" s="22" t="str">
        <x:v>2025秋:259407</x:v>
      </x:c>
      <x:c r="F453" s="22" t="str">
        <x:v>s3</x:v>
      </x:c>
      <x:c r="G453" s="26" t="n">
        <x:v>3.5</x:v>
      </x:c>
      <x:c r="H453" s="25" t="n">
        <x:v>71.28116473436302</x:v>
      </x:c>
      <x:c r="I453" s="24" t="n">
        <x:v>1</x:v>
      </x:c>
      <x:c r="J453" s="24" t="n">
        <x:v>1</x:v>
      </x:c>
      <x:c r="K453" s="22" t="str">
        <x:v>是</x:v>
      </x:c>
      <x:c r="L453" s="22" t="n">
        <x:v>10.304896344171976</x:v>
      </x:c>
      <x:c r="M453" s="22" t="n">
        <x:v>13.65875613006368</x:v>
      </x:c>
      <x:c r="N453" s="22" t="n">
        <x:v>27.31751226012736</x:v>
      </x:c>
      <x:c r="O453" s="22" t="n">
        <x:v>20</x:v>
      </x:c>
      <x:c r="P453" s="24" t="n">
        <x:v>4</x:v>
      </x:c>
      <x:c r="Q453" s="22" t="str">
        <x:v>["S0036"]</x:v>
      </x:c>
      <x:c r="R453" s="22" t="str">
        <x:v>evidence/student_evidence.jsonl；student_key=2025秋:259407</x:v>
      </x:c>
      <x:c r="S453" s="27" t="str"/>
    </x:row>
    <x:row r="454" ht="23" customHeight="1">
      <x:c r="A454" s="21" t="str">
        <x:v>严格基线调整</x:v>
      </x:c>
      <x:c r="B454" s="22" t="str">
        <x:v>突破优先型</x:v>
      </x:c>
      <x:c r="C454" s="22" t="str">
        <x:v>前20%</x:v>
      </x:c>
      <x:c r="D454" s="22" t="str">
        <x:v>严格进入</x:v>
      </x:c>
      <x:c r="E454" s="22" t="str">
        <x:v>2025秋:259021</x:v>
      </x:c>
      <x:c r="F454" s="22" t="str">
        <x:v>s3</x:v>
      </x:c>
      <x:c r="G454" s="26" t="n">
        <x:v>5.5</x:v>
      </x:c>
      <x:c r="H454" s="25" t="n">
        <x:v>71.07882161482159</x:v>
      </x:c>
      <x:c r="I454" s="24" t="n">
        <x:v>1</x:v>
      </x:c>
      <x:c r="J454" s="24" t="n">
        <x:v>1</x:v>
      </x:c>
      <x:c r="K454" s="22" t="str">
        <x:v>是</x:v>
      </x:c>
      <x:c r="L454" s="22" t="n">
        <x:v>10.299427611211394</x:v>
      </x:c>
      <x:c r="M454" s="22" t="n">
        <x:v>13.593131334536736</x:v>
      </x:c>
      <x:c r="N454" s="22" t="n">
        <x:v>27.18626266907347</x:v>
      </x:c>
      <x:c r="O454" s="22" t="n">
        <x:v>20</x:v>
      </x:c>
      <x:c r="P454" s="24" t="n">
        <x:v>4</x:v>
      </x:c>
      <x:c r="Q454" s="22" t="str">
        <x:v>["S0464"]</x:v>
      </x:c>
      <x:c r="R454" s="22" t="str">
        <x:v>evidence/student_evidence.jsonl；student_key=2025秋:259021</x:v>
      </x:c>
      <x:c r="S454" s="27" t="str"/>
    </x:row>
    <x:row r="455" ht="23" customHeight="1">
      <x:c r="A455" s="21" t="str">
        <x:v>严格基线调整</x:v>
      </x:c>
      <x:c r="B455" s="22" t="str">
        <x:v>突破优先型</x:v>
      </x:c>
      <x:c r="C455" s="22" t="str">
        <x:v>前20%</x:v>
      </x:c>
      <x:c r="D455" s="22" t="str">
        <x:v>严格进入</x:v>
      </x:c>
      <x:c r="E455" s="22" t="str">
        <x:v>2025秋:25A081</x:v>
      </x:c>
      <x:c r="F455" s="22" t="str">
        <x:v>s3</x:v>
      </x:c>
      <x:c r="G455" s="26" t="n">
        <x:v>5.5</x:v>
      </x:c>
      <x:c r="H455" s="25" t="n">
        <x:v>71.07882161482159</x:v>
      </x:c>
      <x:c r="I455" s="24" t="n">
        <x:v>1</x:v>
      </x:c>
      <x:c r="J455" s="24" t="n">
        <x:v>1</x:v>
      </x:c>
      <x:c r="K455" s="22" t="str">
        <x:v>是</x:v>
      </x:c>
      <x:c r="L455" s="22" t="n">
        <x:v>10.299427611211394</x:v>
      </x:c>
      <x:c r="M455" s="22" t="n">
        <x:v>13.593131334536736</x:v>
      </x:c>
      <x:c r="N455" s="22" t="n">
        <x:v>27.18626266907347</x:v>
      </x:c>
      <x:c r="O455" s="22" t="n">
        <x:v>20</x:v>
      </x:c>
      <x:c r="P455" s="24" t="n">
        <x:v>4</x:v>
      </x:c>
      <x:c r="Q455" s="22" t="str">
        <x:v>["S0411"]</x:v>
      </x:c>
      <x:c r="R455" s="22" t="str">
        <x:v>evidence/student_evidence.jsonl；student_key=2025秋:25A081</x:v>
      </x:c>
      <x:c r="S455" s="27" t="str"/>
    </x:row>
    <x:row r="456" ht="23" customHeight="1">
      <x:c r="A456" s="21" t="str">
        <x:v>严格基线调整</x:v>
      </x:c>
      <x:c r="B456" s="22" t="str">
        <x:v>突破优先型</x:v>
      </x:c>
      <x:c r="C456" s="22" t="str">
        <x:v>前20%</x:v>
      </x:c>
      <x:c r="D456" s="22" t="str">
        <x:v>严格进入</x:v>
      </x:c>
      <x:c r="E456" s="22" t="str">
        <x:v>2025秋:259961</x:v>
      </x:c>
      <x:c r="F456" s="22" t="str">
        <x:v>s3</x:v>
      </x:c>
      <x:c r="G456" s="26" t="n">
        <x:v>7</x:v>
      </x:c>
      <x:c r="H456" s="25" t="n">
        <x:v>70.98523688371058</x:v>
      </x:c>
      <x:c r="I456" s="24" t="n">
        <x:v>1</x:v>
      </x:c>
      <x:c r="J456" s="24" t="n">
        <x:v>1</x:v>
      </x:c>
      <x:c r="K456" s="22" t="str">
        <x:v>是</x:v>
      </x:c>
      <x:c r="L456" s="22" t="n">
        <x:v>10.29689829415434</x:v>
      </x:c>
      <x:c r="M456" s="22" t="n">
        <x:v>13.562779529852087</x:v>
      </x:c>
      <x:c r="N456" s="22" t="n">
        <x:v>27.125559059704173</x:v>
      </x:c>
      <x:c r="O456" s="22" t="n">
        <x:v>20</x:v>
      </x:c>
      <x:c r="P456" s="24" t="n">
        <x:v>4</x:v>
      </x:c>
      <x:c r="Q456" s="22" t="str">
        <x:v>["S0296"]</x:v>
      </x:c>
      <x:c r="R456" s="22" t="str">
        <x:v>evidence/student_evidence.jsonl；student_key=2025秋:259961</x:v>
      </x:c>
      <x:c r="S456" s="27" t="str"/>
    </x:row>
    <x:row r="457" ht="23" customHeight="1">
      <x:c r="A457" s="21" t="str">
        <x:v>严格基线调整</x:v>
      </x:c>
      <x:c r="B457" s="22" t="str">
        <x:v>突破优先型</x:v>
      </x:c>
      <x:c r="C457" s="22" t="str">
        <x:v>前20%</x:v>
      </x:c>
      <x:c r="D457" s="22" t="str">
        <x:v>严格进入</x:v>
      </x:c>
      <x:c r="E457" s="22" t="str">
        <x:v>2025秋:25A134</x:v>
      </x:c>
      <x:c r="F457" s="22" t="str">
        <x:v>s3</x:v>
      </x:c>
      <x:c r="G457" s="26" t="n">
        <x:v>8</x:v>
      </x:c>
      <x:c r="H457" s="25" t="n">
        <x:v>70.81853747925999</x:v>
      </x:c>
      <x:c r="I457" s="24" t="n">
        <x:v>1</x:v>
      </x:c>
      <x:c r="J457" s="24" t="n">
        <x:v>1</x:v>
      </x:c>
      <x:c r="K457" s="22" t="str">
        <x:v>是</x:v>
      </x:c>
      <x:c r="L457" s="22" t="n">
        <x:v>10.292392904844865</x:v>
      </x:c>
      <x:c r="M457" s="22" t="n">
        <x:v>13.508714858138376</x:v>
      </x:c>
      <x:c r="N457" s="22" t="n">
        <x:v>27.01742971627675</x:v>
      </x:c>
      <x:c r="O457" s="22" t="n">
        <x:v>20</x:v>
      </x:c>
      <x:c r="P457" s="24" t="n">
        <x:v>4</x:v>
      </x:c>
      <x:c r="Q457" s="22" t="str">
        <x:v>["S0311"]</x:v>
      </x:c>
      <x:c r="R457" s="22" t="str">
        <x:v>evidence/student_evidence.jsonl；student_key=2025秋:25A134</x:v>
      </x:c>
      <x:c r="S457" s="27" t="str"/>
    </x:row>
    <x:row r="458" ht="23" customHeight="1">
      <x:c r="A458" s="21" t="str">
        <x:v>严格基线调整</x:v>
      </x:c>
      <x:c r="B458" s="22" t="str">
        <x:v>突破优先型</x:v>
      </x:c>
      <x:c r="C458" s="22" t="str">
        <x:v>前20%</x:v>
      </x:c>
      <x:c r="D458" s="22" t="str">
        <x:v>严格进入</x:v>
      </x:c>
      <x:c r="E458" s="22" t="str">
        <x:v>2025秋:258878</x:v>
      </x:c>
      <x:c r="F458" s="22" t="str">
        <x:v>s3</x:v>
      </x:c>
      <x:c r="G458" s="26" t="n">
        <x:v>9.5</x:v>
      </x:c>
      <x:c r="H458" s="25" t="n">
        <x:v>70.79761929541219</x:v>
      </x:c>
      <x:c r="I458" s="24" t="n">
        <x:v>1</x:v>
      </x:c>
      <x:c r="J458" s="24" t="n">
        <x:v>1</x:v>
      </x:c>
      <x:c r="K458" s="22" t="str">
        <x:v>是</x:v>
      </x:c>
      <x:c r="L458" s="22" t="n">
        <x:v>10.291827548524653</x:v>
      </x:c>
      <x:c r="M458" s="22" t="n">
        <x:v>13.501930582295849</x:v>
      </x:c>
      <x:c r="N458" s="22" t="n">
        <x:v>27.003861164591697</x:v>
      </x:c>
      <x:c r="O458" s="22" t="n">
        <x:v>20</x:v>
      </x:c>
      <x:c r="P458" s="24" t="n">
        <x:v>4</x:v>
      </x:c>
      <x:c r="Q458" s="22" t="str">
        <x:v>["S0364"]</x:v>
      </x:c>
      <x:c r="R458" s="22" t="str">
        <x:v>evidence/student_evidence.jsonl；student_key=2025秋:258878</x:v>
      </x:c>
      <x:c r="S458" s="27" t="str"/>
    </x:row>
    <x:row r="459" ht="23" customHeight="1">
      <x:c r="A459" s="21" t="str">
        <x:v>严格基线调整</x:v>
      </x:c>
      <x:c r="B459" s="22" t="str">
        <x:v>突破优先型</x:v>
      </x:c>
      <x:c r="C459" s="22" t="str">
        <x:v>前20%</x:v>
      </x:c>
      <x:c r="D459" s="22" t="str">
        <x:v>严格进入</x:v>
      </x:c>
      <x:c r="E459" s="22" t="str">
        <x:v>2025秋:258888</x:v>
      </x:c>
      <x:c r="F459" s="22" t="str">
        <x:v>s3</x:v>
      </x:c>
      <x:c r="G459" s="26" t="n">
        <x:v>9.5</x:v>
      </x:c>
      <x:c r="H459" s="25" t="n">
        <x:v>70.79761929541219</x:v>
      </x:c>
      <x:c r="I459" s="24" t="n">
        <x:v>2</x:v>
      </x:c>
      <x:c r="J459" s="24" t="n">
        <x:v>1</x:v>
      </x:c>
      <x:c r="K459" s="22" t="str">
        <x:v>是</x:v>
      </x:c>
      <x:c r="L459" s="22" t="n">
        <x:v>10.291827548524653</x:v>
      </x:c>
      <x:c r="M459" s="22" t="n">
        <x:v>13.501930582295849</x:v>
      </x:c>
      <x:c r="N459" s="22" t="n">
        <x:v>27.003861164591697</x:v>
      </x:c>
      <x:c r="O459" s="22" t="n">
        <x:v>20</x:v>
      </x:c>
      <x:c r="P459" s="24" t="n">
        <x:v>4</x:v>
      </x:c>
      <x:c r="Q459" s="22" t="str">
        <x:v>["S0190","S0365"]</x:v>
      </x:c>
      <x:c r="R459" s="22" t="str">
        <x:v>evidence/student_evidence.jsonl；student_key=2025秋:258888</x:v>
      </x:c>
      <x:c r="S459" s="27" t="str"/>
    </x:row>
    <x:row r="460" ht="23" customHeight="1">
      <x:c r="A460" s="21" t="str">
        <x:v>严格基线调整</x:v>
      </x:c>
      <x:c r="B460" s="22" t="str">
        <x:v>突破优先型</x:v>
      </x:c>
      <x:c r="C460" s="22" t="str">
        <x:v>前20%</x:v>
      </x:c>
      <x:c r="D460" s="22" t="str">
        <x:v>严格进入</x:v>
      </x:c>
      <x:c r="E460" s="22" t="str">
        <x:v>2025秋:258988</x:v>
      </x:c>
      <x:c r="F460" s="22" t="str">
        <x:v>s3</x:v>
      </x:c>
      <x:c r="G460" s="26" t="n">
        <x:v>11</x:v>
      </x:c>
      <x:c r="H460" s="25" t="n">
        <x:v>70.67971561110664</x:v>
      </x:c>
      <x:c r="I460" s="24" t="n">
        <x:v>1</x:v>
      </x:c>
      <x:c r="J460" s="24" t="n">
        <x:v>1</x:v>
      </x:c>
      <x:c r="K460" s="22" t="str">
        <x:v>是</x:v>
      </x:c>
      <x:c r="L460" s="22" t="n">
        <x:v>10.288640962462344</x:v>
      </x:c>
      <x:c r="M460" s="22" t="n">
        <x:v>13.4636915495481</x:v>
      </x:c>
      <x:c r="N460" s="22" t="n">
        <x:v>26.9273830990962</x:v>
      </x:c>
      <x:c r="O460" s="22" t="n">
        <x:v>20</x:v>
      </x:c>
      <x:c r="P460" s="24" t="n">
        <x:v>4</x:v>
      </x:c>
      <x:c r="Q460" s="22" t="str">
        <x:v>["S0315"]</x:v>
      </x:c>
      <x:c r="R460" s="22" t="str">
        <x:v>evidence/student_evidence.jsonl；student_key=2025秋:258988</x:v>
      </x:c>
      <x:c r="S460" s="27" t="str"/>
    </x:row>
    <x:row r="461" ht="23" customHeight="1">
      <x:c r="A461" s="21" t="str">
        <x:v>严格基线调整</x:v>
      </x:c>
      <x:c r="B461" s="22" t="str">
        <x:v>突破优先型</x:v>
      </x:c>
      <x:c r="C461" s="22" t="str">
        <x:v>前20%</x:v>
      </x:c>
      <x:c r="D461" s="22" t="str">
        <x:v>严格进入</x:v>
      </x:c>
      <x:c r="E461" s="22" t="str">
        <x:v>2025秋:259044</x:v>
      </x:c>
      <x:c r="F461" s="22" t="str">
        <x:v>s3</x:v>
      </x:c>
      <x:c r="G461" s="26" t="n">
        <x:v>12</x:v>
      </x:c>
      <x:c r="H461" s="25" t="n">
        <x:v>70.62675516432022</x:v>
      </x:c>
      <x:c r="I461" s="24" t="n">
        <x:v>1</x:v>
      </x:c>
      <x:c r="J461" s="24" t="n">
        <x:v>1</x:v>
      </x:c>
      <x:c r="K461" s="22" t="str">
        <x:v>是</x:v>
      </x:c>
      <x:c r="L461" s="22" t="n">
        <x:v>10.287209599035684</x:v>
      </x:c>
      <x:c r="M461" s="22" t="n">
        <x:v>13.44651518842818</x:v>
      </x:c>
      <x:c r="N461" s="22" t="n">
        <x:v>26.89303037685636</x:v>
      </x:c>
      <x:c r="O461" s="22" t="n">
        <x:v>20</x:v>
      </x:c>
      <x:c r="P461" s="24" t="n">
        <x:v>4</x:v>
      </x:c>
      <x:c r="Q461" s="22" t="str">
        <x:v>["S0074"]</x:v>
      </x:c>
      <x:c r="R461" s="22" t="str">
        <x:v>evidence/student_evidence.jsonl；student_key=2025秋:259044</x:v>
      </x:c>
      <x:c r="S461" s="27" t="str"/>
    </x:row>
    <x:row r="462" ht="23" customHeight="1">
      <x:c r="A462" s="21" t="str">
        <x:v>严格基线调整</x:v>
      </x:c>
      <x:c r="B462" s="22" t="str">
        <x:v>突破优先型</x:v>
      </x:c>
      <x:c r="C462" s="22" t="str">
        <x:v>前20%</x:v>
      </x:c>
      <x:c r="D462" s="22" t="str">
        <x:v>严格进入</x:v>
      </x:c>
      <x:c r="E462" s="22" t="str">
        <x:v>2025秋:258430</x:v>
      </x:c>
      <x:c r="F462" s="22" t="str">
        <x:v>s3</x:v>
      </x:c>
      <x:c r="G462" s="26" t="n">
        <x:v>13</x:v>
      </x:c>
      <x:c r="H462" s="25" t="n">
        <x:v>70.40998399569993</x:v>
      </x:c>
      <x:c r="I462" s="24" t="n">
        <x:v>1</x:v>
      </x:c>
      <x:c r="J462" s="24" t="n">
        <x:v>1</x:v>
      </x:c>
      <x:c r="K462" s="22" t="str">
        <x:v>是</x:v>
      </x:c>
      <x:c r="L462" s="22" t="n">
        <x:v>10.226303999906522</x:v>
      </x:c>
      <x:c r="M462" s="22" t="n">
        <x:v>13.394559998597806</x:v>
      </x:c>
      <x:c r="N462" s="22" t="n">
        <x:v>26.789119997195613</x:v>
      </x:c>
      <x:c r="O462" s="22" t="n">
        <x:v>20</x:v>
      </x:c>
      <x:c r="P462" s="24" t="n">
        <x:v>4</x:v>
      </x:c>
      <x:c r="Q462" s="22" t="str">
        <x:v>["S0052"]</x:v>
      </x:c>
      <x:c r="R462" s="22" t="str">
        <x:v>evidence/student_evidence.jsonl；student_key=2025秋:258430</x:v>
      </x:c>
      <x:c r="S462" s="27" t="str"/>
    </x:row>
    <x:row r="463" ht="48" customHeight="1">
      <x:c r="A463" s="21" t="str">
        <x:v>严格基线调整</x:v>
      </x:c>
      <x:c r="B463" s="22" t="str">
        <x:v>突破优先型</x:v>
      </x:c>
      <x:c r="C463" s="22" t="str">
        <x:v>前20%</x:v>
      </x:c>
      <x:c r="D463" s="22" t="str">
        <x:v>严格进入</x:v>
      </x:c>
      <x:c r="E463" s="22" t="str">
        <x:v>2025秋:258524</x:v>
      </x:c>
      <x:c r="F463" s="22" t="str">
        <x:v>s6</x:v>
      </x:c>
      <x:c r="G463" s="26" t="n">
        <x:v>14</x:v>
      </x:c>
      <x:c r="H463" s="25" t="n">
        <x:v>70.30133333333333</x:v>
      </x:c>
      <x:c r="I463" s="24" t="n">
        <x:v>1</x:v>
      </x:c>
      <x:c r="J463" s="24" t="n">
        <x:v>1</x:v>
      </x:c>
      <x:c r="K463" s="22" t="str">
        <x:v>是</x:v>
      </x:c>
      <x:c r="L463" s="22" t="n">
        <x:v>10.441333333333334</x:v>
      </x:c>
      <x:c r="M463" s="22" t="n">
        <x:v>16.62</x:v>
      </x:c>
      <x:c r="N463" s="22" t="n">
        <x:v>33.24</x:v>
      </x:c>
      <x:c r="O463" s="22" t="n">
        <x:v>10</x:v>
      </x:c>
      <x:c r="P463" s="24" t="n">
        <x:v>2</x:v>
      </x:c>
      <x:c r="Q463" s="22" t="str">
        <x:v>["S0041"]</x:v>
      </x:c>
      <x:c r="R463" s="22" t="str">
        <x:v>evidence/student_evidence.jsonl；student_key=2025秋:258524</x:v>
      </x:c>
      <x:c r="S463" s="27" t="str">
        <x:v>S0041低起点仅“长得漂亮”，大增量对L1起点敏感；末端为概念解释，知识基础及独立掌握待核。</x:v>
      </x:c>
    </x:row>
    <x:row r="464" ht="23" customHeight="1">
      <x:c r="A464" s="21" t="str">
        <x:v>严格基线调整</x:v>
      </x:c>
      <x:c r="B464" s="22" t="str">
        <x:v>突破优先型</x:v>
      </x:c>
      <x:c r="C464" s="22" t="str">
        <x:v>前20%</x:v>
      </x:c>
      <x:c r="D464" s="22" t="str">
        <x:v>严格进入</x:v>
      </x:c>
      <x:c r="E464" s="22" t="str">
        <x:v>2025秋:258858</x:v>
      </x:c>
      <x:c r="F464" s="22" t="str">
        <x:v>s3</x:v>
      </x:c>
      <x:c r="G464" s="26" t="n">
        <x:v>15</x:v>
      </x:c>
      <x:c r="H464" s="25" t="n">
        <x:v>69.16580324226662</x:v>
      </x:c>
      <x:c r="I464" s="24" t="n">
        <x:v>2</x:v>
      </x:c>
      <x:c r="J464" s="24" t="n">
        <x:v>2</x:v>
      </x:c>
      <x:c r="K464" s="22" t="str">
        <x:v>是</x:v>
      </x:c>
      <x:c r="L464" s="22" t="n">
        <x:v>10.40460831977067</x:v>
      </x:c>
      <x:c r="M464" s="22" t="n">
        <x:v>12.697388798471135</x:v>
      </x:c>
      <x:c r="N464" s="22" t="n">
        <x:v>26.063806124024826</x:v>
      </x:c>
      <x:c r="O464" s="22" t="n">
        <x:v>20</x:v>
      </x:c>
      <x:c r="P464" s="24" t="n">
        <x:v>4</x:v>
      </x:c>
      <x:c r="Q464" s="22" t="str">
        <x:v>["S0103","S0232"]</x:v>
      </x:c>
      <x:c r="R464" s="22" t="str">
        <x:v>evidence/student_evidence.jsonl；student_key=2025秋:258858</x:v>
      </x:c>
      <x:c r="S464" s="27" t="str"/>
    </x:row>
    <x:row r="465" ht="23" customHeight="1">
      <x:c r="A465" s="21" t="str">
        <x:v>严格基线调整</x:v>
      </x:c>
      <x:c r="B465" s="22" t="str">
        <x:v>突破优先型</x:v>
      </x:c>
      <x:c r="C465" s="22" t="str">
        <x:v>前20%</x:v>
      </x:c>
      <x:c r="D465" s="22" t="str">
        <x:v>严格进入</x:v>
      </x:c>
      <x:c r="E465" s="22" t="str">
        <x:v>2025秋:258938</x:v>
      </x:c>
      <x:c r="F465" s="22" t="str">
        <x:v>s3</x:v>
      </x:c>
      <x:c r="G465" s="26" t="n">
        <x:v>16</x:v>
      </x:c>
      <x:c r="H465" s="25" t="n">
        <x:v>67.64991106036669</x:v>
      </x:c>
      <x:c r="I465" s="24" t="n">
        <x:v>2</x:v>
      </x:c>
      <x:c r="J465" s="24" t="n">
        <x:v>2</x:v>
      </x:c>
      <x:c r="K465" s="22" t="str">
        <x:v>是</x:v>
      </x:c>
      <x:c r="L465" s="22" t="n">
        <x:v>10.112277095196227</x:v>
      </x:c>
      <x:c r="M465" s="22" t="n">
        <x:v>10.748513967974858</x:v>
      </x:c>
      <x:c r="N465" s="22" t="n">
        <x:v>26.789119997195613</x:v>
      </x:c>
      <x:c r="O465" s="22" t="n">
        <x:v>20</x:v>
      </x:c>
      <x:c r="P465" s="24" t="n">
        <x:v>1</x:v>
      </x:c>
      <x:c r="Q465" s="22" t="str">
        <x:v>["S0073","S0374"]</x:v>
      </x:c>
      <x:c r="R465" s="22" t="str">
        <x:v>evidence/student_evidence.jsonl；student_key=2025秋:258938</x:v>
      </x:c>
      <x:c r="S465" s="27" t="str"/>
    </x:row>
    <x:row r="466" ht="23" customHeight="1">
      <x:c r="A466" s="21" t="str">
        <x:v>严格基线调整</x:v>
      </x:c>
      <x:c r="B466" s="22" t="str">
        <x:v>突破优先型</x:v>
      </x:c>
      <x:c r="C466" s="22" t="str">
        <x:v>前20%</x:v>
      </x:c>
      <x:c r="D466" s="22" t="str">
        <x:v>严格进入</x:v>
      </x:c>
      <x:c r="E466" s="22" t="str">
        <x:v>2025秋:259112</x:v>
      </x:c>
      <x:c r="F466" s="22" t="str">
        <x:v>s3</x:v>
      </x:c>
      <x:c r="G466" s="26" t="n">
        <x:v>17.5</x:v>
      </x:c>
      <x:c r="H466" s="25" t="n">
        <x:v>67.55577279085966</x:v>
      </x:c>
      <x:c r="I466" s="24" t="n">
        <x:v>1</x:v>
      </x:c>
      <x:c r="J466" s="24" t="n">
        <x:v>1</x:v>
      </x:c>
      <x:c r="K466" s="22" t="str">
        <x:v>是</x:v>
      </x:c>
      <x:c r="L466" s="22" t="n">
        <x:v>10.204210075428641</x:v>
      </x:c>
      <x:c r="M466" s="22" t="n">
        <x:v>12.450520905143673</x:v>
      </x:c>
      <x:c r="N466" s="22" t="n">
        <x:v>24.901041810287346</x:v>
      </x:c>
      <x:c r="O466" s="22" t="n">
        <x:v>20</x:v>
      </x:c>
      <x:c r="P466" s="24" t="n">
        <x:v>4</x:v>
      </x:c>
      <x:c r="Q466" s="22" t="str">
        <x:v>["S0204"]</x:v>
      </x:c>
      <x:c r="R466" s="22" t="str">
        <x:v>evidence/student_evidence.jsonl；student_key=2025秋:259112</x:v>
      </x:c>
      <x:c r="S466" s="27" t="str"/>
    </x:row>
    <x:row r="467" ht="23" customHeight="1">
      <x:c r="A467" s="21" t="str">
        <x:v>严格基线调整</x:v>
      </x:c>
      <x:c r="B467" s="22" t="str">
        <x:v>突破优先型</x:v>
      </x:c>
      <x:c r="C467" s="22" t="str">
        <x:v>前20%</x:v>
      </x:c>
      <x:c r="D467" s="22" t="str">
        <x:v>严格进入</x:v>
      </x:c>
      <x:c r="E467" s="22" t="str">
        <x:v>2026春:268183</x:v>
      </x:c>
      <x:c r="F467" s="22" t="str">
        <x:v>s3</x:v>
      </x:c>
      <x:c r="G467" s="26" t="n">
        <x:v>17.5</x:v>
      </x:c>
      <x:c r="H467" s="25" t="n">
        <x:v>67.55577279085966</x:v>
      </x:c>
      <x:c r="I467" s="24" t="n">
        <x:v>1</x:v>
      </x:c>
      <x:c r="J467" s="24" t="n">
        <x:v>1</x:v>
      </x:c>
      <x:c r="K467" s="22" t="str">
        <x:v>是</x:v>
      </x:c>
      <x:c r="L467" s="22" t="n">
        <x:v>10.204210075428641</x:v>
      </x:c>
      <x:c r="M467" s="22" t="n">
        <x:v>12.450520905143673</x:v>
      </x:c>
      <x:c r="N467" s="22" t="n">
        <x:v>24.901041810287346</x:v>
      </x:c>
      <x:c r="O467" s="22" t="n">
        <x:v>20</x:v>
      </x:c>
      <x:c r="P467" s="24" t="n">
        <x:v>4</x:v>
      </x:c>
      <x:c r="Q467" s="22" t="str">
        <x:v>["S1051"]</x:v>
      </x:c>
      <x:c r="R467" s="22" t="str">
        <x:v>evidence/student_evidence.jsonl；student_key=2026春:268183</x:v>
      </x:c>
      <x:c r="S467" s="27" t="str"/>
    </x:row>
    <x:row r="468" ht="23" customHeight="1">
      <x:c r="A468" s="21" t="str">
        <x:v>严格基线调整</x:v>
      </x:c>
      <x:c r="B468" s="22" t="str">
        <x:v>突破优先型</x:v>
      </x:c>
      <x:c r="C468" s="22" t="str">
        <x:v>前20%</x:v>
      </x:c>
      <x:c r="D468" s="22" t="str">
        <x:v>严格进入</x:v>
      </x:c>
      <x:c r="E468" s="22" t="str">
        <x:v>2025秋:258428</x:v>
      </x:c>
      <x:c r="F468" s="22" t="str">
        <x:v>s3</x:v>
      </x:c>
      <x:c r="G468" s="26" t="n">
        <x:v>20.5</x:v>
      </x:c>
      <x:c r="H468" s="25" t="n">
        <x:v>67.52851730956087</x:v>
      </x:c>
      <x:c r="I468" s="24" t="n">
        <x:v>1</x:v>
      </x:c>
      <x:c r="J468" s="24" t="n">
        <x:v>1</x:v>
      </x:c>
      <x:c r="K468" s="22" t="str">
        <x:v>是</x:v>
      </x:c>
      <x:c r="L468" s="22" t="n">
        <x:v>10.203473440798943</x:v>
      </x:c>
      <x:c r="M468" s="22" t="n">
        <x:v>12.441681289587306</x:v>
      </x:c>
      <x:c r="N468" s="22" t="n">
        <x:v>24.883362579174612</x:v>
      </x:c>
      <x:c r="O468" s="22" t="n">
        <x:v>20</x:v>
      </x:c>
      <x:c r="P468" s="24" t="n">
        <x:v>4</x:v>
      </x:c>
      <x:c r="Q468" s="22" t="str">
        <x:v>["S0096"]</x:v>
      </x:c>
      <x:c r="R468" s="22" t="str">
        <x:v>evidence/student_evidence.jsonl；student_key=2025秋:258428</x:v>
      </x:c>
      <x:c r="S468" s="27" t="str"/>
    </x:row>
    <x:row r="469" ht="23" customHeight="1">
      <x:c r="A469" s="21" t="str">
        <x:v>严格基线调整</x:v>
      </x:c>
      <x:c r="B469" s="22" t="str">
        <x:v>突破优先型</x:v>
      </x:c>
      <x:c r="C469" s="22" t="str">
        <x:v>前20%</x:v>
      </x:c>
      <x:c r="D469" s="22" t="str">
        <x:v>严格进入</x:v>
      </x:c>
      <x:c r="E469" s="22" t="str">
        <x:v>2025秋:258922</x:v>
      </x:c>
      <x:c r="F469" s="22" t="str">
        <x:v>s3</x:v>
      </x:c>
      <x:c r="G469" s="26" t="n">
        <x:v>20.5</x:v>
      </x:c>
      <x:c r="H469" s="25" t="n">
        <x:v>67.52851730956087</x:v>
      </x:c>
      <x:c r="I469" s="24" t="n">
        <x:v>1</x:v>
      </x:c>
      <x:c r="J469" s="24" t="n">
        <x:v>1</x:v>
      </x:c>
      <x:c r="K469" s="22" t="str">
        <x:v>是</x:v>
      </x:c>
      <x:c r="L469" s="22" t="n">
        <x:v>10.203473440798943</x:v>
      </x:c>
      <x:c r="M469" s="22" t="n">
        <x:v>12.441681289587306</x:v>
      </x:c>
      <x:c r="N469" s="22" t="n">
        <x:v>24.883362579174612</x:v>
      </x:c>
      <x:c r="O469" s="22" t="n">
        <x:v>20</x:v>
      </x:c>
      <x:c r="P469" s="24" t="n">
        <x:v>4</x:v>
      </x:c>
      <x:c r="Q469" s="22" t="str">
        <x:v>["S0351"]</x:v>
      </x:c>
      <x:c r="R469" s="22" t="str">
        <x:v>evidence/student_evidence.jsonl；student_key=2025秋:258922</x:v>
      </x:c>
      <x:c r="S469" s="27" t="str"/>
    </x:row>
    <x:row r="470" ht="23" customHeight="1">
      <x:c r="A470" s="21" t="str">
        <x:v>严格基线调整</x:v>
      </x:c>
      <x:c r="B470" s="22" t="str">
        <x:v>突破优先型</x:v>
      </x:c>
      <x:c r="C470" s="22" t="str">
        <x:v>前20%</x:v>
      </x:c>
      <x:c r="D470" s="22" t="str">
        <x:v>严格进入</x:v>
      </x:c>
      <x:c r="E470" s="22" t="str">
        <x:v>2025秋:259895</x:v>
      </x:c>
      <x:c r="F470" s="22" t="str">
        <x:v>s3</x:v>
      </x:c>
      <x:c r="G470" s="26" t="n">
        <x:v>20.5</x:v>
      </x:c>
      <x:c r="H470" s="25" t="n">
        <x:v>67.52851730956087</x:v>
      </x:c>
      <x:c r="I470" s="24" t="n">
        <x:v>1</x:v>
      </x:c>
      <x:c r="J470" s="24" t="n">
        <x:v>1</x:v>
      </x:c>
      <x:c r="K470" s="22" t="str">
        <x:v>是</x:v>
      </x:c>
      <x:c r="L470" s="22" t="n">
        <x:v>10.203473440798943</x:v>
      </x:c>
      <x:c r="M470" s="22" t="n">
        <x:v>12.441681289587306</x:v>
      </x:c>
      <x:c r="N470" s="22" t="n">
        <x:v>24.883362579174612</x:v>
      </x:c>
      <x:c r="O470" s="22" t="n">
        <x:v>20</x:v>
      </x:c>
      <x:c r="P470" s="24" t="n">
        <x:v>4</x:v>
      </x:c>
      <x:c r="Q470" s="22" t="str">
        <x:v>["S0407"]</x:v>
      </x:c>
      <x:c r="R470" s="22" t="str">
        <x:v>evidence/student_evidence.jsonl；student_key=2025秋:259895</x:v>
      </x:c>
      <x:c r="S470" s="27" t="str"/>
    </x:row>
    <x:row r="471" ht="23" customHeight="1">
      <x:c r="A471" s="21" t="str">
        <x:v>严格基线调整</x:v>
      </x:c>
      <x:c r="B471" s="22" t="str">
        <x:v>突破优先型</x:v>
      </x:c>
      <x:c r="C471" s="22" t="str">
        <x:v>前20%</x:v>
      </x:c>
      <x:c r="D471" s="22" t="str">
        <x:v>严格进入</x:v>
      </x:c>
      <x:c r="E471" s="22" t="str">
        <x:v>2026春:259443</x:v>
      </x:c>
      <x:c r="F471" s="22" t="str">
        <x:v>s3</x:v>
      </x:c>
      <x:c r="G471" s="26" t="n">
        <x:v>20.5</x:v>
      </x:c>
      <x:c r="H471" s="25" t="n">
        <x:v>67.52851730956087</x:v>
      </x:c>
      <x:c r="I471" s="24" t="n">
        <x:v>1</x:v>
      </x:c>
      <x:c r="J471" s="24" t="n">
        <x:v>1</x:v>
      </x:c>
      <x:c r="K471" s="22" t="str">
        <x:v>是</x:v>
      </x:c>
      <x:c r="L471" s="22" t="n">
        <x:v>10.203473440798943</x:v>
      </x:c>
      <x:c r="M471" s="22" t="n">
        <x:v>12.441681289587306</x:v>
      </x:c>
      <x:c r="N471" s="22" t="n">
        <x:v>24.883362579174612</x:v>
      </x:c>
      <x:c r="O471" s="22" t="n">
        <x:v>20</x:v>
      </x:c>
      <x:c r="P471" s="24" t="n">
        <x:v>4</x:v>
      </x:c>
      <x:c r="Q471" s="22" t="str">
        <x:v>["S0850"]</x:v>
      </x:c>
      <x:c r="R471" s="22" t="str">
        <x:v>evidence/student_evidence.jsonl；student_key=2026春:259443</x:v>
      </x:c>
      <x:c r="S471" s="27" t="str"/>
    </x:row>
    <x:row r="472" ht="23" customHeight="1">
      <x:c r="A472" s="21" t="str">
        <x:v>严格基线调整</x:v>
      </x:c>
      <x:c r="B472" s="22" t="str">
        <x:v>突破优先型</x:v>
      </x:c>
      <x:c r="C472" s="22" t="str">
        <x:v>前20%</x:v>
      </x:c>
      <x:c r="D472" s="22" t="str">
        <x:v>严格进入</x:v>
      </x:c>
      <x:c r="E472" s="22" t="str">
        <x:v>2025秋:25P025</x:v>
      </x:c>
      <x:c r="F472" s="22" t="str">
        <x:v>s3</x:v>
      </x:c>
      <x:c r="G472" s="26" t="n">
        <x:v>23</x:v>
      </x:c>
      <x:c r="H472" s="25" t="n">
        <x:v>67.49181361188418</x:v>
      </x:c>
      <x:c r="I472" s="24" t="n">
        <x:v>1</x:v>
      </x:c>
      <x:c r="J472" s="24" t="n">
        <x:v>1</x:v>
      </x:c>
      <x:c r="K472" s="22" t="str">
        <x:v>是</x:v>
      </x:c>
      <x:c r="L472" s="22" t="n">
        <x:v>10.202481448969843</x:v>
      </x:c>
      <x:c r="M472" s="22" t="n">
        <x:v>12.429777387638115</x:v>
      </x:c>
      <x:c r="N472" s="22" t="n">
        <x:v>24.85955477527623</x:v>
      </x:c>
      <x:c r="O472" s="22" t="n">
        <x:v>20</x:v>
      </x:c>
      <x:c r="P472" s="24" t="n">
        <x:v>4</x:v>
      </x:c>
      <x:c r="Q472" s="22" t="str">
        <x:v>["S0130"]</x:v>
      </x:c>
      <x:c r="R472" s="22" t="str">
        <x:v>evidence/student_evidence.jsonl；student_key=2025秋:25P025</x:v>
      </x:c>
      <x:c r="S472" s="27" t="str"/>
    </x:row>
    <x:row r="473" ht="23" customHeight="1">
      <x:c r="A473" s="21" t="str">
        <x:v>严格基线调整</x:v>
      </x:c>
      <x:c r="B473" s="22" t="str">
        <x:v>突破优先型</x:v>
      </x:c>
      <x:c r="C473" s="22" t="str">
        <x:v>前20%</x:v>
      </x:c>
      <x:c r="D473" s="22" t="str">
        <x:v>严格进入</x:v>
      </x:c>
      <x:c r="E473" s="22" t="str">
        <x:v>2025秋:259043</x:v>
      </x:c>
      <x:c r="F473" s="22" t="str">
        <x:v>s3</x:v>
      </x:c>
      <x:c r="G473" s="26" t="n">
        <x:v>24</x:v>
      </x:c>
      <x:c r="H473" s="25" t="n">
        <x:v>67.0797858658811</x:v>
      </x:c>
      <x:c r="I473" s="24" t="n">
        <x:v>1</x:v>
      </x:c>
      <x:c r="J473" s="24" t="n">
        <x:v>1</x:v>
      </x:c>
      <x:c r="K473" s="22" t="str">
        <x:v>是</x:v>
      </x:c>
      <x:c r="L473" s="22" t="n">
        <x:v>10.191345563942733</x:v>
      </x:c>
      <x:c r="M473" s="22" t="n">
        <x:v>12.296146767312791</x:v>
      </x:c>
      <x:c r="N473" s="22" t="n">
        <x:v>24.592293534625583</x:v>
      </x:c>
      <x:c r="O473" s="22" t="n">
        <x:v>20</x:v>
      </x:c>
      <x:c r="P473" s="24" t="n">
        <x:v>4</x:v>
      </x:c>
      <x:c r="Q473" s="22" t="str">
        <x:v>["S0066"]</x:v>
      </x:c>
      <x:c r="R473" s="22" t="str">
        <x:v>evidence/student_evidence.jsonl；student_key=2025秋:259043</x:v>
      </x:c>
      <x:c r="S473" s="27" t="str"/>
    </x:row>
    <x:row r="474" ht="23" customHeight="1">
      <x:c r="A474" s="21" t="str">
        <x:v>严格基线调整</x:v>
      </x:c>
      <x:c r="B474" s="22" t="str">
        <x:v>突破优先型</x:v>
      </x:c>
      <x:c r="C474" s="22" t="str">
        <x:v>前20%</x:v>
      </x:c>
      <x:c r="D474" s="22" t="str">
        <x:v>严格进入</x:v>
      </x:c>
      <x:c r="E474" s="22" t="str">
        <x:v>2025秋:25A148</x:v>
      </x:c>
      <x:c r="F474" s="22" t="str">
        <x:v>s3</x:v>
      </x:c>
      <x:c r="G474" s="26" t="n">
        <x:v>25.5</x:v>
      </x:c>
      <x:c r="H474" s="25" t="n">
        <x:v>66.96535365979766</x:v>
      </x:c>
      <x:c r="I474" s="24" t="n">
        <x:v>1</x:v>
      </x:c>
      <x:c r="J474" s="24" t="n">
        <x:v>1</x:v>
      </x:c>
      <x:c r="K474" s="22" t="str">
        <x:v>是</x:v>
      </x:c>
      <x:c r="L474" s="22" t="n">
        <x:v>10.188252801616153</x:v>
      </x:c>
      <x:c r="M474" s="22" t="n">
        <x:v>12.259033619393836</x:v>
      </x:c>
      <x:c r="N474" s="22" t="n">
        <x:v>24.518067238787673</x:v>
      </x:c>
      <x:c r="O474" s="22" t="n">
        <x:v>20</x:v>
      </x:c>
      <x:c r="P474" s="24" t="n">
        <x:v>4</x:v>
      </x:c>
      <x:c r="Q474" s="22" t="str">
        <x:v>["S0067"]</x:v>
      </x:c>
      <x:c r="R474" s="22" t="str">
        <x:v>evidence/student_evidence.jsonl；student_key=2025秋:25A148</x:v>
      </x:c>
      <x:c r="S474" s="27" t="str"/>
    </x:row>
    <x:row r="475" ht="23" customHeight="1">
      <x:c r="A475" s="21" t="str">
        <x:v>严格基线调整</x:v>
      </x:c>
      <x:c r="B475" s="22" t="str">
        <x:v>突破优先型</x:v>
      </x:c>
      <x:c r="C475" s="22" t="str">
        <x:v>前20%</x:v>
      </x:c>
      <x:c r="D475" s="22" t="str">
        <x:v>严格进入</x:v>
      </x:c>
      <x:c r="E475" s="22" t="str">
        <x:v>2026春:268184</x:v>
      </x:c>
      <x:c r="F475" s="22" t="str">
        <x:v>s3</x:v>
      </x:c>
      <x:c r="G475" s="26" t="n">
        <x:v>25.5</x:v>
      </x:c>
      <x:c r="H475" s="25" t="n">
        <x:v>66.96535365979766</x:v>
      </x:c>
      <x:c r="I475" s="24" t="n">
        <x:v>1</x:v>
      </x:c>
      <x:c r="J475" s="24" t="n">
        <x:v>1</x:v>
      </x:c>
      <x:c r="K475" s="22" t="str">
        <x:v>是</x:v>
      </x:c>
      <x:c r="L475" s="22" t="n">
        <x:v>10.188252801616153</x:v>
      </x:c>
      <x:c r="M475" s="22" t="n">
        <x:v>12.259033619393836</x:v>
      </x:c>
      <x:c r="N475" s="22" t="n">
        <x:v>24.518067238787673</x:v>
      </x:c>
      <x:c r="O475" s="22" t="n">
        <x:v>20</x:v>
      </x:c>
      <x:c r="P475" s="24" t="n">
        <x:v>4</x:v>
      </x:c>
      <x:c r="Q475" s="22" t="str">
        <x:v>["S1054"]</x:v>
      </x:c>
      <x:c r="R475" s="22" t="str">
        <x:v>evidence/student_evidence.jsonl；student_key=2026春:268184</x:v>
      </x:c>
      <x:c r="S475" s="27" t="str"/>
    </x:row>
    <x:row r="476" ht="23" customHeight="1">
      <x:c r="A476" s="21" t="str">
        <x:v>严格基线调整</x:v>
      </x:c>
      <x:c r="B476" s="22" t="str">
        <x:v>突破优先型</x:v>
      </x:c>
      <x:c r="C476" s="22" t="str">
        <x:v>前20%</x:v>
      </x:c>
      <x:c r="D476" s="22" t="str">
        <x:v>严格进入</x:v>
      </x:c>
      <x:c r="E476" s="22" t="str">
        <x:v>2025秋:259016</x:v>
      </x:c>
      <x:c r="F476" s="22" t="str">
        <x:v>s3</x:v>
      </x:c>
      <x:c r="G476" s="26" t="n">
        <x:v>27.5</x:v>
      </x:c>
      <x:c r="H476" s="25" t="n">
        <x:v>66.84026791577425</x:v>
      </x:c>
      <x:c r="I476" s="24" t="n">
        <x:v>1</x:v>
      </x:c>
      <x:c r="J476" s="24" t="n">
        <x:v>1</x:v>
      </x:c>
      <x:c r="K476" s="22" t="str">
        <x:v>是</x:v>
      </x:c>
      <x:c r="L476" s="22" t="n">
        <x:v>10.148701476429876</x:v>
      </x:c>
      <x:c r="M476" s="22" t="n">
        <x:v>12.230522146448124</x:v>
      </x:c>
      <x:c r="N476" s="22" t="n">
        <x:v>24.461044292896247</x:v>
      </x:c>
      <x:c r="O476" s="22" t="n">
        <x:v>20</x:v>
      </x:c>
      <x:c r="P476" s="24" t="n">
        <x:v>4</x:v>
      </x:c>
      <x:c r="Q476" s="22" t="str">
        <x:v>["S0203"]</x:v>
      </x:c>
      <x:c r="R476" s="22" t="str">
        <x:v>evidence/student_evidence.jsonl；student_key=2025秋:259016</x:v>
      </x:c>
      <x:c r="S476" s="27" t="str"/>
    </x:row>
    <x:row r="477" ht="23" customHeight="1">
      <x:c r="A477" s="21" t="str">
        <x:v>严格基线调整</x:v>
      </x:c>
      <x:c r="B477" s="22" t="str">
        <x:v>突破优先型</x:v>
      </x:c>
      <x:c r="C477" s="22" t="str">
        <x:v>前20%</x:v>
      </x:c>
      <x:c r="D477" s="22" t="str">
        <x:v>严格进入</x:v>
      </x:c>
      <x:c r="E477" s="22" t="str">
        <x:v>2025秋:259024</x:v>
      </x:c>
      <x:c r="F477" s="22" t="str">
        <x:v>s3</x:v>
      </x:c>
      <x:c r="G477" s="26" t="n">
        <x:v>27.5</x:v>
      </x:c>
      <x:c r="H477" s="25" t="n">
        <x:v>66.84026791577425</x:v>
      </x:c>
      <x:c r="I477" s="24" t="n">
        <x:v>1</x:v>
      </x:c>
      <x:c r="J477" s="24" t="n">
        <x:v>1</x:v>
      </x:c>
      <x:c r="K477" s="22" t="str">
        <x:v>是</x:v>
      </x:c>
      <x:c r="L477" s="22" t="n">
        <x:v>10.148701476429876</x:v>
      </x:c>
      <x:c r="M477" s="22" t="n">
        <x:v>12.230522146448124</x:v>
      </x:c>
      <x:c r="N477" s="22" t="n">
        <x:v>24.461044292896247</x:v>
      </x:c>
      <x:c r="O477" s="22" t="n">
        <x:v>20</x:v>
      </x:c>
      <x:c r="P477" s="24" t="n">
        <x:v>4</x:v>
      </x:c>
      <x:c r="Q477" s="22" t="str">
        <x:v>["S0359"]</x:v>
      </x:c>
      <x:c r="R477" s="22" t="str">
        <x:v>evidence/student_evidence.jsonl；student_key=2025秋:259024</x:v>
      </x:c>
      <x:c r="S477" s="27" t="str"/>
    </x:row>
    <x:row r="478" ht="23" customHeight="1">
      <x:c r="A478" s="21" t="str">
        <x:v>严格基线调整</x:v>
      </x:c>
      <x:c r="B478" s="22" t="str">
        <x:v>突破优先型</x:v>
      </x:c>
      <x:c r="C478" s="22" t="str">
        <x:v>前20%</x:v>
      </x:c>
      <x:c r="D478" s="22" t="str">
        <x:v>边界同分</x:v>
      </x:c>
      <x:c r="E478" s="22" t="str">
        <x:v>2025秋:240957</x:v>
      </x:c>
      <x:c r="F478" s="22" t="str">
        <x:v>s3</x:v>
      </x:c>
      <x:c r="G478" s="26" t="n">
        <x:v>30</x:v>
      </x:c>
      <x:c r="H478" s="25" t="n">
        <x:v>66.83142483280078</x:v>
      </x:c>
      <x:c r="I478" s="24" t="n">
        <x:v>1</x:v>
      </x:c>
      <x:c r="J478" s="24" t="n">
        <x:v>1</x:v>
      </x:c>
      <x:c r="K478" s="22" t="str">
        <x:v>是</x:v>
      </x:c>
      <x:c r="L478" s="22" t="n">
        <x:v>10.184633103589212</x:v>
      </x:c>
      <x:c r="M478" s="22" t="n">
        <x:v>12.215597243070519</x:v>
      </x:c>
      <x:c r="N478" s="22" t="n">
        <x:v>24.431194486141038</x:v>
      </x:c>
      <x:c r="O478" s="22" t="n">
        <x:v>20</x:v>
      </x:c>
      <x:c r="P478" s="24" t="n">
        <x:v>4</x:v>
      </x:c>
      <x:c r="Q478" s="22" t="str">
        <x:v>["S0440"]</x:v>
      </x:c>
      <x:c r="R478" s="22" t="str">
        <x:v>evidence/student_evidence.jsonl；student_key=2025秋:240957</x:v>
      </x:c>
      <x:c r="S478" s="27" t="str"/>
    </x:row>
    <x:row r="479" ht="23" customHeight="1">
      <x:c r="A479" s="21" t="str">
        <x:v>严格基线调整</x:v>
      </x:c>
      <x:c r="B479" s="22" t="str">
        <x:v>突破优先型</x:v>
      </x:c>
      <x:c r="C479" s="22" t="str">
        <x:v>前20%</x:v>
      </x:c>
      <x:c r="D479" s="22" t="str">
        <x:v>边界同分</x:v>
      </x:c>
      <x:c r="E479" s="22" t="str">
        <x:v>2025秋:259425</x:v>
      </x:c>
      <x:c r="F479" s="22" t="str">
        <x:v>s3</x:v>
      </x:c>
      <x:c r="G479" s="26" t="n">
        <x:v>30</x:v>
      </x:c>
      <x:c r="H479" s="25" t="n">
        <x:v>66.83142483280078</x:v>
      </x:c>
      <x:c r="I479" s="24" t="n">
        <x:v>1</x:v>
      </x:c>
      <x:c r="J479" s="24" t="n">
        <x:v>1</x:v>
      </x:c>
      <x:c r="K479" s="22" t="str">
        <x:v>是</x:v>
      </x:c>
      <x:c r="L479" s="22" t="n">
        <x:v>10.184633103589212</x:v>
      </x:c>
      <x:c r="M479" s="22" t="n">
        <x:v>12.215597243070519</x:v>
      </x:c>
      <x:c r="N479" s="22" t="n">
        <x:v>24.431194486141038</x:v>
      </x:c>
      <x:c r="O479" s="22" t="n">
        <x:v>20</x:v>
      </x:c>
      <x:c r="P479" s="24" t="n">
        <x:v>4</x:v>
      </x:c>
      <x:c r="Q479" s="22" t="str">
        <x:v>["S0037"]</x:v>
      </x:c>
      <x:c r="R479" s="22" t="str">
        <x:v>evidence/student_evidence.jsonl；student_key=2025秋:259425</x:v>
      </x:c>
      <x:c r="S479" s="27" t="str"/>
    </x:row>
    <x:row r="480" ht="23" customHeight="1">
      <x:c r="A480" s="21" t="str">
        <x:v>严格基线调整</x:v>
      </x:c>
      <x:c r="B480" s="22" t="str">
        <x:v>突破优先型</x:v>
      </x:c>
      <x:c r="C480" s="22" t="str">
        <x:v>前20%</x:v>
      </x:c>
      <x:c r="D480" s="22" t="str">
        <x:v>边界同分</x:v>
      </x:c>
      <x:c r="E480" s="22" t="str">
        <x:v>2026春:268502</x:v>
      </x:c>
      <x:c r="F480" s="22" t="str">
        <x:v>s3</x:v>
      </x:c>
      <x:c r="G480" s="26" t="n">
        <x:v>30</x:v>
      </x:c>
      <x:c r="H480" s="25" t="n">
        <x:v>66.83142483280078</x:v>
      </x:c>
      <x:c r="I480" s="24" t="n">
        <x:v>1</x:v>
      </x:c>
      <x:c r="J480" s="24" t="n">
        <x:v>1</x:v>
      </x:c>
      <x:c r="K480" s="22" t="str">
        <x:v>是</x:v>
      </x:c>
      <x:c r="L480" s="22" t="n">
        <x:v>10.184633103589212</x:v>
      </x:c>
      <x:c r="M480" s="22" t="n">
        <x:v>12.215597243070519</x:v>
      </x:c>
      <x:c r="N480" s="22" t="n">
        <x:v>24.431194486141038</x:v>
      </x:c>
      <x:c r="O480" s="22" t="n">
        <x:v>20</x:v>
      </x:c>
      <x:c r="P480" s="24" t="n">
        <x:v>4</x:v>
      </x:c>
      <x:c r="Q480" s="22" t="str">
        <x:v>["S1220"]</x:v>
      </x:c>
      <x:c r="R480" s="22" t="str">
        <x:v>evidence/student_evidence.jsonl；student_key=2026春:268502</x:v>
      </x:c>
      <x:c r="S480" s="27" t="str"/>
    </x:row>
    <x:row r="481" ht="23" customHeight="1">
      <x:c r="A481" s="21" t="str">
        <x:v>严格基线调整</x:v>
      </x:c>
      <x:c r="B481" s="22" t="str">
        <x:v>突破优先型</x:v>
      </x:c>
      <x:c r="C481" s="22" t="str">
        <x:v>后20%</x:v>
      </x:c>
      <x:c r="D481" s="22" t="str">
        <x:v>边界同分</x:v>
      </x:c>
      <x:c r="E481" s="22" t="str">
        <x:v>2026春:268194</x:v>
      </x:c>
      <x:c r="F481" s="22" t="str">
        <x:v>s3</x:v>
      </x:c>
      <x:c r="G481" s="26" t="n">
        <x:v>117</x:v>
      </x:c>
      <x:c r="H481" s="25" t="n">
        <x:v>54.195183976227526</x:v>
      </x:c>
      <x:c r="I481" s="24" t="n">
        <x:v>1</x:v>
      </x:c>
      <x:c r="J481" s="24" t="n">
        <x:v>1</x:v>
      </x:c>
      <x:c r="K481" s="22" t="str">
        <x:v>是</x:v>
      </x:c>
      <x:c r="L481" s="22" t="n">
        <x:v>10.203473440798943</x:v>
      </x:c>
      <x:c r="M481" s="22" t="n">
        <x:v>12.441681289587306</x:v>
      </x:c>
      <x:c r="N481" s="22" t="n">
        <x:v>24.883362579174612</x:v>
      </x:c>
      <x:c r="O481" s="22" t="n">
        <x:v>6.666666666666666</x:v>
      </x:c>
      <x:c r="P481" s="24" t="n">
        <x:v>4</x:v>
      </x:c>
      <x:c r="Q481" s="22" t="str">
        <x:v>["S1067"]</x:v>
      </x:c>
      <x:c r="R481" s="22" t="str">
        <x:v>evidence/student_evidence.jsonl；student_key=2026春:268194</x:v>
      </x:c>
      <x:c r="S481" s="27" t="str"/>
    </x:row>
    <x:row r="482" ht="23" customHeight="1">
      <x:c r="A482" s="21" t="str">
        <x:v>严格基线调整</x:v>
      </x:c>
      <x:c r="B482" s="22" t="str">
        <x:v>突破优先型</x:v>
      </x:c>
      <x:c r="C482" s="22" t="str">
        <x:v>后20%</x:v>
      </x:c>
      <x:c r="D482" s="22" t="str">
        <x:v>严格进入</x:v>
      </x:c>
      <x:c r="E482" s="22" t="str">
        <x:v>2025秋:258939</x:v>
      </x:c>
      <x:c r="F482" s="22" t="str">
        <x:v>s3</x:v>
      </x:c>
      <x:c r="G482" s="26" t="n">
        <x:v>118</x:v>
      </x:c>
      <x:c r="H482" s="25" t="n">
        <x:v>54.065930654123775</x:v>
      </x:c>
      <x:c r="I482" s="24" t="n">
        <x:v>1</x:v>
      </x:c>
      <x:c r="J482" s="24" t="n">
        <x:v>1</x:v>
      </x:c>
      <x:c r="K482" s="22" t="str">
        <x:v>是</x:v>
      </x:c>
      <x:c r="L482" s="22" t="n">
        <x:v>10.16085356494472</x:v>
      </x:c>
      <x:c r="M482" s="22" t="n">
        <x:v>12.412803474170799</x:v>
      </x:c>
      <x:c r="N482" s="22" t="n">
        <x:v>24.825606948341598</x:v>
      </x:c>
      <x:c r="O482" s="22" t="n">
        <x:v>6.666666666666666</x:v>
      </x:c>
      <x:c r="P482" s="24" t="n">
        <x:v>4</x:v>
      </x:c>
      <x:c r="Q482" s="22" t="str">
        <x:v>["S0367"]</x:v>
      </x:c>
      <x:c r="R482" s="22" t="str">
        <x:v>evidence/student_evidence.jsonl；student_key=2025秋:258939</x:v>
      </x:c>
      <x:c r="S482" s="27" t="str"/>
    </x:row>
    <x:row r="483" ht="23" customHeight="1">
      <x:c r="A483" s="21" t="str">
        <x:v>严格基线调整</x:v>
      </x:c>
      <x:c r="B483" s="22" t="str">
        <x:v>突破优先型</x:v>
      </x:c>
      <x:c r="C483" s="22" t="str">
        <x:v>后20%</x:v>
      </x:c>
      <x:c r="D483" s="22" t="str">
        <x:v>严格进入</x:v>
      </x:c>
      <x:c r="E483" s="22" t="str">
        <x:v>2026春:268126</x:v>
      </x:c>
      <x:c r="F483" s="22" t="str">
        <x:v>s3</x:v>
      </x:c>
      <x:c r="G483" s="26" t="n">
        <x:v>119</x:v>
      </x:c>
      <x:c r="H483" s="25" t="n">
        <x:v>53.806456811224066</x:v>
      </x:c>
      <x:c r="I483" s="24" t="n">
        <x:v>1</x:v>
      </x:c>
      <x:c r="J483" s="24" t="n">
        <x:v>1</x:v>
      </x:c>
      <x:c r="K483" s="22" t="str">
        <x:v>是</x:v>
      </x:c>
      <x:c r="L483" s="22" t="n">
        <x:v>10.192967301204256</x:v>
      </x:c>
      <x:c r="M483" s="22" t="n">
        <x:v>12.31560761445105</x:v>
      </x:c>
      <x:c r="N483" s="22" t="n">
        <x:v>24.6312152289021</x:v>
      </x:c>
      <x:c r="O483" s="22" t="n">
        <x:v>6.666666666666666</x:v>
      </x:c>
      <x:c r="P483" s="24" t="n">
        <x:v>4</x:v>
      </x:c>
      <x:c r="Q483" s="22" t="str">
        <x:v>["S0931"]</x:v>
      </x:c>
      <x:c r="R483" s="22" t="str">
        <x:v>evidence/student_evidence.jsonl；student_key=2026春:268126</x:v>
      </x:c>
      <x:c r="S483" s="27" t="str"/>
    </x:row>
    <x:row r="484" ht="23" customHeight="1">
      <x:c r="A484" s="21" t="str">
        <x:v>严格基线调整</x:v>
      </x:c>
      <x:c r="B484" s="22" t="str">
        <x:v>突破优先型</x:v>
      </x:c>
      <x:c r="C484" s="22" t="str">
        <x:v>后20%</x:v>
      </x:c>
      <x:c r="D484" s="22" t="str">
        <x:v>严格进入</x:v>
      </x:c>
      <x:c r="E484" s="22" t="str">
        <x:v>2026春:268162</x:v>
      </x:c>
      <x:c r="F484" s="22" t="str">
        <x:v>s3</x:v>
      </x:c>
      <x:c r="G484" s="26" t="n">
        <x:v>120</x:v>
      </x:c>
      <x:c r="H484" s="25" t="n">
        <x:v>53.63202032646433</x:v>
      </x:c>
      <x:c r="I484" s="24" t="n">
        <x:v>1</x:v>
      </x:c>
      <x:c r="J484" s="24" t="n">
        <x:v>1</x:v>
      </x:c>
      <x:c r="K484" s="22" t="str">
        <x:v>是</x:v>
      </x:c>
      <x:c r="L484" s="22" t="n">
        <x:v>10.188252801616153</x:v>
      </x:c>
      <x:c r="M484" s="22" t="n">
        <x:v>12.259033619393836</x:v>
      </x:c>
      <x:c r="N484" s="22" t="n">
        <x:v>24.518067238787673</x:v>
      </x:c>
      <x:c r="O484" s="22" t="n">
        <x:v>6.666666666666666</x:v>
      </x:c>
      <x:c r="P484" s="24" t="n">
        <x:v>4</x:v>
      </x:c>
      <x:c r="Q484" s="22" t="str">
        <x:v>["S1027"]</x:v>
      </x:c>
      <x:c r="R484" s="22" t="str">
        <x:v>evidence/student_evidence.jsonl；student_key=2026春:268162</x:v>
      </x:c>
      <x:c r="S484" s="27" t="str"/>
    </x:row>
    <x:row r="485" ht="23" customHeight="1">
      <x:c r="A485" s="21" t="str">
        <x:v>严格基线调整</x:v>
      </x:c>
      <x:c r="B485" s="22" t="str">
        <x:v>突破优先型</x:v>
      </x:c>
      <x:c r="C485" s="22" t="str">
        <x:v>后20%</x:v>
      </x:c>
      <x:c r="D485" s="22" t="str">
        <x:v>严格进入</x:v>
      </x:c>
      <x:c r="E485" s="22" t="str">
        <x:v>2026春:268144</x:v>
      </x:c>
      <x:c r="F485" s="22" t="str">
        <x:v>s3</x:v>
      </x:c>
      <x:c r="G485" s="26" t="n">
        <x:v>121</x:v>
      </x:c>
      <x:c r="H485" s="25" t="n">
        <x:v>53.49283160331333</x:v>
      </x:c>
      <x:c r="I485" s="24" t="n">
        <x:v>1</x:v>
      </x:c>
      <x:c r="J485" s="24" t="n">
        <x:v>1</x:v>
      </x:c>
      <x:c r="K485" s="22" t="str">
        <x:v>是</x:v>
      </x:c>
      <x:c r="L485" s="22" t="n">
        <x:v>10.184490944233694</x:v>
      </x:c>
      <x:c r="M485" s="22" t="n">
        <x:v>12.213891330804321</x:v>
      </x:c>
      <x:c r="N485" s="22" t="n">
        <x:v>24.427782661608642</x:v>
      </x:c>
      <x:c r="O485" s="22" t="n">
        <x:v>6.666666666666666</x:v>
      </x:c>
      <x:c r="P485" s="24" t="n">
        <x:v>4</x:v>
      </x:c>
      <x:c r="Q485" s="22" t="str">
        <x:v>["S0983"]</x:v>
      </x:c>
      <x:c r="R485" s="22" t="str">
        <x:v>evidence/student_evidence.jsonl；student_key=2026春:268144</x:v>
      </x:c>
      <x:c r="S485" s="27" t="str"/>
    </x:row>
    <x:row r="486" ht="23" customHeight="1">
      <x:c r="A486" s="21" t="str">
        <x:v>严格基线调整</x:v>
      </x:c>
      <x:c r="B486" s="22" t="str">
        <x:v>突破优先型</x:v>
      </x:c>
      <x:c r="C486" s="22" t="str">
        <x:v>后20%</x:v>
      </x:c>
      <x:c r="D486" s="22" t="str">
        <x:v>严格进入</x:v>
      </x:c>
      <x:c r="E486" s="22" t="str">
        <x:v>2025秋:258990</x:v>
      </x:c>
      <x:c r="F486" s="22" t="str">
        <x:v>s3</x:v>
      </x:c>
      <x:c r="G486" s="26" t="n">
        <x:v>122</x:v>
      </x:c>
      <x:c r="H486" s="25" t="n">
        <x:v>53.31366571546662</x:v>
      </x:c>
      <x:c r="I486" s="24" t="n">
        <x:v>1</x:v>
      </x:c>
      <x:c r="J486" s="24" t="n">
        <x:v>1</x:v>
      </x:c>
      <x:c r="K486" s="22" t="str">
        <x:v>是</x:v>
      </x:c>
      <x:c r="L486" s="22" t="n">
        <x:v>10.179648622940539</x:v>
      </x:c>
      <x:c r="M486" s="22" t="n">
        <x:v>12.155783475286471</x:v>
      </x:c>
      <x:c r="N486" s="22" t="n">
        <x:v>24.311566950572942</x:v>
      </x:c>
      <x:c r="O486" s="22" t="n">
        <x:v>6.666666666666666</x:v>
      </x:c>
      <x:c r="P486" s="24" t="n">
        <x:v>4</x:v>
      </x:c>
      <x:c r="Q486" s="22" t="str">
        <x:v>["S0491"]</x:v>
      </x:c>
      <x:c r="R486" s="22" t="str">
        <x:v>evidence/student_evidence.jsonl；student_key=2025秋:258990</x:v>
      </x:c>
      <x:c r="S486" s="27" t="str"/>
    </x:row>
    <x:row r="487" ht="23" customHeight="1">
      <x:c r="A487" s="21" t="str">
        <x:v>严格基线调整</x:v>
      </x:c>
      <x:c r="B487" s="22" t="str">
        <x:v>突破优先型</x:v>
      </x:c>
      <x:c r="C487" s="22" t="str">
        <x:v>后20%</x:v>
      </x:c>
      <x:c r="D487" s="22" t="str">
        <x:v>严格进入</x:v>
      </x:c>
      <x:c r="E487" s="22" t="str">
        <x:v>2025秋:259452</x:v>
      </x:c>
      <x:c r="F487" s="22" t="str">
        <x:v>s3</x:v>
      </x:c>
      <x:c r="G487" s="26" t="n">
        <x:v>123</x:v>
      </x:c>
      <x:c r="H487" s="25" t="n">
        <x:v>52.87787811844106</x:v>
      </x:c>
      <x:c r="I487" s="24" t="n">
        <x:v>1</x:v>
      </x:c>
      <x:c r="J487" s="24" t="n">
        <x:v>1</x:v>
      </x:c>
      <x:c r="K487" s="22" t="str">
        <x:v>是</x:v>
      </x:c>
      <x:c r="L487" s="22" t="n">
        <x:v>10.04717832981051</x:v>
      </x:c>
      <x:c r="M487" s="22" t="n">
        <x:v>10.943566596210184</x:v>
      </x:c>
      <x:c r="N487" s="22" t="n">
        <x:v>21.887133192420368</x:v>
      </x:c>
      <x:c r="O487" s="22" t="n">
        <x:v>10</x:v>
      </x:c>
      <x:c r="P487" s="24" t="n">
        <x:v>2</x:v>
      </x:c>
      <x:c r="Q487" s="22" t="str">
        <x:v>["S0501"]</x:v>
      </x:c>
      <x:c r="R487" s="22" t="str">
        <x:v>evidence/student_evidence.jsonl；student_key=2025秋:259452</x:v>
      </x:c>
      <x:c r="S487" s="27" t="str"/>
    </x:row>
    <x:row r="488" ht="23" customHeight="1">
      <x:c r="A488" s="21" t="str">
        <x:v>严格基线调整</x:v>
      </x:c>
      <x:c r="B488" s="22" t="str">
        <x:v>突破优先型</x:v>
      </x:c>
      <x:c r="C488" s="22" t="str">
        <x:v>后20%</x:v>
      </x:c>
      <x:c r="D488" s="22" t="str">
        <x:v>严格进入</x:v>
      </x:c>
      <x:c r="E488" s="22" t="str">
        <x:v>2025秋:259321</x:v>
      </x:c>
      <x:c r="F488" s="22" t="str">
        <x:v>s3</x:v>
      </x:c>
      <x:c r="G488" s="26" t="n">
        <x:v>124</x:v>
      </x:c>
      <x:c r="H488" s="25" t="n">
        <x:v>52.62205349641433</x:v>
      </x:c>
      <x:c r="I488" s="24" t="n">
        <x:v>1</x:v>
      </x:c>
      <x:c r="J488" s="24" t="n">
        <x:v>1</x:v>
      </x:c>
      <x:c r="K488" s="22" t="str">
        <x:v>是</x:v>
      </x:c>
      <x:c r="L488" s="22" t="n">
        <x:v>10.042984483547777</x:v>
      </x:c>
      <x:c r="M488" s="22" t="n">
        <x:v>10.85968967095552</x:v>
      </x:c>
      <x:c r="N488" s="22" t="n">
        <x:v>21.71937934191104</x:v>
      </x:c>
      <x:c r="O488" s="22" t="n">
        <x:v>10</x:v>
      </x:c>
      <x:c r="P488" s="24" t="n">
        <x:v>3</x:v>
      </x:c>
      <x:c r="Q488" s="22" t="str">
        <x:v>["S0288"]</x:v>
      </x:c>
      <x:c r="R488" s="22" t="str">
        <x:v>evidence/student_evidence.jsonl；student_key=2025秋:259321</x:v>
      </x:c>
      <x:c r="S488" s="27" t="str"/>
    </x:row>
    <x:row r="489" ht="23" customHeight="1">
      <x:c r="A489" s="21" t="str">
        <x:v>严格基线调整</x:v>
      </x:c>
      <x:c r="B489" s="22" t="str">
        <x:v>突破优先型</x:v>
      </x:c>
      <x:c r="C489" s="22" t="str">
        <x:v>后20%</x:v>
      </x:c>
      <x:c r="D489" s="22" t="str">
        <x:v>严格进入</x:v>
      </x:c>
      <x:c r="E489" s="22" t="str">
        <x:v>2026春:250695</x:v>
      </x:c>
      <x:c r="F489" s="22" t="str">
        <x:v>s6</x:v>
      </x:c>
      <x:c r="G489" s="26" t="n">
        <x:v>125</x:v>
      </x:c>
      <x:c r="H489" s="25" t="n">
        <x:v>51.90133333333334</x:v>
      </x:c>
      <x:c r="I489" s="24" t="n">
        <x:v>1</x:v>
      </x:c>
      <x:c r="J489" s="24" t="n">
        <x:v>1</x:v>
      </x:c>
      <x:c r="K489" s="22" t="str">
        <x:v>是</x:v>
      </x:c>
      <x:c r="L489" s="22" t="n">
        <x:v>10.041333333333334</x:v>
      </x:c>
      <x:c r="M489" s="22" t="n">
        <x:v>10.620000000000001</x:v>
      </x:c>
      <x:c r="N489" s="22" t="n">
        <x:v>21.240000000000002</x:v>
      </x:c>
      <x:c r="O489" s="22" t="n">
        <x:v>10</x:v>
      </x:c>
      <x:c r="P489" s="24" t="n">
        <x:v>4</x:v>
      </x:c>
      <x:c r="Q489" s="22" t="str">
        <x:v>["S0818"]</x:v>
      </x:c>
      <x:c r="R489" s="22" t="str">
        <x:v>evidence/student_evidence.jsonl；student_key=2026春:250695</x:v>
      </x:c>
      <x:c r="S489" s="27" t="str"/>
    </x:row>
    <x:row r="490" ht="23" customHeight="1">
      <x:c r="A490" s="21" t="str">
        <x:v>严格基线调整</x:v>
      </x:c>
      <x:c r="B490" s="22" t="str">
        <x:v>突破优先型</x:v>
      </x:c>
      <x:c r="C490" s="22" t="str">
        <x:v>后20%</x:v>
      </x:c>
      <x:c r="D490" s="22" t="str">
        <x:v>严格进入</x:v>
      </x:c>
      <x:c r="E490" s="22" t="str">
        <x:v>2026春:268135</x:v>
      </x:c>
      <x:c r="F490" s="22" t="str">
        <x:v>s3</x:v>
      </x:c>
      <x:c r="G490" s="26" t="n">
        <x:v>126</x:v>
      </x:c>
      <x:c r="H490" s="25" t="n">
        <x:v>51.2276259114662</x:v>
      </x:c>
      <x:c r="I490" s="24" t="n">
        <x:v>1</x:v>
      </x:c>
      <x:c r="J490" s="24" t="n">
        <x:v>1</x:v>
      </x:c>
      <x:c r="K490" s="22" t="str">
        <x:v>是</x:v>
      </x:c>
      <x:c r="L490" s="22" t="n">
        <x:v>10.168314213823411</x:v>
      </x:c>
      <x:c r="M490" s="22" t="n">
        <x:v>12.01977056588093</x:v>
      </x:c>
      <x:c r="N490" s="22" t="n">
        <x:v>24.03954113176186</x:v>
      </x:c>
      <x:c r="O490" s="22" t="n">
        <x:v>5</x:v>
      </x:c>
      <x:c r="P490" s="24" t="n">
        <x:v>4</x:v>
      </x:c>
      <x:c r="Q490" s="22" t="str">
        <x:v>["S0948"]</x:v>
      </x:c>
      <x:c r="R490" s="22" t="str">
        <x:v>evidence/student_evidence.jsonl；student_key=2026春:268135</x:v>
      </x:c>
      <x:c r="S490" s="27" t="str"/>
    </x:row>
    <x:row r="491" ht="23" customHeight="1">
      <x:c r="A491" s="21" t="str">
        <x:v>严格基线调整</x:v>
      </x:c>
      <x:c r="B491" s="22" t="str">
        <x:v>突破优先型</x:v>
      </x:c>
      <x:c r="C491" s="22" t="str">
        <x:v>后20%</x:v>
      </x:c>
      <x:c r="D491" s="22" t="str">
        <x:v>严格进入</x:v>
      </x:c>
      <x:c r="E491" s="22" t="str">
        <x:v>2025秋:259958</x:v>
      </x:c>
      <x:c r="F491" s="22" t="str">
        <x:v>s3</x:v>
      </x:c>
      <x:c r="G491" s="26" t="n">
        <x:v>127</x:v>
      </x:c>
      <x:c r="H491" s="25" t="n">
        <x:v>48.61294303156644</x:v>
      </x:c>
      <x:c r="I491" s="24" t="n">
        <x:v>1</x:v>
      </x:c>
      <x:c r="J491" s="24" t="n">
        <x:v>1</x:v>
      </x:c>
      <x:c r="K491" s="22" t="str">
        <x:v>是</x:v>
      </x:c>
      <x:c r="L491" s="22" t="n">
        <x:v>9.97726136117322</x:v>
      </x:c>
      <x:c r="M491" s="22" t="n">
        <x:v>9.545227223464407</x:v>
      </x:c>
      <x:c r="N491" s="22" t="n">
        <x:v>19.090454446928813</x:v>
      </x:c>
      <x:c r="O491" s="22" t="n">
        <x:v>10</x:v>
      </x:c>
      <x:c r="P491" s="24" t="n">
        <x:v>4</x:v>
      </x:c>
      <x:c r="Q491" s="22" t="str">
        <x:v>["S0183"]</x:v>
      </x:c>
      <x:c r="R491" s="22" t="str">
        <x:v>evidence/student_evidence.jsonl；student_key=2025秋:259958</x:v>
      </x:c>
      <x:c r="S491" s="27" t="str"/>
    </x:row>
    <x:row r="492" ht="48" customHeight="1">
      <x:c r="A492" s="21" t="str">
        <x:v>严格基线调整</x:v>
      </x:c>
      <x:c r="B492" s="22" t="str">
        <x:v>突破优先型</x:v>
      </x:c>
      <x:c r="C492" s="22" t="str">
        <x:v>后20%</x:v>
      </x:c>
      <x:c r="D492" s="22" t="str">
        <x:v>严格进入</x:v>
      </x:c>
      <x:c r="E492" s="22" t="str">
        <x:v>2026春:268520</x:v>
      </x:c>
      <x:c r="F492" s="22" t="str">
        <x:v>s6</x:v>
      </x:c>
      <x:c r="G492" s="26" t="n">
        <x:v>128</x:v>
      </x:c>
      <x:c r="H492" s="25" t="n">
        <x:v>48.470476190476184</x:v>
      </x:c>
      <x:c r="I492" s="24" t="n">
        <x:v>1</x:v>
      </x:c>
      <x:c r="J492" s="24" t="n">
        <x:v>1</x:v>
      </x:c>
      <x:c r="K492" s="22" t="str">
        <x:v>是</x:v>
      </x:c>
      <x:c r="L492" s="22" t="n">
        <x:v>9.868571428571428</x:v>
      </x:c>
      <x:c r="M492" s="22" t="n">
        <x:v>8.422857142857143</x:v>
      </x:c>
      <x:c r="N492" s="22" t="n">
        <x:v>16.845714285714287</x:v>
      </x:c>
      <x:c r="O492" s="22" t="n">
        <x:v>13.333333333333332</x:v>
      </x:c>
      <x:c r="P492" s="24" t="n">
        <x:v>3</x:v>
      </x:c>
      <x:c r="Q492" s="22" t="str">
        <x:v>["S1244"]</x:v>
      </x:c>
      <x:c r="R492" s="22" t="str">
        <x:v>evidence/student_evidence.jsonl；student_key=2026春:268520</x:v>
      </x:c>
      <x:c r="S492" s="27" t="str">
        <x:v>同一锚点起止1条：未形成独立重复测量。</x:v>
      </x:c>
    </x:row>
    <x:row r="493" ht="23" customHeight="1">
      <x:c r="A493" s="21" t="str">
        <x:v>严格基线调整</x:v>
      </x:c>
      <x:c r="B493" s="22" t="str">
        <x:v>突破优先型</x:v>
      </x:c>
      <x:c r="C493" s="22" t="str">
        <x:v>后20%</x:v>
      </x:c>
      <x:c r="D493" s="22" t="str">
        <x:v>严格进入</x:v>
      </x:c>
      <x:c r="E493" s="22" t="str">
        <x:v>2026春:268498</x:v>
      </x:c>
      <x:c r="F493" s="22" t="str">
        <x:v>s3</x:v>
      </x:c>
      <x:c r="G493" s="26" t="n">
        <x:v>129</x:v>
      </x:c>
      <x:c r="H493" s="25" t="n">
        <x:v>47.70364975911652</x:v>
      </x:c>
      <x:c r="I493" s="24" t="n">
        <x:v>1</x:v>
      </x:c>
      <x:c r="J493" s="24" t="n">
        <x:v>1</x:v>
      </x:c>
      <x:c r="K493" s="22" t="str">
        <x:v>是</x:v>
      </x:c>
      <x:c r="L493" s="22" t="n">
        <x:v>9.991990534030178</x:v>
      </x:c>
      <x:c r="M493" s="22" t="n">
        <x:v>9.903886408362114</x:v>
      </x:c>
      <x:c r="N493" s="22" t="n">
        <x:v>19.807772816724228</x:v>
      </x:c>
      <x:c r="O493" s="22" t="n">
        <x:v>8</x:v>
      </x:c>
      <x:c r="P493" s="24" t="n">
        <x:v>4</x:v>
      </x:c>
      <x:c r="Q493" s="22" t="str">
        <x:v>["S1207"]</x:v>
      </x:c>
      <x:c r="R493" s="22" t="str">
        <x:v>evidence/student_evidence.jsonl；student_key=2026春:268498</x:v>
      </x:c>
      <x:c r="S493" s="27" t="str"/>
    </x:row>
    <x:row r="494" ht="23" customHeight="1">
      <x:c r="A494" s="21" t="str">
        <x:v>严格基线调整</x:v>
      </x:c>
      <x:c r="B494" s="22" t="str">
        <x:v>突破优先型</x:v>
      </x:c>
      <x:c r="C494" s="22" t="str">
        <x:v>后20%</x:v>
      </x:c>
      <x:c r="D494" s="22" t="str">
        <x:v>严格进入</x:v>
      </x:c>
      <x:c r="E494" s="22" t="str">
        <x:v>2026春:268130</x:v>
      </x:c>
      <x:c r="F494" s="22" t="str">
        <x:v>s3</x:v>
      </x:c>
      <x:c r="G494" s="26" t="n">
        <x:v>130</x:v>
      </x:c>
      <x:c r="H494" s="25" t="n">
        <x:v>47.597458029143446</x:v>
      </x:c>
      <x:c r="I494" s="24" t="n">
        <x:v>1</x:v>
      </x:c>
      <x:c r="J494" s="24" t="n">
        <x:v>1</x:v>
      </x:c>
      <x:c r="K494" s="22" t="str">
        <x:v>是</x:v>
      </x:c>
      <x:c r="L494" s="22" t="n">
        <x:v>10.025156523310185</x:v>
      </x:c>
      <x:c r="M494" s="22" t="n">
        <x:v>10.3018782797222</x:v>
      </x:c>
      <x:c r="N494" s="22" t="n">
        <x:v>20.6037565594444</x:v>
      </x:c>
      <x:c r="O494" s="22" t="n">
        <x:v>6.666666666666666</x:v>
      </x:c>
      <x:c r="P494" s="24" t="n">
        <x:v>4</x:v>
      </x:c>
      <x:c r="Q494" s="22" t="str">
        <x:v>["S0938"]</x:v>
      </x:c>
      <x:c r="R494" s="22" t="str">
        <x:v>evidence/student_evidence.jsonl；student_key=2026春:268130</x:v>
      </x:c>
      <x:c r="S494" s="27" t="str"/>
    </x:row>
    <x:row r="495" ht="48" customHeight="1">
      <x:c r="A495" s="21" t="str">
        <x:v>严格基线调整</x:v>
      </x:c>
      <x:c r="B495" s="22" t="str">
        <x:v>突破优先型</x:v>
      </x:c>
      <x:c r="C495" s="22" t="str">
        <x:v>后20%</x:v>
      </x:c>
      <x:c r="D495" s="22" t="str">
        <x:v>严格进入</x:v>
      </x:c>
      <x:c r="E495" s="22" t="str">
        <x:v>2025秋:25A171</x:v>
      </x:c>
      <x:c r="F495" s="22" t="str">
        <x:v>s3</x:v>
      </x:c>
      <x:c r="G495" s="26" t="n">
        <x:v>131</x:v>
      </x:c>
      <x:c r="H495" s="25" t="n">
        <x:v>47.11817274084198</x:v>
      </x:c>
      <x:c r="I495" s="24" t="n">
        <x:v>1</x:v>
      </x:c>
      <x:c r="J495" s="24" t="n">
        <x:v>1</x:v>
      </x:c>
      <x:c r="K495" s="22" t="str">
        <x:v>是</x:v>
      </x:c>
      <x:c r="L495" s="22" t="n">
        <x:v>9.937351581322652</x:v>
      </x:c>
      <x:c r="M495" s="22" t="n">
        <x:v>9.060273719839776</x:v>
      </x:c>
      <x:c r="N495" s="22" t="n">
        <x:v>18.12054743967955</x:v>
      </x:c>
      <x:c r="O495" s="22" t="n">
        <x:v>10</x:v>
      </x:c>
      <x:c r="P495" s="24" t="n">
        <x:v>4</x:v>
      </x:c>
      <x:c r="Q495" s="22" t="str">
        <x:v>["S0258"]</x:v>
      </x:c>
      <x:c r="R495" s="22" t="str">
        <x:v>evidence/student_evidence.jsonl；student_key=2025秋:25A171</x:v>
      </x:c>
      <x:c r="S495" s="27" t="str">
        <x:v>同一锚点起止1条：未形成独立重复测量。</x:v>
      </x:c>
    </x:row>
    <x:row r="496" ht="23" customHeight="1">
      <x:c r="A496" s="21" t="str">
        <x:v>严格基线调整</x:v>
      </x:c>
      <x:c r="B496" s="22" t="str">
        <x:v>突破优先型</x:v>
      </x:c>
      <x:c r="C496" s="22" t="str">
        <x:v>后20%</x:v>
      </x:c>
      <x:c r="D496" s="22" t="str">
        <x:v>严格进入</x:v>
      </x:c>
      <x:c r="E496" s="22" t="str">
        <x:v>2025秋:258892</x:v>
      </x:c>
      <x:c r="F496" s="22" t="str">
        <x:v>s3</x:v>
      </x:c>
      <x:c r="G496" s="26" t="n">
        <x:v>132</x:v>
      </x:c>
      <x:c r="H496" s="25" t="n">
        <x:v>47.08404074987605</x:v>
      </x:c>
      <x:c r="I496" s="24" t="n">
        <x:v>2</x:v>
      </x:c>
      <x:c r="J496" s="24" t="n">
        <x:v>2</x:v>
      </x:c>
      <x:c r="K496" s="22" t="str">
        <x:v>是</x:v>
      </x:c>
      <x:c r="L496" s="22" t="n">
        <x:v>9.936609581519043</x:v>
      </x:c>
      <x:c r="M496" s="22" t="n">
        <x:v>9.04914372278567</x:v>
      </x:c>
      <x:c r="N496" s="22" t="n">
        <x:v>18.09828744557134</x:v>
      </x:c>
      <x:c r="O496" s="22" t="n">
        <x:v>10</x:v>
      </x:c>
      <x:c r="P496" s="24" t="n">
        <x:v>4</x:v>
      </x:c>
      <x:c r="Q496" s="22" t="str">
        <x:v>["S0095","S0473"]</x:v>
      </x:c>
      <x:c r="R496" s="22" t="str">
        <x:v>evidence/student_evidence.jsonl；student_key=2025秋:258892</x:v>
      </x:c>
      <x:c r="S496" s="27" t="str"/>
    </x:row>
    <x:row r="497" ht="48" customHeight="1">
      <x:c r="A497" s="21" t="str">
        <x:v>严格基线调整</x:v>
      </x:c>
      <x:c r="B497" s="22" t="str">
        <x:v>突破优先型</x:v>
      </x:c>
      <x:c r="C497" s="22" t="str">
        <x:v>后20%</x:v>
      </x:c>
      <x:c r="D497" s="22" t="str">
        <x:v>严格进入</x:v>
      </x:c>
      <x:c r="E497" s="22" t="str">
        <x:v>2025秋:258274</x:v>
      </x:c>
      <x:c r="F497" s="22" t="str">
        <x:v>s3</x:v>
      </x:c>
      <x:c r="G497" s="26" t="n">
        <x:v>133.5</x:v>
      </x:c>
      <x:c r="H497" s="25" t="n">
        <x:v>46.36521294274324</x:v>
      </x:c>
      <x:c r="I497" s="24" t="n">
        <x:v>1</x:v>
      </x:c>
      <x:c r="J497" s="24" t="n">
        <x:v>1</x:v>
      </x:c>
      <x:c r="K497" s="22" t="str">
        <x:v>是</x:v>
      </x:c>
      <x:c r="L497" s="22" t="n">
        <x:v>9.901762511966034</x:v>
      </x:c>
      <x:c r="M497" s="22" t="n">
        <x:v>8.821150143592401</x:v>
      </x:c>
      <x:c r="N497" s="22" t="n">
        <x:v>17.642300287184803</x:v>
      </x:c>
      <x:c r="O497" s="22" t="n">
        <x:v>10</x:v>
      </x:c>
      <x:c r="P497" s="24" t="n">
        <x:v>4</x:v>
      </x:c>
      <x:c r="Q497" s="22" t="str">
        <x:v>["S0275"]</x:v>
      </x:c>
      <x:c r="R497" s="22" t="str">
        <x:v>evidence/student_evidence.jsonl；student_key=2025秋:258274</x:v>
      </x:c>
      <x:c r="S497" s="27" t="str">
        <x:v>同一锚点起止1条：未形成独立重复测量。</x:v>
      </x:c>
    </x:row>
    <x:row r="498" ht="23" customHeight="1">
      <x:c r="A498" s="21" t="str">
        <x:v>严格基线调整</x:v>
      </x:c>
      <x:c r="B498" s="22" t="str">
        <x:v>突破优先型</x:v>
      </x:c>
      <x:c r="C498" s="22" t="str">
        <x:v>后20%</x:v>
      </x:c>
      <x:c r="D498" s="22" t="str">
        <x:v>严格进入</x:v>
      </x:c>
      <x:c r="E498" s="22" t="str">
        <x:v>2025秋:259315</x:v>
      </x:c>
      <x:c r="F498" s="22" t="str">
        <x:v>s3</x:v>
      </x:c>
      <x:c r="G498" s="26" t="n">
        <x:v>133.5</x:v>
      </x:c>
      <x:c r="H498" s="25" t="n">
        <x:v>46.36521294274324</x:v>
      </x:c>
      <x:c r="I498" s="24" t="n">
        <x:v>1</x:v>
      </x:c>
      <x:c r="J498" s="24" t="n">
        <x:v>1</x:v>
      </x:c>
      <x:c r="K498" s="22" t="str">
        <x:v>是</x:v>
      </x:c>
      <x:c r="L498" s="22" t="n">
        <x:v>9.901762511966034</x:v>
      </x:c>
      <x:c r="M498" s="22" t="n">
        <x:v>8.821150143592401</x:v>
      </x:c>
      <x:c r="N498" s="22" t="n">
        <x:v>17.642300287184803</x:v>
      </x:c>
      <x:c r="O498" s="22" t="n">
        <x:v>10</x:v>
      </x:c>
      <x:c r="P498" s="24" t="n">
        <x:v>4</x:v>
      </x:c>
      <x:c r="Q498" s="22" t="str">
        <x:v>["S0405"]</x:v>
      </x:c>
      <x:c r="R498" s="22" t="str">
        <x:v>evidence/student_evidence.jsonl；student_key=2025秋:259315</x:v>
      </x:c>
      <x:c r="S498" s="27" t="str"/>
    </x:row>
    <x:row r="499" ht="23" customHeight="1">
      <x:c r="A499" s="21" t="str">
        <x:v>严格基线调整</x:v>
      </x:c>
      <x:c r="B499" s="22" t="str">
        <x:v>突破优先型</x:v>
      </x:c>
      <x:c r="C499" s="22" t="str">
        <x:v>后20%</x:v>
      </x:c>
      <x:c r="D499" s="22" t="str">
        <x:v>严格进入</x:v>
      </x:c>
      <x:c r="E499" s="22" t="str">
        <x:v>2025秋:259422</x:v>
      </x:c>
      <x:c r="F499" s="22" t="str">
        <x:v>s3</x:v>
      </x:c>
      <x:c r="G499" s="26" t="n">
        <x:v>135</x:v>
      </x:c>
      <x:c r="H499" s="25" t="n">
        <x:v>45.78187892502057</x:v>
      </x:c>
      <x:c r="I499" s="24" t="n">
        <x:v>1</x:v>
      </x:c>
      <x:c r="J499" s="24" t="n">
        <x:v>1</x:v>
      </x:c>
      <x:c r="K499" s="22" t="str">
        <x:v>是</x:v>
      </x:c>
      <x:c r="L499" s="22" t="n">
        <x:v>9.88599672770326</x:v>
      </x:c>
      <x:c r="M499" s="22" t="n">
        <x:v>8.631960732439103</x:v>
      </x:c>
      <x:c r="N499" s="22" t="n">
        <x:v>17.263921464878205</x:v>
      </x:c>
      <x:c r="O499" s="22" t="n">
        <x:v>10</x:v>
      </x:c>
      <x:c r="P499" s="24" t="n">
        <x:v>4</x:v>
      </x:c>
      <x:c r="Q499" s="22" t="str">
        <x:v>["S0421"]</x:v>
      </x:c>
      <x:c r="R499" s="22" t="str">
        <x:v>evidence/student_evidence.jsonl；student_key=2025秋:259422</x:v>
      </x:c>
      <x:c r="S499" s="27" t="str"/>
    </x:row>
    <x:row r="500" ht="23" customHeight="1">
      <x:c r="A500" s="21" t="str">
        <x:v>严格基线调整</x:v>
      </x:c>
      <x:c r="B500" s="22" t="str">
        <x:v>突破优先型</x:v>
      </x:c>
      <x:c r="C500" s="22" t="str">
        <x:v>后20%</x:v>
      </x:c>
      <x:c r="D500" s="22" t="str">
        <x:v>严格进入</x:v>
      </x:c>
      <x:c r="E500" s="22" t="str">
        <x:v>2025秋:258912</x:v>
      </x:c>
      <x:c r="F500" s="22" t="str">
        <x:v>s3</x:v>
      </x:c>
      <x:c r="G500" s="26" t="n">
        <x:v>139.5</x:v>
      </x:c>
      <x:c r="H500" s="25" t="n">
        <x:v>45.781004525719204</x:v>
      </x:c>
      <x:c r="I500" s="24" t="n">
        <x:v>1</x:v>
      </x:c>
      <x:c r="J500" s="24" t="n">
        <x:v>1</x:v>
      </x:c>
      <x:c r="K500" s="22" t="str">
        <x:v>是</x:v>
      </x:c>
      <x:c r="L500" s="22" t="n">
        <x:v>9.885973095289708</x:v>
      </x:c>
      <x:c r="M500" s="22" t="n">
        <x:v>8.631677143476498</x:v>
      </x:c>
      <x:c r="N500" s="22" t="n">
        <x:v>17.263354286952996</x:v>
      </x:c>
      <x:c r="O500" s="22" t="n">
        <x:v>10</x:v>
      </x:c>
      <x:c r="P500" s="24" t="n">
        <x:v>4</x:v>
      </x:c>
      <x:c r="Q500" s="22" t="str">
        <x:v>["S0092"]</x:v>
      </x:c>
      <x:c r="R500" s="22" t="str">
        <x:v>evidence/student_evidence.jsonl；student_key=2025秋:258912</x:v>
      </x:c>
      <x:c r="S500" s="27" t="str"/>
    </x:row>
    <x:row r="501" ht="48" customHeight="1">
      <x:c r="A501" s="21" t="str">
        <x:v>严格基线调整</x:v>
      </x:c>
      <x:c r="B501" s="22" t="str">
        <x:v>突破优先型</x:v>
      </x:c>
      <x:c r="C501" s="22" t="str">
        <x:v>后20%</x:v>
      </x:c>
      <x:c r="D501" s="22" t="str">
        <x:v>严格进入</x:v>
      </x:c>
      <x:c r="E501" s="22" t="str">
        <x:v>2025秋:258923</x:v>
      </x:c>
      <x:c r="F501" s="22" t="str">
        <x:v>s3</x:v>
      </x:c>
      <x:c r="G501" s="26" t="n">
        <x:v>139.5</x:v>
      </x:c>
      <x:c r="H501" s="25" t="n">
        <x:v>45.781004525719204</x:v>
      </x:c>
      <x:c r="I501" s="24" t="n">
        <x:v>1</x:v>
      </x:c>
      <x:c r="J501" s="24" t="n">
        <x:v>1</x:v>
      </x:c>
      <x:c r="K501" s="22" t="str">
        <x:v>是</x:v>
      </x:c>
      <x:c r="L501" s="22" t="n">
        <x:v>9.885973095289708</x:v>
      </x:c>
      <x:c r="M501" s="22" t="n">
        <x:v>8.631677143476498</x:v>
      </x:c>
      <x:c r="N501" s="22" t="n">
        <x:v>17.263354286952996</x:v>
      </x:c>
      <x:c r="O501" s="22" t="n">
        <x:v>10</x:v>
      </x:c>
      <x:c r="P501" s="24" t="n">
        <x:v>4</x:v>
      </x:c>
      <x:c r="Q501" s="22" t="str">
        <x:v>["S0120"]</x:v>
      </x:c>
      <x:c r="R501" s="22" t="str">
        <x:v>evidence/student_evidence.jsonl；student_key=2025秋:258923</x:v>
      </x:c>
      <x:c r="S501" s="27" t="str">
        <x:v>同一锚点起止1条：未形成独立重复测量。</x:v>
      </x:c>
    </x:row>
    <x:row r="502" ht="23" customHeight="1">
      <x:c r="A502" s="21" t="str">
        <x:v>严格基线调整</x:v>
      </x:c>
      <x:c r="B502" s="22" t="str">
        <x:v>突破优先型</x:v>
      </x:c>
      <x:c r="C502" s="22" t="str">
        <x:v>后20%</x:v>
      </x:c>
      <x:c r="D502" s="22" t="str">
        <x:v>严格进入</x:v>
      </x:c>
      <x:c r="E502" s="22" t="str">
        <x:v>2025秋:259059</x:v>
      </x:c>
      <x:c r="F502" s="22" t="str">
        <x:v>s3</x:v>
      </x:c>
      <x:c r="G502" s="26" t="n">
        <x:v>139.5</x:v>
      </x:c>
      <x:c r="H502" s="25" t="n">
        <x:v>45.781004525719204</x:v>
      </x:c>
      <x:c r="I502" s="24" t="n">
        <x:v>1</x:v>
      </x:c>
      <x:c r="J502" s="24" t="n">
        <x:v>1</x:v>
      </x:c>
      <x:c r="K502" s="22" t="str">
        <x:v>是</x:v>
      </x:c>
      <x:c r="L502" s="22" t="n">
        <x:v>9.885973095289708</x:v>
      </x:c>
      <x:c r="M502" s="22" t="n">
        <x:v>8.631677143476498</x:v>
      </x:c>
      <x:c r="N502" s="22" t="n">
        <x:v>17.263354286952996</x:v>
      </x:c>
      <x:c r="O502" s="22" t="n">
        <x:v>10</x:v>
      </x:c>
      <x:c r="P502" s="24" t="n">
        <x:v>4</x:v>
      </x:c>
      <x:c r="Q502" s="22" t="str">
        <x:v>["S0426"]</x:v>
      </x:c>
      <x:c r="R502" s="22" t="str">
        <x:v>evidence/student_evidence.jsonl；student_key=2025秋:259059</x:v>
      </x:c>
      <x:c r="S502" s="27" t="str"/>
    </x:row>
    <x:row r="503" ht="23" customHeight="1">
      <x:c r="A503" s="21" t="str">
        <x:v>严格基线调整</x:v>
      </x:c>
      <x:c r="B503" s="22" t="str">
        <x:v>突破优先型</x:v>
      </x:c>
      <x:c r="C503" s="22" t="str">
        <x:v>后20%</x:v>
      </x:c>
      <x:c r="D503" s="22" t="str">
        <x:v>严格进入</x:v>
      </x:c>
      <x:c r="E503" s="22" t="str">
        <x:v>2025秋:259106</x:v>
      </x:c>
      <x:c r="F503" s="22" t="str">
        <x:v>s3</x:v>
      </x:c>
      <x:c r="G503" s="26" t="n">
        <x:v>139.5</x:v>
      </x:c>
      <x:c r="H503" s="25" t="n">
        <x:v>45.781004525719204</x:v>
      </x:c>
      <x:c r="I503" s="24" t="n">
        <x:v>1</x:v>
      </x:c>
      <x:c r="J503" s="24" t="n">
        <x:v>1</x:v>
      </x:c>
      <x:c r="K503" s="22" t="str">
        <x:v>是</x:v>
      </x:c>
      <x:c r="L503" s="22" t="n">
        <x:v>9.885973095289708</x:v>
      </x:c>
      <x:c r="M503" s="22" t="n">
        <x:v>8.631677143476498</x:v>
      </x:c>
      <x:c r="N503" s="22" t="n">
        <x:v>17.263354286952996</x:v>
      </x:c>
      <x:c r="O503" s="22" t="n">
        <x:v>10</x:v>
      </x:c>
      <x:c r="P503" s="24" t="n">
        <x:v>4</x:v>
      </x:c>
      <x:c r="Q503" s="22" t="str">
        <x:v>["S0005"]</x:v>
      </x:c>
      <x:c r="R503" s="22" t="str">
        <x:v>evidence/student_evidence.jsonl；student_key=2025秋:259106</x:v>
      </x:c>
      <x:c r="S503" s="27" t="str"/>
    </x:row>
    <x:row r="504" ht="48" customHeight="1">
      <x:c r="A504" s="21" t="str">
        <x:v>严格基线调整</x:v>
      </x:c>
      <x:c r="B504" s="22" t="str">
        <x:v>突破优先型</x:v>
      </x:c>
      <x:c r="C504" s="22" t="str">
        <x:v>后20%</x:v>
      </x:c>
      <x:c r="D504" s="22" t="str">
        <x:v>严格进入</x:v>
      </x:c>
      <x:c r="E504" s="22" t="str">
        <x:v>2025秋:259346</x:v>
      </x:c>
      <x:c r="F504" s="22" t="str">
        <x:v>s3</x:v>
      </x:c>
      <x:c r="G504" s="26" t="n">
        <x:v>139.5</x:v>
      </x:c>
      <x:c r="H504" s="25" t="n">
        <x:v>45.781004525719204</x:v>
      </x:c>
      <x:c r="I504" s="24" t="n">
        <x:v>1</x:v>
      </x:c>
      <x:c r="J504" s="24" t="n">
        <x:v>1</x:v>
      </x:c>
      <x:c r="K504" s="22" t="str">
        <x:v>是</x:v>
      </x:c>
      <x:c r="L504" s="22" t="n">
        <x:v>9.885973095289708</x:v>
      </x:c>
      <x:c r="M504" s="22" t="n">
        <x:v>8.631677143476498</x:v>
      </x:c>
      <x:c r="N504" s="22" t="n">
        <x:v>17.263354286952996</x:v>
      </x:c>
      <x:c r="O504" s="22" t="n">
        <x:v>10</x:v>
      </x:c>
      <x:c r="P504" s="24" t="n">
        <x:v>4</x:v>
      </x:c>
      <x:c r="Q504" s="22" t="str">
        <x:v>["S0672"]</x:v>
      </x:c>
      <x:c r="R504" s="22" t="str">
        <x:v>evidence/student_evidence.jsonl；student_key=2025秋:259346</x:v>
      </x:c>
      <x:c r="S504" s="27" t="str">
        <x:v>同一锚点起止1条：未形成独立重复测量。</x:v>
      </x:c>
    </x:row>
    <x:row r="505" ht="23" customHeight="1">
      <x:c r="A505" s="21" t="str">
        <x:v>严格基线调整</x:v>
      </x:c>
      <x:c r="B505" s="22" t="str">
        <x:v>突破优先型</x:v>
      </x:c>
      <x:c r="C505" s="22" t="str">
        <x:v>后20%</x:v>
      </x:c>
      <x:c r="D505" s="22" t="str">
        <x:v>严格进入</x:v>
      </x:c>
      <x:c r="E505" s="22" t="str">
        <x:v>2026春:258955</x:v>
      </x:c>
      <x:c r="F505" s="22" t="str">
        <x:v>s3</x:v>
      </x:c>
      <x:c r="G505" s="26" t="n">
        <x:v>139.5</x:v>
      </x:c>
      <x:c r="H505" s="25" t="n">
        <x:v>45.781004525719204</x:v>
      </x:c>
      <x:c r="I505" s="24" t="n">
        <x:v>1</x:v>
      </x:c>
      <x:c r="J505" s="24" t="n">
        <x:v>1</x:v>
      </x:c>
      <x:c r="K505" s="22" t="str">
        <x:v>是</x:v>
      </x:c>
      <x:c r="L505" s="22" t="n">
        <x:v>9.885973095289708</x:v>
      </x:c>
      <x:c r="M505" s="22" t="n">
        <x:v>8.631677143476498</x:v>
      </x:c>
      <x:c r="N505" s="22" t="n">
        <x:v>17.263354286952996</x:v>
      </x:c>
      <x:c r="O505" s="22" t="n">
        <x:v>10</x:v>
      </x:c>
      <x:c r="P505" s="24" t="n">
        <x:v>4</x:v>
      </x:c>
      <x:c r="Q505" s="22" t="str">
        <x:v>["S0838"]</x:v>
      </x:c>
      <x:c r="R505" s="22" t="str">
        <x:v>evidence/student_evidence.jsonl；student_key=2026春:258955</x:v>
      </x:c>
      <x:c r="S505" s="27" t="str"/>
    </x:row>
    <x:row r="506" ht="23" customHeight="1">
      <x:c r="A506" s="21" t="str">
        <x:v>严格基线调整</x:v>
      </x:c>
      <x:c r="B506" s="22" t="str">
        <x:v>突破优先型</x:v>
      </x:c>
      <x:c r="C506" s="22" t="str">
        <x:v>后20%</x:v>
      </x:c>
      <x:c r="D506" s="22" t="str">
        <x:v>严格进入</x:v>
      </x:c>
      <x:c r="E506" s="22" t="str">
        <x:v>2026春:268176</x:v>
      </x:c>
      <x:c r="F506" s="22" t="str">
        <x:v>s3</x:v>
      </x:c>
      <x:c r="G506" s="26" t="n">
        <x:v>139.5</x:v>
      </x:c>
      <x:c r="H506" s="25" t="n">
        <x:v>45.781004525719204</x:v>
      </x:c>
      <x:c r="I506" s="24" t="n">
        <x:v>1</x:v>
      </x:c>
      <x:c r="J506" s="24" t="n">
        <x:v>1</x:v>
      </x:c>
      <x:c r="K506" s="22" t="str">
        <x:v>是</x:v>
      </x:c>
      <x:c r="L506" s="22" t="n">
        <x:v>9.885973095289708</x:v>
      </x:c>
      <x:c r="M506" s="22" t="n">
        <x:v>8.631677143476498</x:v>
      </x:c>
      <x:c r="N506" s="22" t="n">
        <x:v>17.263354286952996</x:v>
      </x:c>
      <x:c r="O506" s="22" t="n">
        <x:v>10</x:v>
      </x:c>
      <x:c r="P506" s="24" t="n">
        <x:v>4</x:v>
      </x:c>
      <x:c r="Q506" s="22" t="str">
        <x:v>["S1047"]</x:v>
      </x:c>
      <x:c r="R506" s="22" t="str">
        <x:v>evidence/student_evidence.jsonl；student_key=2026春:268176</x:v>
      </x:c>
      <x:c r="S506" s="27" t="str"/>
    </x:row>
    <x:row r="507" ht="23" customHeight="1">
      <x:c r="A507" s="21" t="str">
        <x:v>严格基线调整</x:v>
      </x:c>
      <x:c r="B507" s="22" t="str">
        <x:v>突破优先型</x:v>
      </x:c>
      <x:c r="C507" s="22" t="str">
        <x:v>后20%</x:v>
      </x:c>
      <x:c r="D507" s="22" t="str">
        <x:v>严格进入</x:v>
      </x:c>
      <x:c r="E507" s="22" t="str">
        <x:v>2026春:268538</x:v>
      </x:c>
      <x:c r="F507" s="22" t="str">
        <x:v>s3</x:v>
      </x:c>
      <x:c r="G507" s="26" t="n">
        <x:v>139.5</x:v>
      </x:c>
      <x:c r="H507" s="25" t="n">
        <x:v>45.781004525719204</x:v>
      </x:c>
      <x:c r="I507" s="24" t="n">
        <x:v>1</x:v>
      </x:c>
      <x:c r="J507" s="24" t="n">
        <x:v>1</x:v>
      </x:c>
      <x:c r="K507" s="22" t="str">
        <x:v>是</x:v>
      </x:c>
      <x:c r="L507" s="22" t="n">
        <x:v>9.885973095289708</x:v>
      </x:c>
      <x:c r="M507" s="22" t="n">
        <x:v>8.631677143476498</x:v>
      </x:c>
      <x:c r="N507" s="22" t="n">
        <x:v>17.263354286952996</x:v>
      </x:c>
      <x:c r="O507" s="22" t="n">
        <x:v>10</x:v>
      </x:c>
      <x:c r="P507" s="24" t="n">
        <x:v>4</x:v>
      </x:c>
      <x:c r="Q507" s="22" t="str">
        <x:v>["S1276"]</x:v>
      </x:c>
      <x:c r="R507" s="22" t="str">
        <x:v>evidence/student_evidence.jsonl；student_key=2026春:268538</x:v>
      </x:c>
      <x:c r="S507" s="27" t="str"/>
    </x:row>
    <x:row r="508" ht="48" customHeight="1">
      <x:c r="A508" s="21" t="str">
        <x:v>严格基线调整</x:v>
      </x:c>
      <x:c r="B508" s="22" t="str">
        <x:v>突破优先型</x:v>
      </x:c>
      <x:c r="C508" s="22" t="str">
        <x:v>后20%</x:v>
      </x:c>
      <x:c r="D508" s="22" t="str">
        <x:v>严格进入</x:v>
      </x:c>
      <x:c r="E508" s="22" t="str">
        <x:v>2026春:250845</x:v>
      </x:c>
      <x:c r="F508" s="22" t="str">
        <x:v>s6</x:v>
      </x:c>
      <x:c r="G508" s="26" t="n">
        <x:v>144</x:v>
      </x:c>
      <x:c r="H508" s="25" t="n">
        <x:v>45.137142857142855</x:v>
      </x:c>
      <x:c r="I508" s="24" t="n">
        <x:v>1</x:v>
      </x:c>
      <x:c r="J508" s="24" t="n">
        <x:v>1</x:v>
      </x:c>
      <x:c r="K508" s="22" t="str">
        <x:v>是</x:v>
      </x:c>
      <x:c r="L508" s="22" t="n">
        <x:v>9.868571428571428</x:v>
      </x:c>
      <x:c r="M508" s="22" t="n">
        <x:v>8.422857142857143</x:v>
      </x:c>
      <x:c r="N508" s="22" t="n">
        <x:v>16.845714285714287</x:v>
      </x:c>
      <x:c r="O508" s="22" t="n">
        <x:v>10</x:v>
      </x:c>
      <x:c r="P508" s="24" t="n">
        <x:v>4</x:v>
      </x:c>
      <x:c r="Q508" s="22" t="str">
        <x:v>["S0825"]</x:v>
      </x:c>
      <x:c r="R508" s="22" t="str">
        <x:v>evidence/student_evidence.jsonl；student_key=2026春:250845</x:v>
      </x:c>
      <x:c r="S508" s="27" t="str">
        <x:v>同一锚点起止1条：未形成独立重复测量。</x:v>
      </x:c>
    </x:row>
    <x:row r="509" ht="23" customHeight="1">
      <x:c r="A509" s="21" t="str">
        <x:v>严格基线调整</x:v>
      </x:c>
      <x:c r="B509" s="22" t="str">
        <x:v>突破优先型</x:v>
      </x:c>
      <x:c r="C509" s="22" t="str">
        <x:v>后20%</x:v>
      </x:c>
      <x:c r="D509" s="22" t="str">
        <x:v>严格进入</x:v>
      </x:c>
      <x:c r="E509" s="22" t="str">
        <x:v>2026春:268133</x:v>
      </x:c>
      <x:c r="F509" s="22" t="str">
        <x:v>s3</x:v>
      </x:c>
      <x:c r="G509" s="26" t="n">
        <x:v>145</x:v>
      </x:c>
      <x:c r="H509" s="25" t="n">
        <x:v>44.80088774963213</x:v>
      </x:c>
      <x:c r="I509" s="24" t="n">
        <x:v>1</x:v>
      </x:c>
      <x:c r="J509" s="24" t="n">
        <x:v>1</x:v>
      </x:c>
      <x:c r="K509" s="22" t="str">
        <x:v>是</x:v>
      </x:c>
      <x:c r="L509" s="22" t="n">
        <x:v>9.994618587827896</x:v>
      </x:c>
      <x:c r="M509" s="22" t="n">
        <x:v>9.935423053934747</x:v>
      </x:c>
      <x:c r="N509" s="22" t="n">
        <x:v>19.870846107869493</x:v>
      </x:c>
      <x:c r="O509" s="22" t="n">
        <x:v>5</x:v>
      </x:c>
      <x:c r="P509" s="24" t="n">
        <x:v>4</x:v>
      </x:c>
      <x:c r="Q509" s="22" t="str">
        <x:v>["S0944"]</x:v>
      </x:c>
      <x:c r="R509" s="22" t="str">
        <x:v>evidence/student_evidence.jsonl；student_key=2026春:268133</x:v>
      </x:c>
      <x:c r="S509" s="27" t="str"/>
    </x:row>
    <x:row r="510" ht="23" customHeight="1">
      <x:c r="A510" s="21" t="str">
        <x:v>严格基线调整</x:v>
      </x:c>
      <x:c r="B510" s="22" t="str">
        <x:v>突破优先型</x:v>
      </x:c>
      <x:c r="C510" s="22" t="str">
        <x:v>后20%</x:v>
      </x:c>
      <x:c r="D510" s="22" t="str">
        <x:v>严格进入</x:v>
      </x:c>
      <x:c r="E510" s="22" t="str">
        <x:v>2026春:250868</x:v>
      </x:c>
      <x:c r="F510" s="22" t="str">
        <x:v>s3</x:v>
      </x:c>
      <x:c r="G510" s="26" t="n">
        <x:v>146</x:v>
      </x:c>
      <x:c r="H510" s="25" t="n">
        <x:v>44.581594753392764</x:v>
      </x:c>
      <x:c r="I510" s="24" t="n">
        <x:v>1</x:v>
      </x:c>
      <x:c r="J510" s="24" t="n">
        <x:v>1</x:v>
      </x:c>
      <x:c r="K510" s="22" t="str">
        <x:v>是</x:v>
      </x:c>
      <x:c r="L510" s="22" t="n">
        <x:v>9.988691750091697</x:v>
      </x:c>
      <x:c r="M510" s="22" t="n">
        <x:v>9.864301001100356</x:v>
      </x:c>
      <x:c r="N510" s="22" t="n">
        <x:v>19.728602002200713</x:v>
      </x:c>
      <x:c r="O510" s="22" t="n">
        <x:v>5</x:v>
      </x:c>
      <x:c r="P510" s="24" t="n">
        <x:v>4</x:v>
      </x:c>
      <x:c r="Q510" s="22" t="str">
        <x:v>["S0828"]</x:v>
      </x:c>
      <x:c r="R510" s="22" t="str">
        <x:v>evidence/student_evidence.jsonl；student_key=2026春:250868</x:v>
      </x:c>
      <x:c r="S510" s="27" t="str"/>
    </x:row>
    <x:row r="511" ht="48" customHeight="1">
      <x:c r="A511" s="21" t="str">
        <x:v>严格基线调整</x:v>
      </x:c>
      <x:c r="B511" s="22" t="str">
        <x:v>质量导向型（教学诊断对照）</x:v>
      </x:c>
      <x:c r="C511" s="22" t="str">
        <x:v>前20%</x:v>
      </x:c>
      <x:c r="D511" s="22" t="str">
        <x:v>严格进入</x:v>
      </x:c>
      <x:c r="E511" s="22" t="str">
        <x:v>2025秋:259329</x:v>
      </x:c>
      <x:c r="F511" s="22" t="str">
        <x:v>s6</x:v>
      </x:c>
      <x:c r="G511" s="26" t="n">
        <x:v>1</x:v>
      </x:c>
      <x:c r="H511" s="25" t="n">
        <x:v>81.0147619047619</x:v>
      </x:c>
      <x:c r="I511" s="24" t="n">
        <x:v>1</x:v>
      </x:c>
      <x:c r="J511" s="24" t="n">
        <x:v>1</x:v>
      </x:c>
      <x:c r="K511" s="22" t="str">
        <x:v>是</x:v>
      </x:c>
      <x:c r="L511" s="22" t="n">
        <x:v>13.16904761904762</x:v>
      </x:c>
      <x:c r="M511" s="22" t="n">
        <x:v>24.634285714285713</x:v>
      </x:c>
      <x:c r="N511" s="22" t="n">
        <x:v>8.211428571428572</x:v>
      </x:c>
      <x:c r="O511" s="22" t="n">
        <x:v>35</x:v>
      </x:c>
      <x:c r="P511" s="24" t="n">
        <x:v>4</x:v>
      </x:c>
      <x:c r="Q511" s="22" t="str">
        <x:v>["S0112"]</x:v>
      </x:c>
      <x:c r="R511" s="22" t="str">
        <x:v>evidence/student_evidence.jsonl；student_key=2025秋:259329</x:v>
      </x:c>
      <x:c r="S511" s="27" t="str">
        <x:v>S0112库存案例为文字框架，未见完整方程、求解及验证；L6构造要求需复核。</x:v>
      </x:c>
    </x:row>
    <x:row r="512" ht="23" customHeight="1">
      <x:c r="A512" s="21" t="str">
        <x:v>严格基线调整</x:v>
      </x:c>
      <x:c r="B512" s="22" t="str">
        <x:v>质量导向型（教学诊断对照）</x:v>
      </x:c>
      <x:c r="C512" s="22" t="str">
        <x:v>前20%</x:v>
      </x:c>
      <x:c r="D512" s="22" t="str">
        <x:v>严格进入</x:v>
      </x:c>
      <x:c r="E512" s="22" t="str">
        <x:v>2025秋:258902</x:v>
      </x:c>
      <x:c r="F512" s="22" t="str">
        <x:v>s3</x:v>
      </x:c>
      <x:c r="G512" s="26" t="n">
        <x:v>2.5</x:v>
      </x:c>
      <x:c r="H512" s="25" t="n">
        <x:v>75.19863269034232</x:v>
      </x:c>
      <x:c r="I512" s="24" t="n">
        <x:v>1</x:v>
      </x:c>
      <x:c r="J512" s="24" t="n">
        <x:v>1</x:v>
      </x:c>
      <x:c r="K512" s="22" t="str">
        <x:v>是</x:v>
      </x:c>
      <x:c r="L512" s="22" t="n">
        <x:v>12.881120430214969</x:v>
      </x:c>
      <x:c r="M512" s="22" t="n">
        <x:v>20.48813419509552</x:v>
      </x:c>
      <x:c r="N512" s="22" t="n">
        <x:v>6.82937806503184</x:v>
      </x:c>
      <x:c r="O512" s="22" t="n">
        <x:v>35</x:v>
      </x:c>
      <x:c r="P512" s="24" t="n">
        <x:v>4</x:v>
      </x:c>
      <x:c r="Q512" s="22" t="str">
        <x:v>["S0149"]</x:v>
      </x:c>
      <x:c r="R512" s="22" t="str">
        <x:v>evidence/student_evidence.jsonl；student_key=2025秋:258902</x:v>
      </x:c>
      <x:c r="S512" s="27" t="str"/>
    </x:row>
    <x:row r="513" ht="23" customHeight="1">
      <x:c r="A513" s="21" t="str">
        <x:v>严格基线调整</x:v>
      </x:c>
      <x:c r="B513" s="22" t="str">
        <x:v>质量导向型（教学诊断对照）</x:v>
      </x:c>
      <x:c r="C513" s="22" t="str">
        <x:v>前20%</x:v>
      </x:c>
      <x:c r="D513" s="22" t="str">
        <x:v>严格进入</x:v>
      </x:c>
      <x:c r="E513" s="22" t="str">
        <x:v>2025秋:259407</x:v>
      </x:c>
      <x:c r="F513" s="22" t="str">
        <x:v>s3</x:v>
      </x:c>
      <x:c r="G513" s="26" t="n">
        <x:v>2.5</x:v>
      </x:c>
      <x:c r="H513" s="25" t="n">
        <x:v>75.19863269034232</x:v>
      </x:c>
      <x:c r="I513" s="24" t="n">
        <x:v>1</x:v>
      </x:c>
      <x:c r="J513" s="24" t="n">
        <x:v>1</x:v>
      </x:c>
      <x:c r="K513" s="22" t="str">
        <x:v>是</x:v>
      </x:c>
      <x:c r="L513" s="22" t="n">
        <x:v>12.881120430214969</x:v>
      </x:c>
      <x:c r="M513" s="22" t="n">
        <x:v>20.48813419509552</x:v>
      </x:c>
      <x:c r="N513" s="22" t="n">
        <x:v>6.82937806503184</x:v>
      </x:c>
      <x:c r="O513" s="22" t="n">
        <x:v>35</x:v>
      </x:c>
      <x:c r="P513" s="24" t="n">
        <x:v>4</x:v>
      </x:c>
      <x:c r="Q513" s="22" t="str">
        <x:v>["S0036"]</x:v>
      </x:c>
      <x:c r="R513" s="22" t="str">
        <x:v>evidence/student_evidence.jsonl；student_key=2025秋:259407</x:v>
      </x:c>
      <x:c r="S513" s="27" t="str"/>
    </x:row>
    <x:row r="514" ht="23" customHeight="1">
      <x:c r="A514" s="21" t="str">
        <x:v>严格基线调整</x:v>
      </x:c>
      <x:c r="B514" s="22" t="str">
        <x:v>质量导向型（教学诊断对照）</x:v>
      </x:c>
      <x:c r="C514" s="22" t="str">
        <x:v>前20%</x:v>
      </x:c>
      <x:c r="D514" s="22" t="str">
        <x:v>严格进入</x:v>
      </x:c>
      <x:c r="E514" s="22" t="str">
        <x:v>2025秋:259021</x:v>
      </x:c>
      <x:c r="F514" s="22" t="str">
        <x:v>s3</x:v>
      </x:c>
      <x:c r="G514" s="26" t="n">
        <x:v>4.5</x:v>
      </x:c>
      <x:c r="H514" s="25" t="n">
        <x:v>75.0605471830877</x:v>
      </x:c>
      <x:c r="I514" s="24" t="n">
        <x:v>1</x:v>
      </x:c>
      <x:c r="J514" s="24" t="n">
        <x:v>1</x:v>
      </x:c>
      <x:c r="K514" s="22" t="str">
        <x:v>是</x:v>
      </x:c>
      <x:c r="L514" s="22" t="n">
        <x:v>12.874284514014242</x:v>
      </x:c>
      <x:c r="M514" s="22" t="n">
        <x:v>20.389697001805104</x:v>
      </x:c>
      <x:c r="N514" s="22" t="n">
        <x:v>6.796565667268368</x:v>
      </x:c>
      <x:c r="O514" s="22" t="n">
        <x:v>35</x:v>
      </x:c>
      <x:c r="P514" s="24" t="n">
        <x:v>4</x:v>
      </x:c>
      <x:c r="Q514" s="22" t="str">
        <x:v>["S0464"]</x:v>
      </x:c>
      <x:c r="R514" s="22" t="str">
        <x:v>evidence/student_evidence.jsonl；student_key=2025秋:259021</x:v>
      </x:c>
      <x:c r="S514" s="27" t="str"/>
    </x:row>
    <x:row r="515" ht="23" customHeight="1">
      <x:c r="A515" s="21" t="str">
        <x:v>严格基线调整</x:v>
      </x:c>
      <x:c r="B515" s="22" t="str">
        <x:v>质量导向型（教学诊断对照）</x:v>
      </x:c>
      <x:c r="C515" s="22" t="str">
        <x:v>前20%</x:v>
      </x:c>
      <x:c r="D515" s="22" t="str">
        <x:v>严格进入</x:v>
      </x:c>
      <x:c r="E515" s="22" t="str">
        <x:v>2025秋:25A081</x:v>
      </x:c>
      <x:c r="F515" s="22" t="str">
        <x:v>s3</x:v>
      </x:c>
      <x:c r="G515" s="26" t="n">
        <x:v>4.5</x:v>
      </x:c>
      <x:c r="H515" s="25" t="n">
        <x:v>75.0605471830877</x:v>
      </x:c>
      <x:c r="I515" s="24" t="n">
        <x:v>1</x:v>
      </x:c>
      <x:c r="J515" s="24" t="n">
        <x:v>1</x:v>
      </x:c>
      <x:c r="K515" s="22" t="str">
        <x:v>是</x:v>
      </x:c>
      <x:c r="L515" s="22" t="n">
        <x:v>12.874284514014242</x:v>
      </x:c>
      <x:c r="M515" s="22" t="n">
        <x:v>20.389697001805104</x:v>
      </x:c>
      <x:c r="N515" s="22" t="n">
        <x:v>6.796565667268368</x:v>
      </x:c>
      <x:c r="O515" s="22" t="n">
        <x:v>35</x:v>
      </x:c>
      <x:c r="P515" s="24" t="n">
        <x:v>4</x:v>
      </x:c>
      <x:c r="Q515" s="22" t="str">
        <x:v>["S0411"]</x:v>
      </x:c>
      <x:c r="R515" s="22" t="str">
        <x:v>evidence/student_evidence.jsonl；student_key=2025秋:25A081</x:v>
      </x:c>
      <x:c r="S515" s="27" t="str"/>
    </x:row>
    <x:row r="516" ht="23" customHeight="1">
      <x:c r="A516" s="21" t="str">
        <x:v>严格基线调整</x:v>
      </x:c>
      <x:c r="B516" s="22" t="str">
        <x:v>质量导向型（教学诊断对照）</x:v>
      </x:c>
      <x:c r="C516" s="22" t="str">
        <x:v>前20%</x:v>
      </x:c>
      <x:c r="D516" s="22" t="str">
        <x:v>严格进入</x:v>
      </x:c>
      <x:c r="E516" s="22" t="str">
        <x:v>2025秋:259961</x:v>
      </x:c>
      <x:c r="F516" s="22" t="str">
        <x:v>s3</x:v>
      </x:c>
      <x:c r="G516" s="26" t="n">
        <x:v>6</x:v>
      </x:c>
      <x:c r="H516" s="25" t="n">
        <x:v>74.9966819273971</x:v>
      </x:c>
      <x:c r="I516" s="24" t="n">
        <x:v>1</x:v>
      </x:c>
      <x:c r="J516" s="24" t="n">
        <x:v>1</x:v>
      </x:c>
      <x:c r="K516" s="22" t="str">
        <x:v>是</x:v>
      </x:c>
      <x:c r="L516" s="22" t="n">
        <x:v>12.871122867692925</x:v>
      </x:c>
      <x:c r="M516" s="22" t="n">
        <x:v>20.344169294778126</x:v>
      </x:c>
      <x:c r="N516" s="22" t="n">
        <x:v>6.781389764926043</x:v>
      </x:c>
      <x:c r="O516" s="22" t="n">
        <x:v>35</x:v>
      </x:c>
      <x:c r="P516" s="24" t="n">
        <x:v>4</x:v>
      </x:c>
      <x:c r="Q516" s="22" t="str">
        <x:v>["S0296"]</x:v>
      </x:c>
      <x:c r="R516" s="22" t="str">
        <x:v>evidence/student_evidence.jsonl；student_key=2025秋:259961</x:v>
      </x:c>
      <x:c r="S516" s="27" t="str"/>
    </x:row>
    <x:row r="517" ht="23" customHeight="1">
      <x:c r="A517" s="21" t="str">
        <x:v>严格基线调整</x:v>
      </x:c>
      <x:c r="B517" s="22" t="str">
        <x:v>质量导向型（教学诊断对照）</x:v>
      </x:c>
      <x:c r="C517" s="22" t="str">
        <x:v>前20%</x:v>
      </x:c>
      <x:c r="D517" s="22" t="str">
        <x:v>严格进入</x:v>
      </x:c>
      <x:c r="E517" s="22" t="str">
        <x:v>2025秋:25A134</x:v>
      </x:c>
      <x:c r="F517" s="22" t="str">
        <x:v>s3</x:v>
      </x:c>
      <x:c r="G517" s="26" t="n">
        <x:v>7</x:v>
      </x:c>
      <x:c r="H517" s="25" t="n">
        <x:v>74.88292084733284</x:v>
      </x:c>
      <x:c r="I517" s="24" t="n">
        <x:v>1</x:v>
      </x:c>
      <x:c r="J517" s="24" t="n">
        <x:v>1</x:v>
      </x:c>
      <x:c r="K517" s="22" t="str">
        <x:v>是</x:v>
      </x:c>
      <x:c r="L517" s="22" t="n">
        <x:v>12.86549113105608</x:v>
      </x:c>
      <x:c r="M517" s="22" t="n">
        <x:v>20.263072287207564</x:v>
      </x:c>
      <x:c r="N517" s="22" t="n">
        <x:v>6.754357429069188</x:v>
      </x:c>
      <x:c r="O517" s="22" t="n">
        <x:v>35</x:v>
      </x:c>
      <x:c r="P517" s="24" t="n">
        <x:v>4</x:v>
      </x:c>
      <x:c r="Q517" s="22" t="str">
        <x:v>["S0311"]</x:v>
      </x:c>
      <x:c r="R517" s="22" t="str">
        <x:v>evidence/student_evidence.jsonl；student_key=2025秋:25A134</x:v>
      </x:c>
      <x:c r="S517" s="27" t="str"/>
    </x:row>
    <x:row r="518" ht="23" customHeight="1">
      <x:c r="A518" s="21" t="str">
        <x:v>严格基线调整</x:v>
      </x:c>
      <x:c r="B518" s="22" t="str">
        <x:v>质量导向型（教学诊断对照）</x:v>
      </x:c>
      <x:c r="C518" s="22" t="str">
        <x:v>前20%</x:v>
      </x:c>
      <x:c r="D518" s="22" t="str">
        <x:v>严格进入</x:v>
      </x:c>
      <x:c r="E518" s="22" t="str">
        <x:v>2025秋:258878</x:v>
      </x:c>
      <x:c r="F518" s="22" t="str">
        <x:v>s3</x:v>
      </x:c>
      <x:c r="G518" s="26" t="n">
        <x:v>8.5</x:v>
      </x:c>
      <x:c r="H518" s="25" t="n">
        <x:v>74.8686456002475</x:v>
      </x:c>
      <x:c r="I518" s="24" t="n">
        <x:v>1</x:v>
      </x:c>
      <x:c r="J518" s="24" t="n">
        <x:v>1</x:v>
      </x:c>
      <x:c r="K518" s="22" t="str">
        <x:v>是</x:v>
      </x:c>
      <x:c r="L518" s="22" t="n">
        <x:v>12.864784435655816</x:v>
      </x:c>
      <x:c r="M518" s="22" t="n">
        <x:v>20.25289587344377</x:v>
      </x:c>
      <x:c r="N518" s="22" t="n">
        <x:v>6.750965291147924</x:v>
      </x:c>
      <x:c r="O518" s="22" t="n">
        <x:v>35</x:v>
      </x:c>
      <x:c r="P518" s="24" t="n">
        <x:v>4</x:v>
      </x:c>
      <x:c r="Q518" s="22" t="str">
        <x:v>["S0364"]</x:v>
      </x:c>
      <x:c r="R518" s="22" t="str">
        <x:v>evidence/student_evidence.jsonl；student_key=2025秋:258878</x:v>
      </x:c>
      <x:c r="S518" s="27" t="str"/>
    </x:row>
    <x:row r="519" ht="23" customHeight="1">
      <x:c r="A519" s="21" t="str">
        <x:v>严格基线调整</x:v>
      </x:c>
      <x:c r="B519" s="22" t="str">
        <x:v>质量导向型（教学诊断对照）</x:v>
      </x:c>
      <x:c r="C519" s="22" t="str">
        <x:v>前20%</x:v>
      </x:c>
      <x:c r="D519" s="22" t="str">
        <x:v>严格进入</x:v>
      </x:c>
      <x:c r="E519" s="22" t="str">
        <x:v>2025秋:258888</x:v>
      </x:c>
      <x:c r="F519" s="22" t="str">
        <x:v>s3</x:v>
      </x:c>
      <x:c r="G519" s="26" t="n">
        <x:v>8.5</x:v>
      </x:c>
      <x:c r="H519" s="25" t="n">
        <x:v>74.8686456002475</x:v>
      </x:c>
      <x:c r="I519" s="24" t="n">
        <x:v>2</x:v>
      </x:c>
      <x:c r="J519" s="24" t="n">
        <x:v>1</x:v>
      </x:c>
      <x:c r="K519" s="22" t="str">
        <x:v>是</x:v>
      </x:c>
      <x:c r="L519" s="22" t="n">
        <x:v>12.864784435655816</x:v>
      </x:c>
      <x:c r="M519" s="22" t="n">
        <x:v>20.25289587344377</x:v>
      </x:c>
      <x:c r="N519" s="22" t="n">
        <x:v>6.750965291147924</x:v>
      </x:c>
      <x:c r="O519" s="22" t="n">
        <x:v>35</x:v>
      </x:c>
      <x:c r="P519" s="24" t="n">
        <x:v>4</x:v>
      </x:c>
      <x:c r="Q519" s="22" t="str">
        <x:v>["S0190","S0365"]</x:v>
      </x:c>
      <x:c r="R519" s="22" t="str">
        <x:v>evidence/student_evidence.jsonl；student_key=2025秋:258888</x:v>
      </x:c>
      <x:c r="S519" s="27" t="str"/>
    </x:row>
    <x:row r="520" ht="23" customHeight="1">
      <x:c r="A520" s="21" t="str">
        <x:v>严格基线调整</x:v>
      </x:c>
      <x:c r="B520" s="22" t="str">
        <x:v>质量导向型（教学诊断对照）</x:v>
      </x:c>
      <x:c r="C520" s="22" t="str">
        <x:v>前20%</x:v>
      </x:c>
      <x:c r="D520" s="22" t="str">
        <x:v>严格进入</x:v>
      </x:c>
      <x:c r="E520" s="22" t="str">
        <x:v>2025秋:258988</x:v>
      </x:c>
      <x:c r="F520" s="22" t="str">
        <x:v>s3</x:v>
      </x:c>
      <x:c r="G520" s="26" t="n">
        <x:v>10</x:v>
      </x:c>
      <x:c r="H520" s="25" t="n">
        <x:v>74.78818430217412</x:v>
      </x:c>
      <x:c r="I520" s="24" t="n">
        <x:v>1</x:v>
      </x:c>
      <x:c r="J520" s="24" t="n">
        <x:v>1</x:v>
      </x:c>
      <x:c r="K520" s="22" t="str">
        <x:v>是</x:v>
      </x:c>
      <x:c r="L520" s="22" t="n">
        <x:v>12.860801203077928</x:v>
      </x:c>
      <x:c r="M520" s="22" t="n">
        <x:v>20.19553732432215</x:v>
      </x:c>
      <x:c r="N520" s="22" t="n">
        <x:v>6.73184577477405</x:v>
      </x:c>
      <x:c r="O520" s="22" t="n">
        <x:v>35</x:v>
      </x:c>
      <x:c r="P520" s="24" t="n">
        <x:v>4</x:v>
      </x:c>
      <x:c r="Q520" s="22" t="str">
        <x:v>["S0315"]</x:v>
      </x:c>
      <x:c r="R520" s="22" t="str">
        <x:v>evidence/student_evidence.jsonl；student_key=2025秋:258988</x:v>
      </x:c>
      <x:c r="S520" s="27" t="str"/>
    </x:row>
    <x:row r="521" ht="23" customHeight="1">
      <x:c r="A521" s="21" t="str">
        <x:v>严格基线调整</x:v>
      </x:c>
      <x:c r="B521" s="22" t="str">
        <x:v>质量导向型（教学诊断对照）</x:v>
      </x:c>
      <x:c r="C521" s="22" t="str">
        <x:v>前20%</x:v>
      </x:c>
      <x:c r="D521" s="22" t="str">
        <x:v>严格进入</x:v>
      </x:c>
      <x:c r="E521" s="22" t="str">
        <x:v>2025秋:259044</x:v>
      </x:c>
      <x:c r="F521" s="22" t="str">
        <x:v>s3</x:v>
      </x:c>
      <x:c r="G521" s="26" t="n">
        <x:v>11</x:v>
      </x:c>
      <x:c r="H521" s="25" t="n">
        <x:v>74.75204237565096</x:v>
      </x:c>
      <x:c r="I521" s="24" t="n">
        <x:v>1</x:v>
      </x:c>
      <x:c r="J521" s="24" t="n">
        <x:v>1</x:v>
      </x:c>
      <x:c r="K521" s="22" t="str">
        <x:v>是</x:v>
      </x:c>
      <x:c r="L521" s="22" t="n">
        <x:v>12.859011998794603</x:v>
      </x:c>
      <x:c r="M521" s="22" t="n">
        <x:v>20.16977278264227</x:v>
      </x:c>
      <x:c r="N521" s="22" t="n">
        <x:v>6.72325759421409</x:v>
      </x:c>
      <x:c r="O521" s="22" t="n">
        <x:v>35</x:v>
      </x:c>
      <x:c r="P521" s="24" t="n">
        <x:v>4</x:v>
      </x:c>
      <x:c r="Q521" s="22" t="str">
        <x:v>["S0074"]</x:v>
      </x:c>
      <x:c r="R521" s="22" t="str">
        <x:v>evidence/student_evidence.jsonl；student_key=2025秋:259044</x:v>
      </x:c>
      <x:c r="S521" s="27" t="str"/>
    </x:row>
    <x:row r="522" ht="23" customHeight="1">
      <x:c r="A522" s="21" t="str">
        <x:v>严格基线调整</x:v>
      </x:c>
      <x:c r="B522" s="22" t="str">
        <x:v>质量导向型（教学诊断对照）</x:v>
      </x:c>
      <x:c r="C522" s="22" t="str">
        <x:v>前20%</x:v>
      </x:c>
      <x:c r="D522" s="22" t="str">
        <x:v>严格进入</x:v>
      </x:c>
      <x:c r="E522" s="22" t="str">
        <x:v>2025秋:258430</x:v>
      </x:c>
      <x:c r="F522" s="22" t="str">
        <x:v>s3</x:v>
      </x:c>
      <x:c r="G522" s="26" t="n">
        <x:v>12</x:v>
      </x:c>
      <x:c r="H522" s="25" t="n">
        <x:v>74.57199999707875</x:v>
      </x:c>
      <x:c r="I522" s="24" t="n">
        <x:v>1</x:v>
      </x:c>
      <x:c r="J522" s="24" t="n">
        <x:v>1</x:v>
      </x:c>
      <x:c r="K522" s="22" t="str">
        <x:v>是</x:v>
      </x:c>
      <x:c r="L522" s="22" t="n">
        <x:v>12.782879999883152</x:v>
      </x:c>
      <x:c r="M522" s="22" t="n">
        <x:v>20.091839997896706</x:v>
      </x:c>
      <x:c r="N522" s="22" t="n">
        <x:v>6.697279999298903</x:v>
      </x:c>
      <x:c r="O522" s="22" t="n">
        <x:v>35</x:v>
      </x:c>
      <x:c r="P522" s="24" t="n">
        <x:v>4</x:v>
      </x:c>
      <x:c r="Q522" s="22" t="str">
        <x:v>["S0052"]</x:v>
      </x:c>
      <x:c r="R522" s="22" t="str">
        <x:v>evidence/student_evidence.jsonl；student_key=2025秋:258430</x:v>
      </x:c>
      <x:c r="S522" s="27" t="str"/>
    </x:row>
    <x:row r="523" ht="23" customHeight="1">
      <x:c r="A523" s="21" t="str">
        <x:v>严格基线调整</x:v>
      </x:c>
      <x:c r="B523" s="22" t="str">
        <x:v>质量导向型（教学诊断对照）</x:v>
      </x:c>
      <x:c r="C523" s="22" t="str">
        <x:v>前20%</x:v>
      </x:c>
      <x:c r="D523" s="22" t="str">
        <x:v>严格进入</x:v>
      </x:c>
      <x:c r="E523" s="22" t="str">
        <x:v>2025秋:258858</x:v>
      </x:c>
      <x:c r="F523" s="22" t="str">
        <x:v>s3</x:v>
      </x:c>
      <x:c r="G523" s="26" t="n">
        <x:v>13</x:v>
      </x:c>
      <x:c r="H523" s="25" t="n">
        <x:v>73.56779512842624</x:v>
      </x:c>
      <x:c r="I523" s="24" t="n">
        <x:v>2</x:v>
      </x:c>
      <x:c r="J523" s="24" t="n">
        <x:v>2</x:v>
      </x:c>
      <x:c r="K523" s="22" t="str">
        <x:v>是</x:v>
      </x:c>
      <x:c r="L523" s="22" t="n">
        <x:v>13.005760399713337</x:v>
      </x:c>
      <x:c r="M523" s="22" t="n">
        <x:v>19.0460831977067</x:v>
      </x:c>
      <x:c r="N523" s="22" t="n">
        <x:v>6.515951531006206</x:v>
      </x:c>
      <x:c r="O523" s="22" t="n">
        <x:v>35</x:v>
      </x:c>
      <x:c r="P523" s="24" t="n">
        <x:v>4</x:v>
      </x:c>
      <x:c r="Q523" s="22" t="str">
        <x:v>["S0103","S0232"]</x:v>
      </x:c>
      <x:c r="R523" s="22" t="str">
        <x:v>evidence/student_evidence.jsonl；student_key=2025秋:258858</x:v>
      </x:c>
      <x:c r="S523" s="27" t="str"/>
    </x:row>
    <x:row r="524" ht="23" customHeight="1">
      <x:c r="A524" s="21" t="str">
        <x:v>严格基线调整</x:v>
      </x:c>
      <x:c r="B524" s="22" t="str">
        <x:v>质量导向型（教学诊断对照）</x:v>
      </x:c>
      <x:c r="C524" s="22" t="str">
        <x:v>前20%</x:v>
      </x:c>
      <x:c r="D524" s="22" t="str">
        <x:v>严格进入</x:v>
      </x:c>
      <x:c r="E524" s="22" t="str">
        <x:v>2025秋:259112</x:v>
      </x:c>
      <x:c r="F524" s="22" t="str">
        <x:v>s3</x:v>
      </x:c>
      <x:c r="G524" s="26" t="n">
        <x:v>14.5</x:v>
      </x:c>
      <x:c r="H524" s="25" t="n">
        <x:v>72.65630440457313</x:v>
      </x:c>
      <x:c r="I524" s="24" t="n">
        <x:v>1</x:v>
      </x:c>
      <x:c r="J524" s="24" t="n">
        <x:v>1</x:v>
      </x:c>
      <x:c r="K524" s="22" t="str">
        <x:v>是</x:v>
      </x:c>
      <x:c r="L524" s="22" t="n">
        <x:v>12.7552625942858</x:v>
      </x:c>
      <x:c r="M524" s="22" t="n">
        <x:v>18.675781357715508</x:v>
      </x:c>
      <x:c r="N524" s="22" t="n">
        <x:v>6.2252604525718365</x:v>
      </x:c>
      <x:c r="O524" s="22" t="n">
        <x:v>35</x:v>
      </x:c>
      <x:c r="P524" s="24" t="n">
        <x:v>4</x:v>
      </x:c>
      <x:c r="Q524" s="22" t="str">
        <x:v>["S0204"]</x:v>
      </x:c>
      <x:c r="R524" s="22" t="str">
        <x:v>evidence/student_evidence.jsonl；student_key=2025秋:259112</x:v>
      </x:c>
      <x:c r="S524" s="27" t="str"/>
    </x:row>
    <x:row r="525" ht="23" customHeight="1">
      <x:c r="A525" s="21" t="str">
        <x:v>严格基线调整</x:v>
      </x:c>
      <x:c r="B525" s="22" t="str">
        <x:v>质量导向型（教学诊断对照）</x:v>
      </x:c>
      <x:c r="C525" s="22" t="str">
        <x:v>前20%</x:v>
      </x:c>
      <x:c r="D525" s="22" t="str">
        <x:v>严格进入</x:v>
      </x:c>
      <x:c r="E525" s="22" t="str">
        <x:v>2026春:268183</x:v>
      </x:c>
      <x:c r="F525" s="22" t="str">
        <x:v>s3</x:v>
      </x:c>
      <x:c r="G525" s="26" t="n">
        <x:v>14.5</x:v>
      </x:c>
      <x:c r="H525" s="25" t="n">
        <x:v>72.65630440457313</x:v>
      </x:c>
      <x:c r="I525" s="24" t="n">
        <x:v>1</x:v>
      </x:c>
      <x:c r="J525" s="24" t="n">
        <x:v>1</x:v>
      </x:c>
      <x:c r="K525" s="22" t="str">
        <x:v>是</x:v>
      </x:c>
      <x:c r="L525" s="22" t="n">
        <x:v>12.7552625942858</x:v>
      </x:c>
      <x:c r="M525" s="22" t="n">
        <x:v>18.675781357715508</x:v>
      </x:c>
      <x:c r="N525" s="22" t="n">
        <x:v>6.2252604525718365</x:v>
      </x:c>
      <x:c r="O525" s="22" t="n">
        <x:v>35</x:v>
      </x:c>
      <x:c r="P525" s="24" t="n">
        <x:v>4</x:v>
      </x:c>
      <x:c r="Q525" s="22" t="str">
        <x:v>["S1051"]</x:v>
      </x:c>
      <x:c r="R525" s="22" t="str">
        <x:v>evidence/student_evidence.jsonl；student_key=2026春:268183</x:v>
      </x:c>
      <x:c r="S525" s="27" t="str"/>
    </x:row>
    <x:row r="526" ht="23" customHeight="1">
      <x:c r="A526" s="21" t="str">
        <x:v>严格基线调整</x:v>
      </x:c>
      <x:c r="B526" s="22" t="str">
        <x:v>质量导向型（教学诊断对照）</x:v>
      </x:c>
      <x:c r="C526" s="22" t="str">
        <x:v>前20%</x:v>
      </x:c>
      <x:c r="D526" s="22" t="str">
        <x:v>严格进入</x:v>
      </x:c>
      <x:c r="E526" s="22" t="str">
        <x:v>2025秋:258428</x:v>
      </x:c>
      <x:c r="F526" s="22" t="str">
        <x:v>s3</x:v>
      </x:c>
      <x:c r="G526" s="26" t="n">
        <x:v>17.5</x:v>
      </x:c>
      <x:c r="H526" s="25" t="n">
        <x:v>72.63770438017329</x:v>
      </x:c>
      <x:c r="I526" s="24" t="n">
        <x:v>1</x:v>
      </x:c>
      <x:c r="J526" s="24" t="n">
        <x:v>1</x:v>
      </x:c>
      <x:c r="K526" s="22" t="str">
        <x:v>是</x:v>
      </x:c>
      <x:c r="L526" s="22" t="n">
        <x:v>12.754341800998677</x:v>
      </x:c>
      <x:c r="M526" s="22" t="n">
        <x:v>18.66252193438096</x:v>
      </x:c>
      <x:c r="N526" s="22" t="n">
        <x:v>6.220840644793653</x:v>
      </x:c>
      <x:c r="O526" s="22" t="n">
        <x:v>35</x:v>
      </x:c>
      <x:c r="P526" s="24" t="n">
        <x:v>4</x:v>
      </x:c>
      <x:c r="Q526" s="22" t="str">
        <x:v>["S0096"]</x:v>
      </x:c>
      <x:c r="R526" s="22" t="str">
        <x:v>evidence/student_evidence.jsonl；student_key=2025秋:258428</x:v>
      </x:c>
      <x:c r="S526" s="27" t="str"/>
    </x:row>
    <x:row r="527" ht="23" customHeight="1">
      <x:c r="A527" s="21" t="str">
        <x:v>严格基线调整</x:v>
      </x:c>
      <x:c r="B527" s="22" t="str">
        <x:v>质量导向型（教学诊断对照）</x:v>
      </x:c>
      <x:c r="C527" s="22" t="str">
        <x:v>前20%</x:v>
      </x:c>
      <x:c r="D527" s="22" t="str">
        <x:v>严格进入</x:v>
      </x:c>
      <x:c r="E527" s="22" t="str">
        <x:v>2025秋:258922</x:v>
      </x:c>
      <x:c r="F527" s="22" t="str">
        <x:v>s3</x:v>
      </x:c>
      <x:c r="G527" s="26" t="n">
        <x:v>17.5</x:v>
      </x:c>
      <x:c r="H527" s="25" t="n">
        <x:v>72.63770438017329</x:v>
      </x:c>
      <x:c r="I527" s="24" t="n">
        <x:v>1</x:v>
      </x:c>
      <x:c r="J527" s="24" t="n">
        <x:v>1</x:v>
      </x:c>
      <x:c r="K527" s="22" t="str">
        <x:v>是</x:v>
      </x:c>
      <x:c r="L527" s="22" t="n">
        <x:v>12.754341800998677</x:v>
      </x:c>
      <x:c r="M527" s="22" t="n">
        <x:v>18.66252193438096</x:v>
      </x:c>
      <x:c r="N527" s="22" t="n">
        <x:v>6.220840644793653</x:v>
      </x:c>
      <x:c r="O527" s="22" t="n">
        <x:v>35</x:v>
      </x:c>
      <x:c r="P527" s="24" t="n">
        <x:v>4</x:v>
      </x:c>
      <x:c r="Q527" s="22" t="str">
        <x:v>["S0351"]</x:v>
      </x:c>
      <x:c r="R527" s="22" t="str">
        <x:v>evidence/student_evidence.jsonl；student_key=2025秋:258922</x:v>
      </x:c>
      <x:c r="S527" s="27" t="str"/>
    </x:row>
    <x:row r="528" ht="23" customHeight="1">
      <x:c r="A528" s="21" t="str">
        <x:v>严格基线调整</x:v>
      </x:c>
      <x:c r="B528" s="22" t="str">
        <x:v>质量导向型（教学诊断对照）</x:v>
      </x:c>
      <x:c r="C528" s="22" t="str">
        <x:v>前20%</x:v>
      </x:c>
      <x:c r="D528" s="22" t="str">
        <x:v>严格进入</x:v>
      </x:c>
      <x:c r="E528" s="22" t="str">
        <x:v>2025秋:259895</x:v>
      </x:c>
      <x:c r="F528" s="22" t="str">
        <x:v>s3</x:v>
      </x:c>
      <x:c r="G528" s="26" t="n">
        <x:v>17.5</x:v>
      </x:c>
      <x:c r="H528" s="25" t="n">
        <x:v>72.63770438017329</x:v>
      </x:c>
      <x:c r="I528" s="24" t="n">
        <x:v>1</x:v>
      </x:c>
      <x:c r="J528" s="24" t="n">
        <x:v>1</x:v>
      </x:c>
      <x:c r="K528" s="22" t="str">
        <x:v>是</x:v>
      </x:c>
      <x:c r="L528" s="22" t="n">
        <x:v>12.754341800998677</x:v>
      </x:c>
      <x:c r="M528" s="22" t="n">
        <x:v>18.66252193438096</x:v>
      </x:c>
      <x:c r="N528" s="22" t="n">
        <x:v>6.220840644793653</x:v>
      </x:c>
      <x:c r="O528" s="22" t="n">
        <x:v>35</x:v>
      </x:c>
      <x:c r="P528" s="24" t="n">
        <x:v>4</x:v>
      </x:c>
      <x:c r="Q528" s="22" t="str">
        <x:v>["S0407"]</x:v>
      </x:c>
      <x:c r="R528" s="22" t="str">
        <x:v>evidence/student_evidence.jsonl；student_key=2025秋:259895</x:v>
      </x:c>
      <x:c r="S528" s="27" t="str"/>
    </x:row>
    <x:row r="529" ht="23" customHeight="1">
      <x:c r="A529" s="21" t="str">
        <x:v>严格基线调整</x:v>
      </x:c>
      <x:c r="B529" s="22" t="str">
        <x:v>质量导向型（教学诊断对照）</x:v>
      </x:c>
      <x:c r="C529" s="22" t="str">
        <x:v>前20%</x:v>
      </x:c>
      <x:c r="D529" s="22" t="str">
        <x:v>严格进入</x:v>
      </x:c>
      <x:c r="E529" s="22" t="str">
        <x:v>2026春:259443</x:v>
      </x:c>
      <x:c r="F529" s="22" t="str">
        <x:v>s3</x:v>
      </x:c>
      <x:c r="G529" s="26" t="n">
        <x:v>17.5</x:v>
      </x:c>
      <x:c r="H529" s="25" t="n">
        <x:v>72.63770438017329</x:v>
      </x:c>
      <x:c r="I529" s="24" t="n">
        <x:v>1</x:v>
      </x:c>
      <x:c r="J529" s="24" t="n">
        <x:v>1</x:v>
      </x:c>
      <x:c r="K529" s="22" t="str">
        <x:v>是</x:v>
      </x:c>
      <x:c r="L529" s="22" t="n">
        <x:v>12.754341800998677</x:v>
      </x:c>
      <x:c r="M529" s="22" t="n">
        <x:v>18.66252193438096</x:v>
      </x:c>
      <x:c r="N529" s="22" t="n">
        <x:v>6.220840644793653</x:v>
      </x:c>
      <x:c r="O529" s="22" t="n">
        <x:v>35</x:v>
      </x:c>
      <x:c r="P529" s="24" t="n">
        <x:v>4</x:v>
      </x:c>
      <x:c r="Q529" s="22" t="str">
        <x:v>["S0850"]</x:v>
      </x:c>
      <x:c r="R529" s="22" t="str">
        <x:v>evidence/student_evidence.jsonl；student_key=2026春:259443</x:v>
      </x:c>
      <x:c r="S529" s="27" t="str"/>
    </x:row>
    <x:row r="530" ht="23" customHeight="1">
      <x:c r="A530" s="21" t="str">
        <x:v>严格基线调整</x:v>
      </x:c>
      <x:c r="B530" s="22" t="str">
        <x:v>质量导向型（教学诊断对照）</x:v>
      </x:c>
      <x:c r="C530" s="22" t="str">
        <x:v>前20%</x:v>
      </x:c>
      <x:c r="D530" s="22" t="str">
        <x:v>严格进入</x:v>
      </x:c>
      <x:c r="E530" s="22" t="str">
        <x:v>2025秋:25P025</x:v>
      </x:c>
      <x:c r="F530" s="22" t="str">
        <x:v>s3</x:v>
      </x:c>
      <x:c r="G530" s="26" t="n">
        <x:v>20</x:v>
      </x:c>
      <x:c r="H530" s="25" t="n">
        <x:v>72.61265658648853</x:v>
      </x:c>
      <x:c r="I530" s="24" t="n">
        <x:v>1</x:v>
      </x:c>
      <x:c r="J530" s="24" t="n">
        <x:v>1</x:v>
      </x:c>
      <x:c r="K530" s="22" t="str">
        <x:v>是</x:v>
      </x:c>
      <x:c r="L530" s="22" t="n">
        <x:v>12.753101811212304</x:v>
      </x:c>
      <x:c r="M530" s="22" t="n">
        <x:v>18.64466608145717</x:v>
      </x:c>
      <x:c r="N530" s="22" t="n">
        <x:v>6.2148886938190575</x:v>
      </x:c>
      <x:c r="O530" s="22" t="n">
        <x:v>35</x:v>
      </x:c>
      <x:c r="P530" s="24" t="n">
        <x:v>4</x:v>
      </x:c>
      <x:c r="Q530" s="22" t="str">
        <x:v>["S0130"]</x:v>
      </x:c>
      <x:c r="R530" s="22" t="str">
        <x:v>evidence/student_evidence.jsonl；student_key=2025秋:25P025</x:v>
      </x:c>
      <x:c r="S530" s="27" t="str"/>
    </x:row>
    <x:row r="531" ht="23" customHeight="1">
      <x:c r="A531" s="21" t="str">
        <x:v>严格基线调整</x:v>
      </x:c>
      <x:c r="B531" s="22" t="str">
        <x:v>质量导向型（教学诊断对照）</x:v>
      </x:c>
      <x:c r="C531" s="22" t="str">
        <x:v>前20%</x:v>
      </x:c>
      <x:c r="D531" s="22" t="str">
        <x:v>严格进入</x:v>
      </x:c>
      <x:c r="E531" s="22" t="str">
        <x:v>2025秋:259043</x:v>
      </x:c>
      <x:c r="F531" s="22" t="str">
        <x:v>s3</x:v>
      </x:c>
      <x:c r="G531" s="26" t="n">
        <x:v>21</x:v>
      </x:c>
      <x:c r="H531" s="25" t="n">
        <x:v>72.33147548955398</x:v>
      </x:c>
      <x:c r="I531" s="24" t="n">
        <x:v>1</x:v>
      </x:c>
      <x:c r="J531" s="24" t="n">
        <x:v>1</x:v>
      </x:c>
      <x:c r="K531" s="22" t="str">
        <x:v>是</x:v>
      </x:c>
      <x:c r="L531" s="22" t="n">
        <x:v>12.739181954928416</x:v>
      </x:c>
      <x:c r="M531" s="22" t="n">
        <x:v>18.444220150969183</x:v>
      </x:c>
      <x:c r="N531" s="22" t="n">
        <x:v>6.148073383656396</x:v>
      </x:c>
      <x:c r="O531" s="22" t="n">
        <x:v>35</x:v>
      </x:c>
      <x:c r="P531" s="24" t="n">
        <x:v>4</x:v>
      </x:c>
      <x:c r="Q531" s="22" t="str">
        <x:v>["S0066"]</x:v>
      </x:c>
      <x:c r="R531" s="22" t="str">
        <x:v>evidence/student_evidence.jsonl；student_key=2025秋:259043</x:v>
      </x:c>
      <x:c r="S531" s="27" t="str"/>
    </x:row>
    <x:row r="532" ht="23" customHeight="1">
      <x:c r="A532" s="21" t="str">
        <x:v>严格基线调整</x:v>
      </x:c>
      <x:c r="B532" s="22" t="str">
        <x:v>质量导向型（教学诊断对照）</x:v>
      </x:c>
      <x:c r="C532" s="22" t="str">
        <x:v>前20%</x:v>
      </x:c>
      <x:c r="D532" s="22" t="str">
        <x:v>严格进入</x:v>
      </x:c>
      <x:c r="E532" s="22" t="str">
        <x:v>2025秋:25A148</x:v>
      </x:c>
      <x:c r="F532" s="22" t="str">
        <x:v>s3</x:v>
      </x:c>
      <x:c r="G532" s="26" t="n">
        <x:v>22.5</x:v>
      </x:c>
      <x:c r="H532" s="25" t="n">
        <x:v>72.25338324080785</x:v>
      </x:c>
      <x:c r="I532" s="24" t="n">
        <x:v>1</x:v>
      </x:c>
      <x:c r="J532" s="24" t="n">
        <x:v>1</x:v>
      </x:c>
      <x:c r="K532" s="22" t="str">
        <x:v>是</x:v>
      </x:c>
      <x:c r="L532" s="22" t="n">
        <x:v>12.735316002020191</x:v>
      </x:c>
      <x:c r="M532" s="22" t="n">
        <x:v>18.388550429090753</x:v>
      </x:c>
      <x:c r="N532" s="22" t="n">
        <x:v>6.129516809696918</x:v>
      </x:c>
      <x:c r="O532" s="22" t="n">
        <x:v>35</x:v>
      </x:c>
      <x:c r="P532" s="24" t="n">
        <x:v>4</x:v>
      </x:c>
      <x:c r="Q532" s="22" t="str">
        <x:v>["S0067"]</x:v>
      </x:c>
      <x:c r="R532" s="22" t="str">
        <x:v>evidence/student_evidence.jsonl；student_key=2025秋:25A148</x:v>
      </x:c>
      <x:c r="S532" s="27" t="str"/>
    </x:row>
    <x:row r="533" ht="23" customHeight="1">
      <x:c r="A533" s="21" t="str">
        <x:v>严格基线调整</x:v>
      </x:c>
      <x:c r="B533" s="22" t="str">
        <x:v>质量导向型（教学诊断对照）</x:v>
      </x:c>
      <x:c r="C533" s="22" t="str">
        <x:v>前20%</x:v>
      </x:c>
      <x:c r="D533" s="22" t="str">
        <x:v>严格进入</x:v>
      </x:c>
      <x:c r="E533" s="22" t="str">
        <x:v>2026春:268184</x:v>
      </x:c>
      <x:c r="F533" s="22" t="str">
        <x:v>s3</x:v>
      </x:c>
      <x:c r="G533" s="26" t="n">
        <x:v>22.5</x:v>
      </x:c>
      <x:c r="H533" s="25" t="n">
        <x:v>72.25338324080785</x:v>
      </x:c>
      <x:c r="I533" s="24" t="n">
        <x:v>1</x:v>
      </x:c>
      <x:c r="J533" s="24" t="n">
        <x:v>1</x:v>
      </x:c>
      <x:c r="K533" s="22" t="str">
        <x:v>是</x:v>
      </x:c>
      <x:c r="L533" s="22" t="n">
        <x:v>12.735316002020191</x:v>
      </x:c>
      <x:c r="M533" s="22" t="n">
        <x:v>18.388550429090753</x:v>
      </x:c>
      <x:c r="N533" s="22" t="n">
        <x:v>6.129516809696918</x:v>
      </x:c>
      <x:c r="O533" s="22" t="n">
        <x:v>35</x:v>
      </x:c>
      <x:c r="P533" s="24" t="n">
        <x:v>4</x:v>
      </x:c>
      <x:c r="Q533" s="22" t="str">
        <x:v>["S1054"]</x:v>
      </x:c>
      <x:c r="R533" s="22" t="str">
        <x:v>evidence/student_evidence.jsonl；student_key=2026春:268184</x:v>
      </x:c>
      <x:c r="S533" s="27" t="str"/>
    </x:row>
    <x:row r="534" ht="23" customHeight="1">
      <x:c r="A534" s="21" t="str">
        <x:v>严格基线调整</x:v>
      </x:c>
      <x:c r="B534" s="22" t="str">
        <x:v>质量导向型（教学诊断对照）</x:v>
      </x:c>
      <x:c r="C534" s="22" t="str">
        <x:v>前20%</x:v>
      </x:c>
      <x:c r="D534" s="22" t="str">
        <x:v>严格进入</x:v>
      </x:c>
      <x:c r="E534" s="22" t="str">
        <x:v>2025秋:240957</x:v>
      </x:c>
      <x:c r="F534" s="22" t="str">
        <x:v>s3</x:v>
      </x:c>
      <x:c r="G534" s="26" t="n">
        <x:v>25</x:v>
      </x:c>
      <x:c r="H534" s="25" t="n">
        <x:v>72.16198586562754</x:v>
      </x:c>
      <x:c r="I534" s="24" t="n">
        <x:v>1</x:v>
      </x:c>
      <x:c r="J534" s="24" t="n">
        <x:v>1</x:v>
      </x:c>
      <x:c r="K534" s="22" t="str">
        <x:v>是</x:v>
      </x:c>
      <x:c r="L534" s="22" t="n">
        <x:v>12.730791379486513</x:v>
      </x:c>
      <x:c r="M534" s="22" t="n">
        <x:v>18.32339586460578</x:v>
      </x:c>
      <x:c r="N534" s="22" t="n">
        <x:v>6.1077986215352595</x:v>
      </x:c>
      <x:c r="O534" s="22" t="n">
        <x:v>35</x:v>
      </x:c>
      <x:c r="P534" s="24" t="n">
        <x:v>4</x:v>
      </x:c>
      <x:c r="Q534" s="22" t="str">
        <x:v>["S0440"]</x:v>
      </x:c>
      <x:c r="R534" s="22" t="str">
        <x:v>evidence/student_evidence.jsonl；student_key=2025秋:240957</x:v>
      </x:c>
      <x:c r="S534" s="27" t="str"/>
    </x:row>
    <x:row r="535" ht="23" customHeight="1">
      <x:c r="A535" s="21" t="str">
        <x:v>严格基线调整</x:v>
      </x:c>
      <x:c r="B535" s="22" t="str">
        <x:v>质量导向型（教学诊断对照）</x:v>
      </x:c>
      <x:c r="C535" s="22" t="str">
        <x:v>前20%</x:v>
      </x:c>
      <x:c r="D535" s="22" t="str">
        <x:v>严格进入</x:v>
      </x:c>
      <x:c r="E535" s="22" t="str">
        <x:v>2025秋:259425</x:v>
      </x:c>
      <x:c r="F535" s="22" t="str">
        <x:v>s3</x:v>
      </x:c>
      <x:c r="G535" s="26" t="n">
        <x:v>25</x:v>
      </x:c>
      <x:c r="H535" s="25" t="n">
        <x:v>72.16198586562754</x:v>
      </x:c>
      <x:c r="I535" s="24" t="n">
        <x:v>1</x:v>
      </x:c>
      <x:c r="J535" s="24" t="n">
        <x:v>1</x:v>
      </x:c>
      <x:c r="K535" s="22" t="str">
        <x:v>是</x:v>
      </x:c>
      <x:c r="L535" s="22" t="n">
        <x:v>12.730791379486513</x:v>
      </x:c>
      <x:c r="M535" s="22" t="n">
        <x:v>18.32339586460578</x:v>
      </x:c>
      <x:c r="N535" s="22" t="n">
        <x:v>6.1077986215352595</x:v>
      </x:c>
      <x:c r="O535" s="22" t="n">
        <x:v>35</x:v>
      </x:c>
      <x:c r="P535" s="24" t="n">
        <x:v>4</x:v>
      </x:c>
      <x:c r="Q535" s="22" t="str">
        <x:v>["S0037"]</x:v>
      </x:c>
      <x:c r="R535" s="22" t="str">
        <x:v>evidence/student_evidence.jsonl；student_key=2025秋:259425</x:v>
      </x:c>
      <x:c r="S535" s="27" t="str"/>
    </x:row>
    <x:row r="536" ht="23" customHeight="1">
      <x:c r="A536" s="21" t="str">
        <x:v>严格基线调整</x:v>
      </x:c>
      <x:c r="B536" s="22" t="str">
        <x:v>质量导向型（教学诊断对照）</x:v>
      </x:c>
      <x:c r="C536" s="22" t="str">
        <x:v>前20%</x:v>
      </x:c>
      <x:c r="D536" s="22" t="str">
        <x:v>严格进入</x:v>
      </x:c>
      <x:c r="E536" s="22" t="str">
        <x:v>2026春:268502</x:v>
      </x:c>
      <x:c r="F536" s="22" t="str">
        <x:v>s3</x:v>
      </x:c>
      <x:c r="G536" s="26" t="n">
        <x:v>25</x:v>
      </x:c>
      <x:c r="H536" s="25" t="n">
        <x:v>72.16198586562754</x:v>
      </x:c>
      <x:c r="I536" s="24" t="n">
        <x:v>1</x:v>
      </x:c>
      <x:c r="J536" s="24" t="n">
        <x:v>1</x:v>
      </x:c>
      <x:c r="K536" s="22" t="str">
        <x:v>是</x:v>
      </x:c>
      <x:c r="L536" s="22" t="n">
        <x:v>12.730791379486513</x:v>
      </x:c>
      <x:c r="M536" s="22" t="n">
        <x:v>18.32339586460578</x:v>
      </x:c>
      <x:c r="N536" s="22" t="n">
        <x:v>6.1077986215352595</x:v>
      </x:c>
      <x:c r="O536" s="22" t="n">
        <x:v>35</x:v>
      </x:c>
      <x:c r="P536" s="24" t="n">
        <x:v>4</x:v>
      </x:c>
      <x:c r="Q536" s="22" t="str">
        <x:v>["S1220"]</x:v>
      </x:c>
      <x:c r="R536" s="22" t="str">
        <x:v>evidence/student_evidence.jsonl；student_key=2026春:268502</x:v>
      </x:c>
      <x:c r="S536" s="27" t="str"/>
    </x:row>
    <x:row r="537" ht="48" customHeight="1">
      <x:c r="A537" s="21" t="str">
        <x:v>严格基线调整</x:v>
      </x:c>
      <x:c r="B537" s="22" t="str">
        <x:v>质量导向型（教学诊断对照）</x:v>
      </x:c>
      <x:c r="C537" s="22" t="str">
        <x:v>前20%</x:v>
      </x:c>
      <x:c r="D537" s="22" t="str">
        <x:v>严格进入</x:v>
      </x:c>
      <x:c r="E537" s="22" t="str">
        <x:v>2025秋:258431</x:v>
      </x:c>
      <x:c r="F537" s="22" t="str">
        <x:v>s3</x:v>
      </x:c>
      <x:c r="G537" s="26" t="n">
        <x:v>28</x:v>
      </x:c>
      <x:c r="H537" s="25" t="n">
        <x:v>72.15839634190075</x:v>
      </x:c>
      <x:c r="I537" s="24" t="n">
        <x:v>2</x:v>
      </x:c>
      <x:c r="J537" s="24" t="n">
        <x:v>1</x:v>
      </x:c>
      <x:c r="K537" s="22" t="str">
        <x:v>是</x:v>
      </x:c>
      <x:c r="L537" s="22" t="n">
        <x:v>12.730613680292116</x:v>
      </x:c>
      <x:c r="M537" s="22" t="n">
        <x:v>18.32083699620648</x:v>
      </x:c>
      <x:c r="N537" s="22" t="n">
        <x:v>6.1069456654021606</x:v>
      </x:c>
      <x:c r="O537" s="22" t="n">
        <x:v>35</x:v>
      </x:c>
      <x:c r="P537" s="24" t="n">
        <x:v>2</x:v>
      </x:c>
      <x:c r="Q537" s="22" t="str">
        <x:v>["S0444","S0667"]</x:v>
      </x:c>
      <x:c r="R537" s="22" t="str">
        <x:v>evidence/student_evidence.jsonl；student_key=2025秋:258431</x:v>
      </x:c>
      <x:c r="S537" s="27" t="str">
        <x:v>同一锚点起止1条：未形成独立重复测量。</x:v>
      </x:c>
    </x:row>
    <x:row r="538" ht="23" customHeight="1">
      <x:c r="A538" s="21" t="str">
        <x:v>严格基线调整</x:v>
      </x:c>
      <x:c r="B538" s="22" t="str">
        <x:v>质量导向型（教学诊断对照）</x:v>
      </x:c>
      <x:c r="C538" s="22" t="str">
        <x:v>前20%</x:v>
      </x:c>
      <x:c r="D538" s="22" t="str">
        <x:v>严格进入</x:v>
      </x:c>
      <x:c r="E538" s="22" t="str">
        <x:v>2025秋:259326</x:v>
      </x:c>
      <x:c r="F538" s="22" t="str">
        <x:v>s3</x:v>
      </x:c>
      <x:c r="G538" s="26" t="n">
        <x:v>28</x:v>
      </x:c>
      <x:c r="H538" s="25" t="n">
        <x:v>72.15839634190075</x:v>
      </x:c>
      <x:c r="I538" s="24" t="n">
        <x:v>1</x:v>
      </x:c>
      <x:c r="J538" s="24" t="n">
        <x:v>1</x:v>
      </x:c>
      <x:c r="K538" s="22" t="str">
        <x:v>是</x:v>
      </x:c>
      <x:c r="L538" s="22" t="n">
        <x:v>12.730613680292116</x:v>
      </x:c>
      <x:c r="M538" s="22" t="n">
        <x:v>18.32083699620648</x:v>
      </x:c>
      <x:c r="N538" s="22" t="n">
        <x:v>6.1069456654021606</x:v>
      </x:c>
      <x:c r="O538" s="22" t="n">
        <x:v>35</x:v>
      </x:c>
      <x:c r="P538" s="24" t="n">
        <x:v>2</x:v>
      </x:c>
      <x:c r="Q538" s="22" t="str">
        <x:v>["S0496"]</x:v>
      </x:c>
      <x:c r="R538" s="22" t="str">
        <x:v>evidence/student_evidence.jsonl；student_key=2025秋:259326</x:v>
      </x:c>
      <x:c r="S538" s="27" t="str"/>
    </x:row>
    <x:row r="539" ht="23" customHeight="1">
      <x:c r="A539" s="21" t="str">
        <x:v>严格基线调整</x:v>
      </x:c>
      <x:c r="B539" s="22" t="str">
        <x:v>质量导向型（教学诊断对照）</x:v>
      </x:c>
      <x:c r="C539" s="22" t="str">
        <x:v>前20%</x:v>
      </x:c>
      <x:c r="D539" s="22" t="str">
        <x:v>严格进入</x:v>
      </x:c>
      <x:c r="E539" s="22" t="str">
        <x:v>2026春:268174</x:v>
      </x:c>
      <x:c r="F539" s="22" t="str">
        <x:v>s3</x:v>
      </x:c>
      <x:c r="G539" s="26" t="n">
        <x:v>28</x:v>
      </x:c>
      <x:c r="H539" s="25" t="n">
        <x:v>72.15839634190075</x:v>
      </x:c>
      <x:c r="I539" s="24" t="n">
        <x:v>1</x:v>
      </x:c>
      <x:c r="J539" s="24" t="n">
        <x:v>1</x:v>
      </x:c>
      <x:c r="K539" s="22" t="str">
        <x:v>是</x:v>
      </x:c>
      <x:c r="L539" s="22" t="n">
        <x:v>12.730613680292116</x:v>
      </x:c>
      <x:c r="M539" s="22" t="n">
        <x:v>18.32083699620648</x:v>
      </x:c>
      <x:c r="N539" s="22" t="n">
        <x:v>6.1069456654021606</x:v>
      </x:c>
      <x:c r="O539" s="22" t="n">
        <x:v>35</x:v>
      </x:c>
      <x:c r="P539" s="24" t="n">
        <x:v>2</x:v>
      </x:c>
      <x:c r="Q539" s="22" t="str">
        <x:v>["S1044"]</x:v>
      </x:c>
      <x:c r="R539" s="22" t="str">
        <x:v>evidence/student_evidence.jsonl；student_key=2026春:268174</x:v>
      </x:c>
      <x:c r="S539" s="27" t="str"/>
    </x:row>
    <x:row r="540" ht="23" customHeight="1">
      <x:c r="A540" s="21" t="str">
        <x:v>严格基线调整</x:v>
      </x:c>
      <x:c r="B540" s="22" t="str">
        <x:v>质量导向型（教学诊断对照）</x:v>
      </x:c>
      <x:c r="C540" s="22" t="str">
        <x:v>前20%</x:v>
      </x:c>
      <x:c r="D540" s="22" t="str">
        <x:v>边界同分</x:v>
      </x:c>
      <x:c r="E540" s="22" t="str">
        <x:v>2025秋:259016</x:v>
      </x:c>
      <x:c r="F540" s="22" t="str">
        <x:v>s3</x:v>
      </x:c>
      <x:c r="G540" s="26" t="n">
        <x:v>30.5</x:v>
      </x:c>
      <x:c r="H540" s="25" t="n">
        <x:v>72.14692113843358</x:v>
      </x:c>
      <x:c r="I540" s="24" t="n">
        <x:v>1</x:v>
      </x:c>
      <x:c r="J540" s="24" t="n">
        <x:v>1</x:v>
      </x:c>
      <x:c r="K540" s="22" t="str">
        <x:v>是</x:v>
      </x:c>
      <x:c r="L540" s="22" t="n">
        <x:v>12.685876845537344</x:v>
      </x:c>
      <x:c r="M540" s="22" t="n">
        <x:v>18.34578321967218</x:v>
      </x:c>
      <x:c r="N540" s="22" t="n">
        <x:v>6.115261073224062</x:v>
      </x:c>
      <x:c r="O540" s="22" t="n">
        <x:v>35</x:v>
      </x:c>
      <x:c r="P540" s="24" t="n">
        <x:v>4</x:v>
      </x:c>
      <x:c r="Q540" s="22" t="str">
        <x:v>["S0203"]</x:v>
      </x:c>
      <x:c r="R540" s="22" t="str">
        <x:v>evidence/student_evidence.jsonl；student_key=2025秋:259016</x:v>
      </x:c>
      <x:c r="S540" s="27" t="str"/>
    </x:row>
    <x:row r="541" ht="23" customHeight="1">
      <x:c r="A541" s="21" t="str">
        <x:v>严格基线调整</x:v>
      </x:c>
      <x:c r="B541" s="22" t="str">
        <x:v>质量导向型（教学诊断对照）</x:v>
      </x:c>
      <x:c r="C541" s="22" t="str">
        <x:v>前20%</x:v>
      </x:c>
      <x:c r="D541" s="22" t="str">
        <x:v>边界同分</x:v>
      </x:c>
      <x:c r="E541" s="22" t="str">
        <x:v>2025秋:259024</x:v>
      </x:c>
      <x:c r="F541" s="22" t="str">
        <x:v>s3</x:v>
      </x:c>
      <x:c r="G541" s="26" t="n">
        <x:v>30.5</x:v>
      </x:c>
      <x:c r="H541" s="25" t="n">
        <x:v>72.14692113843358</x:v>
      </x:c>
      <x:c r="I541" s="24" t="n">
        <x:v>1</x:v>
      </x:c>
      <x:c r="J541" s="24" t="n">
        <x:v>1</x:v>
      </x:c>
      <x:c r="K541" s="22" t="str">
        <x:v>是</x:v>
      </x:c>
      <x:c r="L541" s="22" t="n">
        <x:v>12.685876845537344</x:v>
      </x:c>
      <x:c r="M541" s="22" t="n">
        <x:v>18.34578321967218</x:v>
      </x:c>
      <x:c r="N541" s="22" t="n">
        <x:v>6.115261073224062</x:v>
      </x:c>
      <x:c r="O541" s="22" t="n">
        <x:v>35</x:v>
      </x:c>
      <x:c r="P541" s="24" t="n">
        <x:v>4</x:v>
      </x:c>
      <x:c r="Q541" s="22" t="str">
        <x:v>["S0359"]</x:v>
      </x:c>
      <x:c r="R541" s="22" t="str">
        <x:v>evidence/student_evidence.jsonl；student_key=2025秋:259024</x:v>
      </x:c>
      <x:c r="S541" s="27" t="str"/>
    </x:row>
    <x:row r="542" ht="23" customHeight="1">
      <x:c r="A542" s="21" t="str">
        <x:v>严格基线调整</x:v>
      </x:c>
      <x:c r="B542" s="22" t="str">
        <x:v>质量导向型（教学诊断对照）</x:v>
      </x:c>
      <x:c r="C542" s="22" t="str">
        <x:v>后20%</x:v>
      </x:c>
      <x:c r="D542" s="22" t="str">
        <x:v>边界同分</x:v>
      </x:c>
      <x:c r="E542" s="22" t="str">
        <x:v>2026春:268115</x:v>
      </x:c>
      <x:c r="F542" s="22" t="str">
        <x:v>s3</x:v>
      </x:c>
      <x:c r="G542" s="26" t="n">
        <x:v>117</x:v>
      </x:c>
      <x:c r="H542" s="25" t="n">
        <x:v>51.63770438017329</x:v>
      </x:c>
      <x:c r="I542" s="24" t="n">
        <x:v>1</x:v>
      </x:c>
      <x:c r="J542" s="24" t="n">
        <x:v>1</x:v>
      </x:c>
      <x:c r="K542" s="22" t="str">
        <x:v>是</x:v>
      </x:c>
      <x:c r="L542" s="22" t="n">
        <x:v>12.754341800998677</x:v>
      </x:c>
      <x:c r="M542" s="22" t="n">
        <x:v>18.66252193438096</x:v>
      </x:c>
      <x:c r="N542" s="22" t="n">
        <x:v>6.220840644793653</x:v>
      </x:c>
      <x:c r="O542" s="22" t="n">
        <x:v>14</x:v>
      </x:c>
      <x:c r="P542" s="24" t="n">
        <x:v>1</x:v>
      </x:c>
      <x:c r="Q542" s="22" t="str">
        <x:v>["S0897"]</x:v>
      </x:c>
      <x:c r="R542" s="22" t="str">
        <x:v>evidence/student_evidence.jsonl；student_key=2026春:268115</x:v>
      </x:c>
      <x:c r="S542" s="27" t="str"/>
    </x:row>
    <x:row r="543" ht="23" customHeight="1">
      <x:c r="A543" s="21" t="str">
        <x:v>严格基线调整</x:v>
      </x:c>
      <x:c r="B543" s="22" t="str">
        <x:v>质量导向型（教学诊断对照）</x:v>
      </x:c>
      <x:c r="C543" s="22" t="str">
        <x:v>后20%</x:v>
      </x:c>
      <x:c r="D543" s="22" t="str">
        <x:v>严格进入</x:v>
      </x:c>
      <x:c r="E543" s="22" t="str">
        <x:v>2026春:250695</x:v>
      </x:c>
      <x:c r="F543" s="22" t="str">
        <x:v>s6</x:v>
      </x:c>
      <x:c r="G543" s="26" t="n">
        <x:v>118</x:v>
      </x:c>
      <x:c r="H543" s="25" t="n">
        <x:v>51.29166666666667</x:v>
      </x:c>
      <x:c r="I543" s="24" t="n">
        <x:v>1</x:v>
      </x:c>
      <x:c r="J543" s="24" t="n">
        <x:v>1</x:v>
      </x:c>
      <x:c r="K543" s="22" t="str">
        <x:v>是</x:v>
      </x:c>
      <x:c r="L543" s="22" t="n">
        <x:v>12.551666666666666</x:v>
      </x:c>
      <x:c r="M543" s="22" t="n">
        <x:v>15.93</x:v>
      </x:c>
      <x:c r="N543" s="22" t="n">
        <x:v>5.3100000000000005</x:v>
      </x:c>
      <x:c r="O543" s="22" t="n">
        <x:v>17.5</x:v>
      </x:c>
      <x:c r="P543" s="24" t="n">
        <x:v>4</x:v>
      </x:c>
      <x:c r="Q543" s="22" t="str">
        <x:v>["S0818"]</x:v>
      </x:c>
      <x:c r="R543" s="22" t="str">
        <x:v>evidence/student_evidence.jsonl；student_key=2026春:250695</x:v>
      </x:c>
      <x:c r="S543" s="27" t="str"/>
    </x:row>
    <x:row r="544" ht="23" customHeight="1">
      <x:c r="A544" s="21" t="str">
        <x:v>严格基线调整</x:v>
      </x:c>
      <x:c r="B544" s="22" t="str">
        <x:v>质量导向型（教学诊断对照）</x:v>
      </x:c>
      <x:c r="C544" s="22" t="str">
        <x:v>后20%</x:v>
      </x:c>
      <x:c r="D544" s="22" t="str">
        <x:v>严格进入</x:v>
      </x:c>
      <x:c r="E544" s="22" t="str">
        <x:v>2026春:268154</x:v>
      </x:c>
      <x:c r="F544" s="22" t="str">
        <x:v>s3</x:v>
      </x:c>
      <x:c r="G544" s="26" t="n">
        <x:v>119</x:v>
      </x:c>
      <x:c r="H544" s="25" t="n">
        <x:v>51.25338324080786</x:v>
      </x:c>
      <x:c r="I544" s="24" t="n">
        <x:v>1</x:v>
      </x:c>
      <x:c r="J544" s="24" t="n">
        <x:v>1</x:v>
      </x:c>
      <x:c r="K544" s="22" t="str">
        <x:v>是</x:v>
      </x:c>
      <x:c r="L544" s="22" t="n">
        <x:v>12.735316002020191</x:v>
      </x:c>
      <x:c r="M544" s="22" t="n">
        <x:v>18.388550429090753</x:v>
      </x:c>
      <x:c r="N544" s="22" t="n">
        <x:v>6.129516809696918</x:v>
      </x:c>
      <x:c r="O544" s="22" t="n">
        <x:v>14</x:v>
      </x:c>
      <x:c r="P544" s="24" t="n">
        <x:v>1</x:v>
      </x:c>
      <x:c r="Q544" s="22" t="str">
        <x:v>["S1009"]</x:v>
      </x:c>
      <x:c r="R544" s="22" t="str">
        <x:v>evidence/student_evidence.jsonl；student_key=2026春:268154</x:v>
      </x:c>
      <x:c r="S544" s="27" t="str"/>
    </x:row>
    <x:row r="545" ht="23" customHeight="1">
      <x:c r="A545" s="21" t="str">
        <x:v>严格基线调整</x:v>
      </x:c>
      <x:c r="B545" s="22" t="str">
        <x:v>质量导向型（教学诊断对照）</x:v>
      </x:c>
      <x:c r="C545" s="22" t="str">
        <x:v>后20%</x:v>
      </x:c>
      <x:c r="D545" s="22" t="str">
        <x:v>严格进入</x:v>
      </x:c>
      <x:c r="E545" s="22" t="str">
        <x:v>2025秋:259336</x:v>
      </x:c>
      <x:c r="F545" s="22" t="str">
        <x:v>s3</x:v>
      </x:c>
      <x:c r="G545" s="26" t="n">
        <x:v>120</x:v>
      </x:c>
      <x:c r="H545" s="25" t="n">
        <x:v>49.3229710712398</x:v>
      </x:c>
      <x:c r="I545" s="24" t="n">
        <x:v>1</x:v>
      </x:c>
      <x:c r="J545" s="24" t="n">
        <x:v>1</x:v>
      </x:c>
      <x:c r="K545" s="22" t="str">
        <x:v>是</x:v>
      </x:c>
      <x:c r="L545" s="22" t="n">
        <x:v>12.7552625942858</x:v>
      </x:c>
      <x:c r="M545" s="22" t="n">
        <x:v>18.675781357715508</x:v>
      </x:c>
      <x:c r="N545" s="22" t="n">
        <x:v>6.2252604525718365</x:v>
      </x:c>
      <x:c r="O545" s="22" t="n">
        <x:v>11.666666666666664</x:v>
      </x:c>
      <x:c r="P545" s="24" t="n">
        <x:v>2</x:v>
      </x:c>
      <x:c r="Q545" s="22" t="str">
        <x:v>["S0286"]</x:v>
      </x:c>
      <x:c r="R545" s="22" t="str">
        <x:v>evidence/student_evidence.jsonl；student_key=2025秋:259336</x:v>
      </x:c>
      <x:c r="S545" s="27" t="str"/>
    </x:row>
    <x:row r="546" ht="23" customHeight="1">
      <x:c r="A546" s="21" t="str">
        <x:v>严格基线调整</x:v>
      </x:c>
      <x:c r="B546" s="22" t="str">
        <x:v>质量导向型（教学诊断对照）</x:v>
      </x:c>
      <x:c r="C546" s="22" t="str">
        <x:v>后20%</x:v>
      </x:c>
      <x:c r="D546" s="22" t="str">
        <x:v>严格进入</x:v>
      </x:c>
      <x:c r="E546" s="22" t="str">
        <x:v>2026春:268194</x:v>
      </x:c>
      <x:c r="F546" s="22" t="str">
        <x:v>s3</x:v>
      </x:c>
      <x:c r="G546" s="26" t="n">
        <x:v>121</x:v>
      </x:c>
      <x:c r="H546" s="25" t="n">
        <x:v>49.304371046839954</x:v>
      </x:c>
      <x:c r="I546" s="24" t="n">
        <x:v>1</x:v>
      </x:c>
      <x:c r="J546" s="24" t="n">
        <x:v>1</x:v>
      </x:c>
      <x:c r="K546" s="22" t="str">
        <x:v>是</x:v>
      </x:c>
      <x:c r="L546" s="22" t="n">
        <x:v>12.754341800998677</x:v>
      </x:c>
      <x:c r="M546" s="22" t="n">
        <x:v>18.66252193438096</x:v>
      </x:c>
      <x:c r="N546" s="22" t="n">
        <x:v>6.220840644793653</x:v>
      </x:c>
      <x:c r="O546" s="22" t="n">
        <x:v>11.666666666666664</x:v>
      </x:c>
      <x:c r="P546" s="24" t="n">
        <x:v>4</x:v>
      </x:c>
      <x:c r="Q546" s="22" t="str">
        <x:v>["S1067"]</x:v>
      </x:c>
      <x:c r="R546" s="22" t="str">
        <x:v>evidence/student_evidence.jsonl；student_key=2026春:268194</x:v>
      </x:c>
      <x:c r="S546" s="27" t="str"/>
    </x:row>
    <x:row r="547" ht="23" customHeight="1">
      <x:c r="A547" s="21" t="str">
        <x:v>严格基线调整</x:v>
      </x:c>
      <x:c r="B547" s="22" t="str">
        <x:v>质量导向型（教学诊断对照）</x:v>
      </x:c>
      <x:c r="C547" s="22" t="str">
        <x:v>后20%</x:v>
      </x:c>
      <x:c r="D547" s="22" t="str">
        <x:v>严格进入</x:v>
      </x:c>
      <x:c r="E547" s="22" t="str">
        <x:v>2025秋:258939</x:v>
      </x:c>
      <x:c r="F547" s="22" t="str">
        <x:v>s3</x:v>
      </x:c>
      <x:c r="G547" s="26" t="n">
        <x:v>122</x:v>
      </x:c>
      <x:c r="H547" s="25" t="n">
        <x:v>49.193340571189154</x:v>
      </x:c>
      <x:c r="I547" s="24" t="n">
        <x:v>1</x:v>
      </x:c>
      <x:c r="J547" s="24" t="n">
        <x:v>1</x:v>
      </x:c>
      <x:c r="K547" s="22" t="str">
        <x:v>是</x:v>
      </x:c>
      <x:c r="L547" s="22" t="n">
        <x:v>12.701066956180899</x:v>
      </x:c>
      <x:c r="M547" s="22" t="n">
        <x:v>18.619205211256197</x:v>
      </x:c>
      <x:c r="N547" s="22" t="n">
        <x:v>6.206401737085399</x:v>
      </x:c>
      <x:c r="O547" s="22" t="n">
        <x:v>11.666666666666664</x:v>
      </x:c>
      <x:c r="P547" s="24" t="n">
        <x:v>4</x:v>
      </x:c>
      <x:c r="Q547" s="22" t="str">
        <x:v>["S0367"]</x:v>
      </x:c>
      <x:c r="R547" s="22" t="str">
        <x:v>evidence/student_evidence.jsonl；student_key=2025秋:258939</x:v>
      </x:c>
      <x:c r="S547" s="27" t="str"/>
    </x:row>
    <x:row r="548" ht="23" customHeight="1">
      <x:c r="A548" s="21" t="str">
        <x:v>严格基线调整</x:v>
      </x:c>
      <x:c r="B548" s="22" t="str">
        <x:v>质量导向型（教学诊断对照）</x:v>
      </x:c>
      <x:c r="C548" s="22" t="str">
        <x:v>后20%</x:v>
      </x:c>
      <x:c r="D548" s="22" t="str">
        <x:v>严格进入</x:v>
      </x:c>
      <x:c r="E548" s="22" t="str">
        <x:v>2025秋:259958</x:v>
      </x:c>
      <x:c r="F548" s="22" t="str">
        <x:v>s3</x:v>
      </x:c>
      <x:c r="G548" s="26" t="n">
        <x:v>123</x:v>
      </x:c>
      <x:c r="H548" s="25" t="n">
        <x:v>49.062031148395334</x:v>
      </x:c>
      <x:c r="I548" s="24" t="n">
        <x:v>1</x:v>
      </x:c>
      <x:c r="J548" s="24" t="n">
        <x:v>1</x:v>
      </x:c>
      <x:c r="K548" s="22" t="str">
        <x:v>是</x:v>
      </x:c>
      <x:c r="L548" s="22" t="n">
        <x:v>12.471576701466525</x:v>
      </x:c>
      <x:c r="M548" s="22" t="n">
        <x:v>14.31784083519661</x:v>
      </x:c>
      <x:c r="N548" s="22" t="n">
        <x:v>4.772613611732203</x:v>
      </x:c>
      <x:c r="O548" s="22" t="n">
        <x:v>17.5</x:v>
      </x:c>
      <x:c r="P548" s="24" t="n">
        <x:v>4</x:v>
      </x:c>
      <x:c r="Q548" s="22" t="str">
        <x:v>["S0183"]</x:v>
      </x:c>
      <x:c r="R548" s="22" t="str">
        <x:v>evidence/student_evidence.jsonl；student_key=2025秋:259958</x:v>
      </x:c>
      <x:c r="S548" s="27" t="str"/>
    </x:row>
    <x:row r="549" ht="23" customHeight="1">
      <x:c r="A549" s="21" t="str">
        <x:v>严格基线调整</x:v>
      </x:c>
      <x:c r="B549" s="22" t="str">
        <x:v>质量导向型（教学诊断对照）</x:v>
      </x:c>
      <x:c r="C549" s="22" t="str">
        <x:v>后20%</x:v>
      </x:c>
      <x:c r="D549" s="22" t="str">
        <x:v>严格进入</x:v>
      </x:c>
      <x:c r="E549" s="22" t="str">
        <x:v>2026春:268126</x:v>
      </x:c>
      <x:c r="F549" s="22" t="str">
        <x:v>s3</x:v>
      </x:c>
      <x:c r="G549" s="26" t="n">
        <x:v>124</x:v>
      </x:c>
      <x:c r="H549" s="25" t="n">
        <x:v>49.03909102207408</x:v>
      </x:c>
      <x:c r="I549" s="24" t="n">
        <x:v>1</x:v>
      </x:c>
      <x:c r="J549" s="24" t="n">
        <x:v>1</x:v>
      </x:c>
      <x:c r="K549" s="22" t="str">
        <x:v>是</x:v>
      </x:c>
      <x:c r="L549" s="22" t="n">
        <x:v>12.741209126505318</x:v>
      </x:c>
      <x:c r="M549" s="22" t="n">
        <x:v>18.473411421676573</x:v>
      </x:c>
      <x:c r="N549" s="22" t="n">
        <x:v>6.157803807225525</x:v>
      </x:c>
      <x:c r="O549" s="22" t="n">
        <x:v>11.666666666666664</x:v>
      </x:c>
      <x:c r="P549" s="24" t="n">
        <x:v>4</x:v>
      </x:c>
      <x:c r="Q549" s="22" t="str">
        <x:v>["S0931"]</x:v>
      </x:c>
      <x:c r="R549" s="22" t="str">
        <x:v>evidence/student_evidence.jsonl；student_key=2026春:268126</x:v>
      </x:c>
      <x:c r="S549" s="27" t="str"/>
    </x:row>
    <x:row r="550" ht="23" customHeight="1">
      <x:c r="A550" s="21" t="str">
        <x:v>严格基线调整</x:v>
      </x:c>
      <x:c r="B550" s="22" t="str">
        <x:v>质量导向型（教学诊断对照）</x:v>
      </x:c>
      <x:c r="C550" s="22" t="str">
        <x:v>后20%</x:v>
      </x:c>
      <x:c r="D550" s="22" t="str">
        <x:v>严格进入</x:v>
      </x:c>
      <x:c r="E550" s="22" t="str">
        <x:v>2026春:268162</x:v>
      </x:c>
      <x:c r="F550" s="22" t="str">
        <x:v>s3</x:v>
      </x:c>
      <x:c r="G550" s="26" t="n">
        <x:v>125</x:v>
      </x:c>
      <x:c r="H550" s="25" t="n">
        <x:v>48.92004990747453</x:v>
      </x:c>
      <x:c r="I550" s="24" t="n">
        <x:v>1</x:v>
      </x:c>
      <x:c r="J550" s="24" t="n">
        <x:v>1</x:v>
      </x:c>
      <x:c r="K550" s="22" t="str">
        <x:v>是</x:v>
      </x:c>
      <x:c r="L550" s="22" t="n">
        <x:v>12.735316002020191</x:v>
      </x:c>
      <x:c r="M550" s="22" t="n">
        <x:v>18.388550429090753</x:v>
      </x:c>
      <x:c r="N550" s="22" t="n">
        <x:v>6.129516809696918</x:v>
      </x:c>
      <x:c r="O550" s="22" t="n">
        <x:v>11.666666666666664</x:v>
      </x:c>
      <x:c r="P550" s="24" t="n">
        <x:v>4</x:v>
      </x:c>
      <x:c r="Q550" s="22" t="str">
        <x:v>["S1027"]</x:v>
      </x:c>
      <x:c r="R550" s="22" t="str">
        <x:v>evidence/student_evidence.jsonl；student_key=2026春:268162</x:v>
      </x:c>
      <x:c r="S550" s="27" t="str"/>
    </x:row>
    <x:row r="551" ht="23" customHeight="1">
      <x:c r="A551" s="21" t="str">
        <x:v>严格基线调整</x:v>
      </x:c>
      <x:c r="B551" s="22" t="str">
        <x:v>质量导向型（教学诊断对照）</x:v>
      </x:c>
      <x:c r="C551" s="22" t="str">
        <x:v>后20%</x:v>
      </x:c>
      <x:c r="D551" s="22" t="str">
        <x:v>严格进入</x:v>
      </x:c>
      <x:c r="E551" s="22" t="str">
        <x:v>2026春:268144</x:v>
      </x:c>
      <x:c r="F551" s="22" t="str">
        <x:v>s3</x:v>
      </x:c>
      <x:c r="G551" s="26" t="n">
        <x:v>126</x:v>
      </x:c>
      <x:c r="H551" s="25" t="n">
        <x:v>48.82506300856742</x:v>
      </x:c>
      <x:c r="I551" s="24" t="n">
        <x:v>1</x:v>
      </x:c>
      <x:c r="J551" s="24" t="n">
        <x:v>1</x:v>
      </x:c>
      <x:c r="K551" s="22" t="str">
        <x:v>是</x:v>
      </x:c>
      <x:c r="L551" s="22" t="n">
        <x:v>12.730613680292116</x:v>
      </x:c>
      <x:c r="M551" s="22" t="n">
        <x:v>18.32083699620648</x:v>
      </x:c>
      <x:c r="N551" s="22" t="n">
        <x:v>6.1069456654021606</x:v>
      </x:c>
      <x:c r="O551" s="22" t="n">
        <x:v>11.666666666666664</x:v>
      </x:c>
      <x:c r="P551" s="24" t="n">
        <x:v>4</x:v>
      </x:c>
      <x:c r="Q551" s="22" t="str">
        <x:v>["S0983"]</x:v>
      </x:c>
      <x:c r="R551" s="22" t="str">
        <x:v>evidence/student_evidence.jsonl；student_key=2026春:268144</x:v>
      </x:c>
      <x:c r="S551" s="27" t="str"/>
    </x:row>
    <x:row r="552" ht="23" customHeight="1">
      <x:c r="A552" s="21" t="str">
        <x:v>严格基线调整</x:v>
      </x:c>
      <x:c r="B552" s="22" t="str">
        <x:v>质量导向型（教学诊断对照）</x:v>
      </x:c>
      <x:c r="C552" s="22" t="str">
        <x:v>后20%</x:v>
      </x:c>
      <x:c r="D552" s="22" t="str">
        <x:v>严格进入</x:v>
      </x:c>
      <x:c r="E552" s="22" t="str">
        <x:v>2025秋:258990</x:v>
      </x:c>
      <x:c r="F552" s="22" t="str">
        <x:v>s3</x:v>
      </x:c>
      <x:c r="G552" s="26" t="n">
        <x:v>127</x:v>
      </x:c>
      <x:c r="H552" s="25" t="n">
        <x:v>48.70279439591528</x:v>
      </x:c>
      <x:c r="I552" s="24" t="n">
        <x:v>1</x:v>
      </x:c>
      <x:c r="J552" s="24" t="n">
        <x:v>1</x:v>
      </x:c>
      <x:c r="K552" s="22" t="str">
        <x:v>是</x:v>
      </x:c>
      <x:c r="L552" s="22" t="n">
        <x:v>12.724560778675672</x:v>
      </x:c>
      <x:c r="M552" s="22" t="n">
        <x:v>18.233675212929704</x:v>
      </x:c>
      <x:c r="N552" s="22" t="n">
        <x:v>6.0778917376432355</x:v>
      </x:c>
      <x:c r="O552" s="22" t="n">
        <x:v>11.666666666666664</x:v>
      </x:c>
      <x:c r="P552" s="24" t="n">
        <x:v>4</x:v>
      </x:c>
      <x:c r="Q552" s="22" t="str">
        <x:v>["S0491"]</x:v>
      </x:c>
      <x:c r="R552" s="22" t="str">
        <x:v>evidence/student_evidence.jsonl；student_key=2025秋:258990</x:v>
      </x:c>
      <x:c r="S552" s="27" t="str"/>
    </x:row>
    <x:row r="553" ht="48" customHeight="1">
      <x:c r="A553" s="21" t="str">
        <x:v>严格基线调整</x:v>
      </x:c>
      <x:c r="B553" s="22" t="str">
        <x:v>质量导向型（教学诊断对照）</x:v>
      </x:c>
      <x:c r="C553" s="22" t="str">
        <x:v>后20%</x:v>
      </x:c>
      <x:c r="D553" s="22" t="str">
        <x:v>严格进入</x:v>
      </x:c>
      <x:c r="E553" s="22" t="str">
        <x:v>2025秋:25A171</x:v>
      </x:c>
      <x:c r="F553" s="22" t="str">
        <x:v>s3</x:v>
      </x:c>
      <x:c r="G553" s="26" t="n">
        <x:v>128</x:v>
      </x:c>
      <x:c r="H553" s="25" t="n">
        <x:v>48.04223691633286</x:v>
      </x:c>
      <x:c r="I553" s="24" t="n">
        <x:v>1</x:v>
      </x:c>
      <x:c r="J553" s="24" t="n">
        <x:v>1</x:v>
      </x:c>
      <x:c r="K553" s="22" t="str">
        <x:v>是</x:v>
      </x:c>
      <x:c r="L553" s="22" t="n">
        <x:v>12.421689476653315</x:v>
      </x:c>
      <x:c r="M553" s="22" t="n">
        <x:v>13.590410579759665</x:v>
      </x:c>
      <x:c r="N553" s="22" t="n">
        <x:v>4.530136859919888</x:v>
      </x:c>
      <x:c r="O553" s="22" t="n">
        <x:v>17.5</x:v>
      </x:c>
      <x:c r="P553" s="24" t="n">
        <x:v>4</x:v>
      </x:c>
      <x:c r="Q553" s="22" t="str">
        <x:v>["S0258"]</x:v>
      </x:c>
      <x:c r="R553" s="22" t="str">
        <x:v>evidence/student_evidence.jsonl；student_key=2025秋:25A171</x:v>
      </x:c>
      <x:c r="S553" s="27" t="str">
        <x:v>同一锚点起止1条：未形成独立重复测量。</x:v>
      </x:c>
    </x:row>
    <x:row r="554" ht="23" customHeight="1">
      <x:c r="A554" s="21" t="str">
        <x:v>严格基线调整</x:v>
      </x:c>
      <x:c r="B554" s="22" t="str">
        <x:v>质量导向型（教学诊断对照）</x:v>
      </x:c>
      <x:c r="C554" s="22" t="str">
        <x:v>后20%</x:v>
      </x:c>
      <x:c r="D554" s="22" t="str">
        <x:v>严格进入</x:v>
      </x:c>
      <x:c r="E554" s="22" t="str">
        <x:v>2025秋:258892</x:v>
      </x:c>
      <x:c r="F554" s="22" t="str">
        <x:v>s3</x:v>
      </x:c>
      <x:c r="G554" s="26" t="n">
        <x:v>129</x:v>
      </x:c>
      <x:c r="H554" s="25" t="n">
        <x:v>48.01904942247014</x:v>
      </x:c>
      <x:c r="I554" s="24" t="n">
        <x:v>2</x:v>
      </x:c>
      <x:c r="J554" s="24" t="n">
        <x:v>2</x:v>
      </x:c>
      <x:c r="K554" s="22" t="str">
        <x:v>是</x:v>
      </x:c>
      <x:c r="L554" s="22" t="n">
        <x:v>12.420761976898804</x:v>
      </x:c>
      <x:c r="M554" s="22" t="n">
        <x:v>13.573715584178503</x:v>
      </x:c>
      <x:c r="N554" s="22" t="n">
        <x:v>4.524571861392835</x:v>
      </x:c>
      <x:c r="O554" s="22" t="n">
        <x:v>17.5</x:v>
      </x:c>
      <x:c r="P554" s="24" t="n">
        <x:v>4</x:v>
      </x:c>
      <x:c r="Q554" s="22" t="str">
        <x:v>["S0095","S0473"]</x:v>
      </x:c>
      <x:c r="R554" s="22" t="str">
        <x:v>evidence/student_evidence.jsonl；student_key=2025秋:258892</x:v>
      </x:c>
      <x:c r="S554" s="27" t="str"/>
    </x:row>
    <x:row r="555" ht="48" customHeight="1">
      <x:c r="A555" s="21" t="str">
        <x:v>严格基线调整</x:v>
      </x:c>
      <x:c r="B555" s="22" t="str">
        <x:v>质量导向型（教学诊断对照）</x:v>
      </x:c>
      <x:c r="C555" s="22" t="str">
        <x:v>后20%</x:v>
      </x:c>
      <x:c r="D555" s="22" t="str">
        <x:v>严格进入</x:v>
      </x:c>
      <x:c r="E555" s="22" t="str">
        <x:v>2025秋:258274</x:v>
      </x:c>
      <x:c r="F555" s="22" t="str">
        <x:v>s3</x:v>
      </x:c>
      <x:c r="G555" s="26" t="n">
        <x:v>130.5</x:v>
      </x:c>
      <x:c r="H555" s="25" t="n">
        <x:v>47.51950342714235</x:v>
      </x:c>
      <x:c r="I555" s="24" t="n">
        <x:v>1</x:v>
      </x:c>
      <x:c r="J555" s="24" t="n">
        <x:v>1</x:v>
      </x:c>
      <x:c r="K555" s="22" t="str">
        <x:v>是</x:v>
      </x:c>
      <x:c r="L555" s="22" t="n">
        <x:v>12.377203139957542</x:v>
      </x:c>
      <x:c r="M555" s="22" t="n">
        <x:v>13.2317252153886</x:v>
      </x:c>
      <x:c r="N555" s="22" t="n">
        <x:v>4.410575071796201</x:v>
      </x:c>
      <x:c r="O555" s="22" t="n">
        <x:v>17.5</x:v>
      </x:c>
      <x:c r="P555" s="24" t="n">
        <x:v>4</x:v>
      </x:c>
      <x:c r="Q555" s="22" t="str">
        <x:v>["S0275"]</x:v>
      </x:c>
      <x:c r="R555" s="22" t="str">
        <x:v>evidence/student_evidence.jsonl；student_key=2025秋:258274</x:v>
      </x:c>
      <x:c r="S555" s="27" t="str">
        <x:v>同一锚点起止1条：未形成独立重复测量。</x:v>
      </x:c>
    </x:row>
    <x:row r="556" ht="23" customHeight="1">
      <x:c r="A556" s="21" t="str">
        <x:v>严格基线调整</x:v>
      </x:c>
      <x:c r="B556" s="22" t="str">
        <x:v>质量导向型（教学诊断对照）</x:v>
      </x:c>
      <x:c r="C556" s="22" t="str">
        <x:v>后20%</x:v>
      </x:c>
      <x:c r="D556" s="22" t="str">
        <x:v>严格进入</x:v>
      </x:c>
      <x:c r="E556" s="22" t="str">
        <x:v>2025秋:259315</x:v>
      </x:c>
      <x:c r="F556" s="22" t="str">
        <x:v>s3</x:v>
      </x:c>
      <x:c r="G556" s="26" t="n">
        <x:v>130.5</x:v>
      </x:c>
      <x:c r="H556" s="25" t="n">
        <x:v>47.51950342714235</x:v>
      </x:c>
      <x:c r="I556" s="24" t="n">
        <x:v>1</x:v>
      </x:c>
      <x:c r="J556" s="24" t="n">
        <x:v>1</x:v>
      </x:c>
      <x:c r="K556" s="22" t="str">
        <x:v>是</x:v>
      </x:c>
      <x:c r="L556" s="22" t="n">
        <x:v>12.377203139957542</x:v>
      </x:c>
      <x:c r="M556" s="22" t="n">
        <x:v>13.2317252153886</x:v>
      </x:c>
      <x:c r="N556" s="22" t="n">
        <x:v>4.410575071796201</x:v>
      </x:c>
      <x:c r="O556" s="22" t="n">
        <x:v>17.5</x:v>
      </x:c>
      <x:c r="P556" s="24" t="n">
        <x:v>4</x:v>
      </x:c>
      <x:c r="Q556" s="22" t="str">
        <x:v>["S0405"]</x:v>
      </x:c>
      <x:c r="R556" s="22" t="str">
        <x:v>evidence/student_evidence.jsonl；student_key=2025秋:259315</x:v>
      </x:c>
      <x:c r="S556" s="27" t="str"/>
    </x:row>
    <x:row r="557" ht="23" customHeight="1">
      <x:c r="A557" s="21" t="str">
        <x:v>严格基线调整</x:v>
      </x:c>
      <x:c r="B557" s="22" t="str">
        <x:v>质量导向型（教学诊断对照）</x:v>
      </x:c>
      <x:c r="C557" s="22" t="str">
        <x:v>后20%</x:v>
      </x:c>
      <x:c r="D557" s="22" t="str">
        <x:v>严格进入</x:v>
      </x:c>
      <x:c r="E557" s="22" t="str">
        <x:v>2025秋:259422</x:v>
      </x:c>
      <x:c r="F557" s="22" t="str">
        <x:v>s3</x:v>
      </x:c>
      <x:c r="G557" s="26" t="n">
        <x:v>132</x:v>
      </x:c>
      <x:c r="H557" s="25" t="n">
        <x:v>47.121417374507274</x:v>
      </x:c>
      <x:c r="I557" s="24" t="n">
        <x:v>1</x:v>
      </x:c>
      <x:c r="J557" s="24" t="n">
        <x:v>1</x:v>
      </x:c>
      <x:c r="K557" s="22" t="str">
        <x:v>是</x:v>
      </x:c>
      <x:c r="L557" s="22" t="n">
        <x:v>12.357495909629074</x:v>
      </x:c>
      <x:c r="M557" s="22" t="n">
        <x:v>12.947941098658655</x:v>
      </x:c>
      <x:c r="N557" s="22" t="n">
        <x:v>4.315980366219551</x:v>
      </x:c>
      <x:c r="O557" s="22" t="n">
        <x:v>17.5</x:v>
      </x:c>
      <x:c r="P557" s="24" t="n">
        <x:v>4</x:v>
      </x:c>
      <x:c r="Q557" s="22" t="str">
        <x:v>["S0421"]</x:v>
      </x:c>
      <x:c r="R557" s="22" t="str">
        <x:v>evidence/student_evidence.jsonl；student_key=2025秋:259422</x:v>
      </x:c>
      <x:c r="S557" s="27" t="str"/>
    </x:row>
    <x:row r="558" ht="23" customHeight="1">
      <x:c r="A558" s="21" t="str">
        <x:v>严格基线调整</x:v>
      </x:c>
      <x:c r="B558" s="22" t="str">
        <x:v>质量导向型（教学诊断对照）</x:v>
      </x:c>
      <x:c r="C558" s="22" t="str">
        <x:v>后20%</x:v>
      </x:c>
      <x:c r="D558" s="22" t="str">
        <x:v>严格进入</x:v>
      </x:c>
      <x:c r="E558" s="22" t="str">
        <x:v>2025秋:258912</x:v>
      </x:c>
      <x:c r="F558" s="22" t="str">
        <x:v>s3</x:v>
      </x:c>
      <x:c r="G558" s="26" t="n">
        <x:v>136.5</x:v>
      </x:c>
      <x:c r="H558" s="25" t="n">
        <x:v>47.12082065606513</x:v>
      </x:c>
      <x:c r="I558" s="24" t="n">
        <x:v>1</x:v>
      </x:c>
      <x:c r="J558" s="24" t="n">
        <x:v>1</x:v>
      </x:c>
      <x:c r="K558" s="22" t="str">
        <x:v>是</x:v>
      </x:c>
      <x:c r="L558" s="22" t="n">
        <x:v>12.357466369112135</x:v>
      </x:c>
      <x:c r="M558" s="22" t="n">
        <x:v>12.947515715214745</x:v>
      </x:c>
      <x:c r="N558" s="22" t="n">
        <x:v>4.315838571738249</x:v>
      </x:c>
      <x:c r="O558" s="22" t="n">
        <x:v>17.5</x:v>
      </x:c>
      <x:c r="P558" s="24" t="n">
        <x:v>4</x:v>
      </x:c>
      <x:c r="Q558" s="22" t="str">
        <x:v>["S0092"]</x:v>
      </x:c>
      <x:c r="R558" s="22" t="str">
        <x:v>evidence/student_evidence.jsonl；student_key=2025秋:258912</x:v>
      </x:c>
      <x:c r="S558" s="27" t="str"/>
    </x:row>
    <x:row r="559" ht="48" customHeight="1">
      <x:c r="A559" s="21" t="str">
        <x:v>严格基线调整</x:v>
      </x:c>
      <x:c r="B559" s="22" t="str">
        <x:v>质量导向型（教学诊断对照）</x:v>
      </x:c>
      <x:c r="C559" s="22" t="str">
        <x:v>后20%</x:v>
      </x:c>
      <x:c r="D559" s="22" t="str">
        <x:v>严格进入</x:v>
      </x:c>
      <x:c r="E559" s="22" t="str">
        <x:v>2025秋:258923</x:v>
      </x:c>
      <x:c r="F559" s="22" t="str">
        <x:v>s3</x:v>
      </x:c>
      <x:c r="G559" s="26" t="n">
        <x:v>136.5</x:v>
      </x:c>
      <x:c r="H559" s="25" t="n">
        <x:v>47.12082065606513</x:v>
      </x:c>
      <x:c r="I559" s="24" t="n">
        <x:v>1</x:v>
      </x:c>
      <x:c r="J559" s="24" t="n">
        <x:v>1</x:v>
      </x:c>
      <x:c r="K559" s="22" t="str">
        <x:v>是</x:v>
      </x:c>
      <x:c r="L559" s="22" t="n">
        <x:v>12.357466369112135</x:v>
      </x:c>
      <x:c r="M559" s="22" t="n">
        <x:v>12.947515715214745</x:v>
      </x:c>
      <x:c r="N559" s="22" t="n">
        <x:v>4.315838571738249</x:v>
      </x:c>
      <x:c r="O559" s="22" t="n">
        <x:v>17.5</x:v>
      </x:c>
      <x:c r="P559" s="24" t="n">
        <x:v>4</x:v>
      </x:c>
      <x:c r="Q559" s="22" t="str">
        <x:v>["S0120"]</x:v>
      </x:c>
      <x:c r="R559" s="22" t="str">
        <x:v>evidence/student_evidence.jsonl；student_key=2025秋:258923</x:v>
      </x:c>
      <x:c r="S559" s="27" t="str">
        <x:v>同一锚点起止1条：未形成独立重复测量。</x:v>
      </x:c>
    </x:row>
    <x:row r="560" ht="23" customHeight="1">
      <x:c r="A560" s="21" t="str">
        <x:v>严格基线调整</x:v>
      </x:c>
      <x:c r="B560" s="22" t="str">
        <x:v>质量导向型（教学诊断对照）</x:v>
      </x:c>
      <x:c r="C560" s="22" t="str">
        <x:v>后20%</x:v>
      </x:c>
      <x:c r="D560" s="22" t="str">
        <x:v>严格进入</x:v>
      </x:c>
      <x:c r="E560" s="22" t="str">
        <x:v>2025秋:259059</x:v>
      </x:c>
      <x:c r="F560" s="22" t="str">
        <x:v>s3</x:v>
      </x:c>
      <x:c r="G560" s="26" t="n">
        <x:v>136.5</x:v>
      </x:c>
      <x:c r="H560" s="25" t="n">
        <x:v>47.12082065606513</x:v>
      </x:c>
      <x:c r="I560" s="24" t="n">
        <x:v>1</x:v>
      </x:c>
      <x:c r="J560" s="24" t="n">
        <x:v>1</x:v>
      </x:c>
      <x:c r="K560" s="22" t="str">
        <x:v>是</x:v>
      </x:c>
      <x:c r="L560" s="22" t="n">
        <x:v>12.357466369112135</x:v>
      </x:c>
      <x:c r="M560" s="22" t="n">
        <x:v>12.947515715214745</x:v>
      </x:c>
      <x:c r="N560" s="22" t="n">
        <x:v>4.315838571738249</x:v>
      </x:c>
      <x:c r="O560" s="22" t="n">
        <x:v>17.5</x:v>
      </x:c>
      <x:c r="P560" s="24" t="n">
        <x:v>4</x:v>
      </x:c>
      <x:c r="Q560" s="22" t="str">
        <x:v>["S0426"]</x:v>
      </x:c>
      <x:c r="R560" s="22" t="str">
        <x:v>evidence/student_evidence.jsonl；student_key=2025秋:259059</x:v>
      </x:c>
      <x:c r="S560" s="27" t="str"/>
    </x:row>
    <x:row r="561" ht="23" customHeight="1">
      <x:c r="A561" s="21" t="str">
        <x:v>严格基线调整</x:v>
      </x:c>
      <x:c r="B561" s="22" t="str">
        <x:v>质量导向型（教学诊断对照）</x:v>
      </x:c>
      <x:c r="C561" s="22" t="str">
        <x:v>后20%</x:v>
      </x:c>
      <x:c r="D561" s="22" t="str">
        <x:v>严格进入</x:v>
      </x:c>
      <x:c r="E561" s="22" t="str">
        <x:v>2025秋:259106</x:v>
      </x:c>
      <x:c r="F561" s="22" t="str">
        <x:v>s3</x:v>
      </x:c>
      <x:c r="G561" s="26" t="n">
        <x:v>136.5</x:v>
      </x:c>
      <x:c r="H561" s="25" t="n">
        <x:v>47.12082065606513</x:v>
      </x:c>
      <x:c r="I561" s="24" t="n">
        <x:v>1</x:v>
      </x:c>
      <x:c r="J561" s="24" t="n">
        <x:v>1</x:v>
      </x:c>
      <x:c r="K561" s="22" t="str">
        <x:v>是</x:v>
      </x:c>
      <x:c r="L561" s="22" t="n">
        <x:v>12.357466369112135</x:v>
      </x:c>
      <x:c r="M561" s="22" t="n">
        <x:v>12.947515715214745</x:v>
      </x:c>
      <x:c r="N561" s="22" t="n">
        <x:v>4.315838571738249</x:v>
      </x:c>
      <x:c r="O561" s="22" t="n">
        <x:v>17.5</x:v>
      </x:c>
      <x:c r="P561" s="24" t="n">
        <x:v>4</x:v>
      </x:c>
      <x:c r="Q561" s="22" t="str">
        <x:v>["S0005"]</x:v>
      </x:c>
      <x:c r="R561" s="22" t="str">
        <x:v>evidence/student_evidence.jsonl；student_key=2025秋:259106</x:v>
      </x:c>
      <x:c r="S561" s="27" t="str"/>
    </x:row>
    <x:row r="562" ht="48" customHeight="1">
      <x:c r="A562" s="21" t="str">
        <x:v>严格基线调整</x:v>
      </x:c>
      <x:c r="B562" s="22" t="str">
        <x:v>质量导向型（教学诊断对照）</x:v>
      </x:c>
      <x:c r="C562" s="22" t="str">
        <x:v>后20%</x:v>
      </x:c>
      <x:c r="D562" s="22" t="str">
        <x:v>严格进入</x:v>
      </x:c>
      <x:c r="E562" s="22" t="str">
        <x:v>2025秋:259346</x:v>
      </x:c>
      <x:c r="F562" s="22" t="str">
        <x:v>s3</x:v>
      </x:c>
      <x:c r="G562" s="26" t="n">
        <x:v>136.5</x:v>
      </x:c>
      <x:c r="H562" s="25" t="n">
        <x:v>47.12082065606513</x:v>
      </x:c>
      <x:c r="I562" s="24" t="n">
        <x:v>1</x:v>
      </x:c>
      <x:c r="J562" s="24" t="n">
        <x:v>1</x:v>
      </x:c>
      <x:c r="K562" s="22" t="str">
        <x:v>是</x:v>
      </x:c>
      <x:c r="L562" s="22" t="n">
        <x:v>12.357466369112135</x:v>
      </x:c>
      <x:c r="M562" s="22" t="n">
        <x:v>12.947515715214745</x:v>
      </x:c>
      <x:c r="N562" s="22" t="n">
        <x:v>4.315838571738249</x:v>
      </x:c>
      <x:c r="O562" s="22" t="n">
        <x:v>17.5</x:v>
      </x:c>
      <x:c r="P562" s="24" t="n">
        <x:v>4</x:v>
      </x:c>
      <x:c r="Q562" s="22" t="str">
        <x:v>["S0672"]</x:v>
      </x:c>
      <x:c r="R562" s="22" t="str">
        <x:v>evidence/student_evidence.jsonl；student_key=2025秋:259346</x:v>
      </x:c>
      <x:c r="S562" s="27" t="str">
        <x:v>同一锚点起止1条：未形成独立重复测量。</x:v>
      </x:c>
    </x:row>
    <x:row r="563" ht="23" customHeight="1">
      <x:c r="A563" s="21" t="str">
        <x:v>严格基线调整</x:v>
      </x:c>
      <x:c r="B563" s="22" t="str">
        <x:v>质量导向型（教学诊断对照）</x:v>
      </x:c>
      <x:c r="C563" s="22" t="str">
        <x:v>后20%</x:v>
      </x:c>
      <x:c r="D563" s="22" t="str">
        <x:v>严格进入</x:v>
      </x:c>
      <x:c r="E563" s="22" t="str">
        <x:v>2026春:258955</x:v>
      </x:c>
      <x:c r="F563" s="22" t="str">
        <x:v>s3</x:v>
      </x:c>
      <x:c r="G563" s="26" t="n">
        <x:v>136.5</x:v>
      </x:c>
      <x:c r="H563" s="25" t="n">
        <x:v>47.12082065606513</x:v>
      </x:c>
      <x:c r="I563" s="24" t="n">
        <x:v>1</x:v>
      </x:c>
      <x:c r="J563" s="24" t="n">
        <x:v>1</x:v>
      </x:c>
      <x:c r="K563" s="22" t="str">
        <x:v>是</x:v>
      </x:c>
      <x:c r="L563" s="22" t="n">
        <x:v>12.357466369112135</x:v>
      </x:c>
      <x:c r="M563" s="22" t="n">
        <x:v>12.947515715214745</x:v>
      </x:c>
      <x:c r="N563" s="22" t="n">
        <x:v>4.315838571738249</x:v>
      </x:c>
      <x:c r="O563" s="22" t="n">
        <x:v>17.5</x:v>
      </x:c>
      <x:c r="P563" s="24" t="n">
        <x:v>4</x:v>
      </x:c>
      <x:c r="Q563" s="22" t="str">
        <x:v>["S0838"]</x:v>
      </x:c>
      <x:c r="R563" s="22" t="str">
        <x:v>evidence/student_evidence.jsonl；student_key=2026春:258955</x:v>
      </x:c>
      <x:c r="S563" s="27" t="str"/>
    </x:row>
    <x:row r="564" ht="23" customHeight="1">
      <x:c r="A564" s="21" t="str">
        <x:v>严格基线调整</x:v>
      </x:c>
      <x:c r="B564" s="22" t="str">
        <x:v>质量导向型（教学诊断对照）</x:v>
      </x:c>
      <x:c r="C564" s="22" t="str">
        <x:v>后20%</x:v>
      </x:c>
      <x:c r="D564" s="22" t="str">
        <x:v>严格进入</x:v>
      </x:c>
      <x:c r="E564" s="22" t="str">
        <x:v>2026春:268176</x:v>
      </x:c>
      <x:c r="F564" s="22" t="str">
        <x:v>s3</x:v>
      </x:c>
      <x:c r="G564" s="26" t="n">
        <x:v>136.5</x:v>
      </x:c>
      <x:c r="H564" s="25" t="n">
        <x:v>47.12082065606513</x:v>
      </x:c>
      <x:c r="I564" s="24" t="n">
        <x:v>1</x:v>
      </x:c>
      <x:c r="J564" s="24" t="n">
        <x:v>1</x:v>
      </x:c>
      <x:c r="K564" s="22" t="str">
        <x:v>是</x:v>
      </x:c>
      <x:c r="L564" s="22" t="n">
        <x:v>12.357466369112135</x:v>
      </x:c>
      <x:c r="M564" s="22" t="n">
        <x:v>12.947515715214745</x:v>
      </x:c>
      <x:c r="N564" s="22" t="n">
        <x:v>4.315838571738249</x:v>
      </x:c>
      <x:c r="O564" s="22" t="n">
        <x:v>17.5</x:v>
      </x:c>
      <x:c r="P564" s="24" t="n">
        <x:v>4</x:v>
      </x:c>
      <x:c r="Q564" s="22" t="str">
        <x:v>["S1047"]</x:v>
      </x:c>
      <x:c r="R564" s="22" t="str">
        <x:v>evidence/student_evidence.jsonl；student_key=2026春:268176</x:v>
      </x:c>
      <x:c r="S564" s="27" t="str"/>
    </x:row>
    <x:row r="565" ht="23" customHeight="1">
      <x:c r="A565" s="21" t="str">
        <x:v>严格基线调整</x:v>
      </x:c>
      <x:c r="B565" s="22" t="str">
        <x:v>质量导向型（教学诊断对照）</x:v>
      </x:c>
      <x:c r="C565" s="22" t="str">
        <x:v>后20%</x:v>
      </x:c>
      <x:c r="D565" s="22" t="str">
        <x:v>严格进入</x:v>
      </x:c>
      <x:c r="E565" s="22" t="str">
        <x:v>2026春:268538</x:v>
      </x:c>
      <x:c r="F565" s="22" t="str">
        <x:v>s3</x:v>
      </x:c>
      <x:c r="G565" s="26" t="n">
        <x:v>136.5</x:v>
      </x:c>
      <x:c r="H565" s="25" t="n">
        <x:v>47.12082065606513</x:v>
      </x:c>
      <x:c r="I565" s="24" t="n">
        <x:v>1</x:v>
      </x:c>
      <x:c r="J565" s="24" t="n">
        <x:v>1</x:v>
      </x:c>
      <x:c r="K565" s="22" t="str">
        <x:v>是</x:v>
      </x:c>
      <x:c r="L565" s="22" t="n">
        <x:v>12.357466369112135</x:v>
      </x:c>
      <x:c r="M565" s="22" t="n">
        <x:v>12.947515715214745</x:v>
      </x:c>
      <x:c r="N565" s="22" t="n">
        <x:v>4.315838571738249</x:v>
      </x:c>
      <x:c r="O565" s="22" t="n">
        <x:v>17.5</x:v>
      </x:c>
      <x:c r="P565" s="24" t="n">
        <x:v>4</x:v>
      </x:c>
      <x:c r="Q565" s="22" t="str">
        <x:v>["S1276"]</x:v>
      </x:c>
      <x:c r="R565" s="22" t="str">
        <x:v>evidence/student_evidence.jsonl；student_key=2026春:268538</x:v>
      </x:c>
      <x:c r="S565" s="27" t="str"/>
    </x:row>
    <x:row r="566" ht="48" customHeight="1">
      <x:c r="A566" s="21" t="str">
        <x:v>严格基线调整</x:v>
      </x:c>
      <x:c r="B566" s="22" t="str">
        <x:v>质量导向型（教学诊断对照）</x:v>
      </x:c>
      <x:c r="C566" s="22" t="str">
        <x:v>后20%</x:v>
      </x:c>
      <x:c r="D566" s="22" t="str">
        <x:v>严格进入</x:v>
      </x:c>
      <x:c r="E566" s="22" t="str">
        <x:v>2026春:250845</x:v>
      </x:c>
      <x:c r="F566" s="22" t="str">
        <x:v>s6</x:v>
      </x:c>
      <x:c r="G566" s="26" t="n">
        <x:v>141</x:v>
      </x:c>
      <x:c r="H566" s="25" t="n">
        <x:v>46.68142857142857</x:v>
      </x:c>
      <x:c r="I566" s="24" t="n">
        <x:v>1</x:v>
      </x:c>
      <x:c r="J566" s="24" t="n">
        <x:v>1</x:v>
      </x:c>
      <x:c r="K566" s="22" t="str">
        <x:v>是</x:v>
      </x:c>
      <x:c r="L566" s="22" t="n">
        <x:v>12.335714285714285</x:v>
      </x:c>
      <x:c r="M566" s="22" t="n">
        <x:v>12.634285714285713</x:v>
      </x:c>
      <x:c r="N566" s="22" t="n">
        <x:v>4.211428571428572</x:v>
      </x:c>
      <x:c r="O566" s="22" t="n">
        <x:v>17.5</x:v>
      </x:c>
      <x:c r="P566" s="24" t="n">
        <x:v>4</x:v>
      </x:c>
      <x:c r="Q566" s="22" t="str">
        <x:v>["S0825"]</x:v>
      </x:c>
      <x:c r="R566" s="22" t="str">
        <x:v>evidence/student_evidence.jsonl；student_key=2026春:250845</x:v>
      </x:c>
      <x:c r="S566" s="27" t="str">
        <x:v>同一锚点起止1条：未形成独立重复测量。</x:v>
      </x:c>
    </x:row>
    <x:row r="567" ht="23" customHeight="1">
      <x:c r="A567" s="21" t="str">
        <x:v>严格基线调整</x:v>
      </x:c>
      <x:c r="B567" s="22" t="str">
        <x:v>质量导向型（教学诊断对照）</x:v>
      </x:c>
      <x:c r="C567" s="22" t="str">
        <x:v>后20%</x:v>
      </x:c>
      <x:c r="D567" s="22" t="str">
        <x:v>严格进入</x:v>
      </x:c>
      <x:c r="E567" s="22" t="str">
        <x:v>2026春:268498</x:v>
      </x:c>
      <x:c r="F567" s="22" t="str">
        <x:v>s3</x:v>
      </x:c>
      <x:c r="G567" s="26" t="n">
        <x:v>142</x:v>
      </x:c>
      <x:c r="H567" s="25" t="n">
        <x:v>46.29776098426195</x:v>
      </x:c>
      <x:c r="I567" s="24" t="n">
        <x:v>1</x:v>
      </x:c>
      <x:c r="J567" s="24" t="n">
        <x:v>1</x:v>
      </x:c>
      <x:c r="K567" s="22" t="str">
        <x:v>是</x:v>
      </x:c>
      <x:c r="L567" s="22" t="n">
        <x:v>12.489988167537721</x:v>
      </x:c>
      <x:c r="M567" s="22" t="n">
        <x:v>14.85582961254317</x:v>
      </x:c>
      <x:c r="N567" s="22" t="n">
        <x:v>4.951943204181057</x:v>
      </x:c>
      <x:c r="O567" s="22" t="n">
        <x:v>14</x:v>
      </x:c>
      <x:c r="P567" s="24" t="n">
        <x:v>4</x:v>
      </x:c>
      <x:c r="Q567" s="22" t="str">
        <x:v>["S1207"]</x:v>
      </x:c>
      <x:c r="R567" s="22" t="str">
        <x:v>evidence/student_evidence.jsonl；student_key=2026春:268498</x:v>
      </x:c>
      <x:c r="S567" s="27" t="str"/>
    </x:row>
    <x:row r="568" ht="23" customHeight="1">
      <x:c r="A568" s="21" t="str">
        <x:v>严格基线调整</x:v>
      </x:c>
      <x:c r="B568" s="22" t="str">
        <x:v>质量导向型（教学诊断对照）</x:v>
      </x:c>
      <x:c r="C568" s="22" t="str">
        <x:v>后20%</x:v>
      </x:c>
      <x:c r="D568" s="22" t="str">
        <x:v>严格进入</x:v>
      </x:c>
      <x:c r="E568" s="22" t="str">
        <x:v>2026春:268135</x:v>
      </x:c>
      <x:c r="F568" s="22" t="str">
        <x:v>s3</x:v>
      </x:c>
      <x:c r="G568" s="26" t="n">
        <x:v>143</x:v>
      </x:c>
      <x:c r="H568" s="25" t="n">
        <x:v>45.499933899041125</x:v>
      </x:c>
      <x:c r="I568" s="24" t="n">
        <x:v>1</x:v>
      </x:c>
      <x:c r="J568" s="24" t="n">
        <x:v>1</x:v>
      </x:c>
      <x:c r="K568" s="22" t="str">
        <x:v>是</x:v>
      </x:c>
      <x:c r="L568" s="22" t="n">
        <x:v>12.710392767279263</x:v>
      </x:c>
      <x:c r="M568" s="22" t="n">
        <x:v>18.029655848821395</x:v>
      </x:c>
      <x:c r="N568" s="22" t="n">
        <x:v>6.009885282940465</x:v>
      </x:c>
      <x:c r="O568" s="22" t="n">
        <x:v>8.75</x:v>
      </x:c>
      <x:c r="P568" s="24" t="n">
        <x:v>4</x:v>
      </x:c>
      <x:c r="Q568" s="22" t="str">
        <x:v>["S0948"]</x:v>
      </x:c>
      <x:c r="R568" s="22" t="str">
        <x:v>evidence/student_evidence.jsonl；student_key=2026春:268135</x:v>
      </x:c>
      <x:c r="S568" s="27" t="str"/>
    </x:row>
    <x:row r="569" ht="23" customHeight="1">
      <x:c r="A569" s="21" t="str">
        <x:v>严格基线调整</x:v>
      </x:c>
      <x:c r="B569" s="22" t="str">
        <x:v>质量导向型（教学诊断对照）</x:v>
      </x:c>
      <x:c r="C569" s="22" t="str">
        <x:v>后20%</x:v>
      </x:c>
      <x:c r="D569" s="22" t="str">
        <x:v>严格进入</x:v>
      </x:c>
      <x:c r="E569" s="22" t="str">
        <x:v>2026春:268130</x:v>
      </x:c>
      <x:c r="F569" s="22" t="str">
        <x:v>s3</x:v>
      </x:c>
      <x:c r="G569" s="26" t="n">
        <x:v>144</x:v>
      </x:c>
      <x:c r="H569" s="25" t="n">
        <x:v>44.80186888024879</x:v>
      </x:c>
      <x:c r="I569" s="24" t="n">
        <x:v>1</x:v>
      </x:c>
      <x:c r="J569" s="24" t="n">
        <x:v>1</x:v>
      </x:c>
      <x:c r="K569" s="22" t="str">
        <x:v>是</x:v>
      </x:c>
      <x:c r="L569" s="22" t="n">
        <x:v>12.53144565413773</x:v>
      </x:c>
      <x:c r="M569" s="22" t="n">
        <x:v>15.452817419583297</x:v>
      </x:c>
      <x:c r="N569" s="22" t="n">
        <x:v>5.1509391398611</x:v>
      </x:c>
      <x:c r="O569" s="22" t="n">
        <x:v>11.666666666666664</x:v>
      </x:c>
      <x:c r="P569" s="24" t="n">
        <x:v>4</x:v>
      </x:c>
      <x:c r="Q569" s="22" t="str">
        <x:v>["S0938"]</x:v>
      </x:c>
      <x:c r="R569" s="22" t="str">
        <x:v>evidence/student_evidence.jsonl；student_key=2026春:268130</x:v>
      </x:c>
      <x:c r="S569" s="27" t="str"/>
    </x:row>
    <x:row r="570" ht="23" customHeight="1">
      <x:c r="A570" s="21" t="str">
        <x:v>严格基线调整</x:v>
      </x:c>
      <x:c r="B570" s="22" t="str">
        <x:v>质量导向型（教学诊断对照）</x:v>
      </x:c>
      <x:c r="C570" s="22" t="str">
        <x:v>后20%</x:v>
      </x:c>
      <x:c r="D570" s="22" t="str">
        <x:v>严格进入</x:v>
      </x:c>
      <x:c r="E570" s="22" t="str">
        <x:v>2026春:268133</x:v>
      </x:c>
      <x:c r="F570" s="22" t="str">
        <x:v>s3</x:v>
      </x:c>
      <x:c r="G570" s="26" t="n">
        <x:v>145</x:v>
      </x:c>
      <x:c r="H570" s="25" t="n">
        <x:v>41.114119342654355</x:v>
      </x:c>
      <x:c r="I570" s="24" t="n">
        <x:v>1</x:v>
      </x:c>
      <x:c r="J570" s="24" t="n">
        <x:v>1</x:v>
      </x:c>
      <x:c r="K570" s="22" t="str">
        <x:v>是</x:v>
      </x:c>
      <x:c r="L570" s="22" t="n">
        <x:v>12.49327323478487</x:v>
      </x:c>
      <x:c r="M570" s="22" t="n">
        <x:v>14.903134580902117</x:v>
      </x:c>
      <x:c r="N570" s="22" t="n">
        <x:v>4.967711526967373</x:v>
      </x:c>
      <x:c r="O570" s="22" t="n">
        <x:v>8.75</x:v>
      </x:c>
      <x:c r="P570" s="24" t="n">
        <x:v>4</x:v>
      </x:c>
      <x:c r="Q570" s="22" t="str">
        <x:v>["S0944"]</x:v>
      </x:c>
      <x:c r="R570" s="22" t="str">
        <x:v>evidence/student_evidence.jsonl；student_key=2026春:268133</x:v>
      </x:c>
      <x:c r="S570" s="27" t="str"/>
    </x:row>
    <x:row r="571" ht="23" customHeight="1">
      <x:c r="A571" s="21" t="str">
        <x:v>严格基线调整</x:v>
      </x:c>
      <x:c r="B571" s="22" t="str">
        <x:v>质量导向型（教学诊断对照）</x:v>
      </x:c>
      <x:c r="C571" s="22" t="str">
        <x:v>后20%</x:v>
      </x:c>
      <x:c r="D571" s="22" t="str">
        <x:v>严格进入</x:v>
      </x:c>
      <x:c r="E571" s="22" t="str">
        <x:v>2026春:250868</x:v>
      </x:c>
      <x:c r="F571" s="22" t="str">
        <x:v>s3</x:v>
      </x:c>
      <x:c r="G571" s="26" t="n">
        <x:v>146</x:v>
      </x:c>
      <x:c r="H571" s="25" t="n">
        <x:v>40.96446668981534</x:v>
      </x:c>
      <x:c r="I571" s="24" t="n">
        <x:v>1</x:v>
      </x:c>
      <x:c r="J571" s="24" t="n">
        <x:v>1</x:v>
      </x:c>
      <x:c r="K571" s="22" t="str">
        <x:v>是</x:v>
      </x:c>
      <x:c r="L571" s="22" t="n">
        <x:v>12.48586468761462</x:v>
      </x:c>
      <x:c r="M571" s="22" t="n">
        <x:v>14.796451501650532</x:v>
      </x:c>
      <x:c r="N571" s="22" t="n">
        <x:v>4.932150500550178</x:v>
      </x:c>
      <x:c r="O571" s="22" t="n">
        <x:v>8.75</x:v>
      </x:c>
      <x:c r="P571" s="24" t="n">
        <x:v>4</x:v>
      </x:c>
      <x:c r="Q571" s="22" t="str">
        <x:v>["S0828"]</x:v>
      </x:c>
      <x:c r="R571" s="22" t="str">
        <x:v>evidence/student_evidence.jsonl；student_key=2026春:250868</x:v>
      </x:c>
      <x:c r="S571" s="27" t="str"/>
    </x:row>
    <x:row r="572" ht="48" customHeight="1">
      <x:c r="A572" s="21" t="str">
        <x:v>严格基线调整</x:v>
      </x:c>
      <x:c r="B572" s="22" t="str">
        <x:v>分组熵权型</x:v>
      </x:c>
      <x:c r="C572" s="22" t="str">
        <x:v>前20%</x:v>
      </x:c>
      <x:c r="D572" s="22" t="str">
        <x:v>严格进入</x:v>
      </x:c>
      <x:c r="E572" s="22" t="str">
        <x:v>2025秋:259329</x:v>
      </x:c>
      <x:c r="F572" s="22" t="str">
        <x:v>s6</x:v>
      </x:c>
      <x:c r="G572" s="26" t="n">
        <x:v>1</x:v>
      </x:c>
      <x:c r="H572" s="25" t="n">
        <x:v>87.39790684581695</x:v>
      </x:c>
      <x:c r="I572" s="24" t="n">
        <x:v>1</x:v>
      </x:c>
      <x:c r="J572" s="24" t="n">
        <x:v>1</x:v>
      </x:c>
      <x:c r="K572" s="22" t="str">
        <x:v>是</x:v>
      </x:c>
      <x:c r="L572" s="22" t="n">
        <x:v>0.1468965499147326</x:v>
      </x:c>
      <x:c r="M572" s="22" t="n">
        <x:v>28.498750223076584</x:v>
      </x:c>
      <x:c r="N572" s="22" t="n">
        <x:v>28.752260072825628</x:v>
      </x:c>
      <x:c r="O572" s="22" t="n">
        <x:v>30</x:v>
      </x:c>
      <x:c r="P572" s="24" t="n">
        <x:v>4</x:v>
      </x:c>
      <x:c r="Q572" s="22" t="str">
        <x:v>["S0112"]</x:v>
      </x:c>
      <x:c r="R572" s="22" t="str">
        <x:v>evidence/student_evidence.jsonl；student_key=2025秋:259329</x:v>
      </x:c>
      <x:c r="S572" s="27" t="str">
        <x:v>S0112库存案例为文字框架，未见完整方程、求解及验证；L6构造要求需复核。</x:v>
      </x:c>
    </x:row>
    <x:row r="573" ht="48" customHeight="1">
      <x:c r="A573" s="21" t="str">
        <x:v>严格基线调整</x:v>
      </x:c>
      <x:c r="B573" s="22" t="str">
        <x:v>分组熵权型</x:v>
      </x:c>
      <x:c r="C573" s="22" t="str">
        <x:v>前20%</x:v>
      </x:c>
      <x:c r="D573" s="22" t="str">
        <x:v>严格进入</x:v>
      </x:c>
      <x:c r="E573" s="22" t="str">
        <x:v>2025秋:259869</x:v>
      </x:c>
      <x:c r="F573" s="22" t="str">
        <x:v>s6</x:v>
      </x:c>
      <x:c r="G573" s="26" t="n">
        <x:v>2</x:v>
      </x:c>
      <x:c r="H573" s="25" t="n">
        <x:v>79.3723440309023</x:v>
      </x:c>
      <x:c r="I573" s="24" t="n">
        <x:v>1</x:v>
      </x:c>
      <x:c r="J573" s="24" t="n">
        <x:v>1</x:v>
      </x:c>
      <x:c r="K573" s="22" t="str">
        <x:v>是</x:v>
      </x:c>
      <x:c r="L573" s="22" t="n">
        <x:v>0.1492204421797008</x:v>
      </x:c>
      <x:c r="M573" s="22" t="n">
        <x:v>31.969370465970393</x:v>
      </x:c>
      <x:c r="N573" s="22" t="n">
        <x:v>32.2537531227522</x:v>
      </x:c>
      <x:c r="O573" s="22" t="n">
        <x:v>15</x:v>
      </x:c>
      <x:c r="P573" s="24" t="n">
        <x:v>2</x:v>
      </x:c>
      <x:c r="Q573" s="22" t="str">
        <x:v>["S0220"]</x:v>
      </x:c>
      <x:c r="R573" s="22" t="str">
        <x:v>evidence/student_evidence.jsonl；student_key=2025秋:259869</x:v>
      </x:c>
      <x:c r="S573" s="27" t="str">
        <x:v>S0220 L1→L6。高点为无人机局部方案，未见独立求解及最优性验证；L6充分性待复核。</x:v>
      </x:c>
    </x:row>
    <x:row r="574" ht="23" customHeight="1">
      <x:c r="A574" s="21" t="str">
        <x:v>严格基线调整</x:v>
      </x:c>
      <x:c r="B574" s="22" t="str">
        <x:v>分组熵权型</x:v>
      </x:c>
      <x:c r="C574" s="22" t="str">
        <x:v>前20%</x:v>
      </x:c>
      <x:c r="D574" s="22" t="str">
        <x:v>严格进入</x:v>
      </x:c>
      <x:c r="E574" s="22" t="str">
        <x:v>2025秋:258902</x:v>
      </x:c>
      <x:c r="F574" s="22" t="str">
        <x:v>s3</x:v>
      </x:c>
      <x:c r="G574" s="26" t="n">
        <x:v>3.5</x:v>
      </x:c>
      <x:c r="H574" s="25" t="n">
        <x:v>77.75888240233755</x:v>
      </x:c>
      <x:c r="I574" s="24" t="n">
        <x:v>1</x:v>
      </x:c>
      <x:c r="J574" s="24" t="n">
        <x:v>1</x:v>
      </x:c>
      <x:c r="K574" s="22" t="str">
        <x:v>是</x:v>
      </x:c>
      <x:c r="L574" s="22" t="n">
        <x:v>0.1436848134331219</x:v>
      </x:c>
      <x:c r="M574" s="22" t="n">
        <x:v>23.70217775887445</x:v>
      </x:c>
      <x:c r="N574" s="22" t="n">
        <x:v>23.913019830029974</x:v>
      </x:c>
      <x:c r="O574" s="22" t="n">
        <x:v>30</x:v>
      </x:c>
      <x:c r="P574" s="24" t="n">
        <x:v>4</x:v>
      </x:c>
      <x:c r="Q574" s="22" t="str">
        <x:v>["S0149"]</x:v>
      </x:c>
      <x:c r="R574" s="22" t="str">
        <x:v>evidence/student_evidence.jsonl；student_key=2025秋:258902</x:v>
      </x:c>
      <x:c r="S574" s="27" t="str"/>
    </x:row>
    <x:row r="575" ht="23" customHeight="1">
      <x:c r="A575" s="21" t="str">
        <x:v>严格基线调整</x:v>
      </x:c>
      <x:c r="B575" s="22" t="str">
        <x:v>分组熵权型</x:v>
      </x:c>
      <x:c r="C575" s="22" t="str">
        <x:v>前20%</x:v>
      </x:c>
      <x:c r="D575" s="22" t="str">
        <x:v>严格进入</x:v>
      </x:c>
      <x:c r="E575" s="22" t="str">
        <x:v>2025秋:259407</x:v>
      </x:c>
      <x:c r="F575" s="22" t="str">
        <x:v>s3</x:v>
      </x:c>
      <x:c r="G575" s="26" t="n">
        <x:v>3.5</x:v>
      </x:c>
      <x:c r="H575" s="25" t="n">
        <x:v>77.75888240233755</x:v>
      </x:c>
      <x:c r="I575" s="24" t="n">
        <x:v>1</x:v>
      </x:c>
      <x:c r="J575" s="24" t="n">
        <x:v>1</x:v>
      </x:c>
      <x:c r="K575" s="22" t="str">
        <x:v>是</x:v>
      </x:c>
      <x:c r="L575" s="22" t="n">
        <x:v>0.1436848134331219</x:v>
      </x:c>
      <x:c r="M575" s="22" t="n">
        <x:v>23.70217775887445</x:v>
      </x:c>
      <x:c r="N575" s="22" t="n">
        <x:v>23.913019830029974</x:v>
      </x:c>
      <x:c r="O575" s="22" t="n">
        <x:v>30</x:v>
      </x:c>
      <x:c r="P575" s="24" t="n">
        <x:v>4</x:v>
      </x:c>
      <x:c r="Q575" s="22" t="str">
        <x:v>["S0036"]</x:v>
      </x:c>
      <x:c r="R575" s="22" t="str">
        <x:v>evidence/student_evidence.jsonl；student_key=2025秋:259407</x:v>
      </x:c>
      <x:c r="S575" s="27" t="str"/>
    </x:row>
    <x:row r="576" ht="23" customHeight="1">
      <x:c r="A576" s="21" t="str">
        <x:v>严格基线调整</x:v>
      </x:c>
      <x:c r="B576" s="22" t="str">
        <x:v>分组熵权型</x:v>
      </x:c>
      <x:c r="C576" s="22" t="str">
        <x:v>前20%</x:v>
      </x:c>
      <x:c r="D576" s="22" t="str">
        <x:v>严格进入</x:v>
      </x:c>
      <x:c r="E576" s="22" t="str">
        <x:v>2025秋:259021</x:v>
      </x:c>
      <x:c r="F576" s="22" t="str">
        <x:v>s3</x:v>
      </x:c>
      <x:c r="G576" s="26" t="n">
        <x:v>5.5</x:v>
      </x:c>
      <x:c r="H576" s="25" t="n">
        <x:v>77.53003439524417</x:v>
      </x:c>
      <x:c r="I576" s="24" t="n">
        <x:v>1</x:v>
      </x:c>
      <x:c r="J576" s="24" t="n">
        <x:v>1</x:v>
      </x:c>
      <x:c r="K576" s="22" t="str">
        <x:v>是</x:v>
      </x:c>
      <x:c r="L576" s="22" t="n">
        <x:v>0.14360856095576424</x:v>
      </x:c>
      <x:c r="M576" s="22" t="n">
        <x:v>23.58829838697866</x:v>
      </x:c>
      <x:c r="N576" s="22" t="n">
        <x:v>23.79812744730975</x:v>
      </x:c>
      <x:c r="O576" s="22" t="n">
        <x:v>30</x:v>
      </x:c>
      <x:c r="P576" s="24" t="n">
        <x:v>4</x:v>
      </x:c>
      <x:c r="Q576" s="22" t="str">
        <x:v>["S0464"]</x:v>
      </x:c>
      <x:c r="R576" s="22" t="str">
        <x:v>evidence/student_evidence.jsonl；student_key=2025秋:259021</x:v>
      </x:c>
      <x:c r="S576" s="27" t="str"/>
    </x:row>
    <x:row r="577" ht="23" customHeight="1">
      <x:c r="A577" s="21" t="str">
        <x:v>严格基线调整</x:v>
      </x:c>
      <x:c r="B577" s="22" t="str">
        <x:v>分组熵权型</x:v>
      </x:c>
      <x:c r="C577" s="22" t="str">
        <x:v>前20%</x:v>
      </x:c>
      <x:c r="D577" s="22" t="str">
        <x:v>严格进入</x:v>
      </x:c>
      <x:c r="E577" s="22" t="str">
        <x:v>2025秋:25A081</x:v>
      </x:c>
      <x:c r="F577" s="22" t="str">
        <x:v>s3</x:v>
      </x:c>
      <x:c r="G577" s="26" t="n">
        <x:v>5.5</x:v>
      </x:c>
      <x:c r="H577" s="25" t="n">
        <x:v>77.53003439524417</x:v>
      </x:c>
      <x:c r="I577" s="24" t="n">
        <x:v>1</x:v>
      </x:c>
      <x:c r="J577" s="24" t="n">
        <x:v>1</x:v>
      </x:c>
      <x:c r="K577" s="22" t="str">
        <x:v>是</x:v>
      </x:c>
      <x:c r="L577" s="22" t="n">
        <x:v>0.14360856095576424</x:v>
      </x:c>
      <x:c r="M577" s="22" t="n">
        <x:v>23.58829838697866</x:v>
      </x:c>
      <x:c r="N577" s="22" t="n">
        <x:v>23.79812744730975</x:v>
      </x:c>
      <x:c r="O577" s="22" t="n">
        <x:v>30</x:v>
      </x:c>
      <x:c r="P577" s="24" t="n">
        <x:v>4</x:v>
      </x:c>
      <x:c r="Q577" s="22" t="str">
        <x:v>["S0411"]</x:v>
      </x:c>
      <x:c r="R577" s="22" t="str">
        <x:v>evidence/student_evidence.jsonl；student_key=2025秋:25A081</x:v>
      </x:c>
      <x:c r="S577" s="27" t="str"/>
    </x:row>
    <x:row r="578" ht="23" customHeight="1">
      <x:c r="A578" s="21" t="str">
        <x:v>严格基线调整</x:v>
      </x:c>
      <x:c r="B578" s="22" t="str">
        <x:v>分组熵权型</x:v>
      </x:c>
      <x:c r="C578" s="22" t="str">
        <x:v>前20%</x:v>
      </x:c>
      <x:c r="D578" s="22" t="str">
        <x:v>严格进入</x:v>
      </x:c>
      <x:c r="E578" s="22" t="str">
        <x:v>2025秋:259961</x:v>
      </x:c>
      <x:c r="F578" s="22" t="str">
        <x:v>s3</x:v>
      </x:c>
      <x:c r="G578" s="26" t="n">
        <x:v>7</x:v>
      </x:c>
      <x:c r="H578" s="25" t="n">
        <x:v>77.42419101763063</x:v>
      </x:c>
      <x:c r="I578" s="24" t="n">
        <x:v>1</x:v>
      </x:c>
      <x:c r="J578" s="24" t="n">
        <x:v>1</x:v>
      </x:c>
      <x:c r="K578" s="22" t="str">
        <x:v>是</x:v>
      </x:c>
      <x:c r="L578" s="22" t="n">
        <x:v>0.14357329379369702</x:v>
      </x:c>
      <x:c r="M578" s="22" t="n">
        <x:v>23.53562859310521</x:v>
      </x:c>
      <x:c r="N578" s="22" t="n">
        <x:v>23.744989130731735</x:v>
      </x:c>
      <x:c r="O578" s="22" t="n">
        <x:v>30</x:v>
      </x:c>
      <x:c r="P578" s="24" t="n">
        <x:v>4</x:v>
      </x:c>
      <x:c r="Q578" s="22" t="str">
        <x:v>["S0296"]</x:v>
      </x:c>
      <x:c r="R578" s="22" t="str">
        <x:v>evidence/student_evidence.jsonl；student_key=2025秋:259961</x:v>
      </x:c>
      <x:c r="S578" s="27" t="str"/>
    </x:row>
    <x:row r="579" ht="23" customHeight="1">
      <x:c r="A579" s="21" t="str">
        <x:v>严格基线调整</x:v>
      </x:c>
      <x:c r="B579" s="22" t="str">
        <x:v>分组熵权型</x:v>
      </x:c>
      <x:c r="C579" s="22" t="str">
        <x:v>前20%</x:v>
      </x:c>
      <x:c r="D579" s="22" t="str">
        <x:v>严格进入</x:v>
      </x:c>
      <x:c r="E579" s="22" t="str">
        <x:v>2025秋:25A134</x:v>
      </x:c>
      <x:c r="F579" s="22" t="str">
        <x:v>s3</x:v>
      </x:c>
      <x:c r="G579" s="26" t="n">
        <x:v>8</x:v>
      </x:c>
      <x:c r="H579" s="25" t="n">
        <x:v>77.23565568923088</x:v>
      </x:c>
      <x:c r="I579" s="24" t="n">
        <x:v>1</x:v>
      </x:c>
      <x:c r="J579" s="24" t="n">
        <x:v>1</x:v>
      </x:c>
      <x:c r="K579" s="22" t="str">
        <x:v>是</x:v>
      </x:c>
      <x:c r="L579" s="22" t="n">
        <x:v>0.14351047355749524</x:v>
      </x:c>
      <x:c r="M579" s="22" t="n">
        <x:v>23.4418096210677</x:v>
      </x:c>
      <x:c r="N579" s="22" t="n">
        <x:v>23.650335594605675</x:v>
      </x:c>
      <x:c r="O579" s="22" t="n">
        <x:v>30</x:v>
      </x:c>
      <x:c r="P579" s="24" t="n">
        <x:v>4</x:v>
      </x:c>
      <x:c r="Q579" s="22" t="str">
        <x:v>["S0311"]</x:v>
      </x:c>
      <x:c r="R579" s="22" t="str">
        <x:v>evidence/student_evidence.jsonl；student_key=2025秋:25A134</x:v>
      </x:c>
      <x:c r="S579" s="27" t="str"/>
    </x:row>
    <x:row r="580" ht="23" customHeight="1">
      <x:c r="A580" s="21" t="str">
        <x:v>严格基线调整</x:v>
      </x:c>
      <x:c r="B580" s="22" t="str">
        <x:v>分组熵权型</x:v>
      </x:c>
      <x:c r="C580" s="22" t="str">
        <x:v>前20%</x:v>
      </x:c>
      <x:c r="D580" s="22" t="str">
        <x:v>严格进入</x:v>
      </x:c>
      <x:c r="E580" s="22" t="str">
        <x:v>2025秋:258878</x:v>
      </x:c>
      <x:c r="F580" s="22" t="str">
        <x:v>s3</x:v>
      </x:c>
      <x:c r="G580" s="26" t="n">
        <x:v>9.5</x:v>
      </x:c>
      <x:c r="H580" s="25" t="n">
        <x:v>77.21199743637588</x:v>
      </x:c>
      <x:c r="I580" s="24" t="n">
        <x:v>1</x:v>
      </x:c>
      <x:c r="J580" s="24" t="n">
        <x:v>1</x:v>
      </x:c>
      <x:c r="K580" s="22" t="str">
        <x:v>是</x:v>
      </x:c>
      <x:c r="L580" s="22" t="n">
        <x:v>0.1435025905944183</x:v>
      </x:c>
      <x:c r="M580" s="22" t="n">
        <x:v>23.430036798531475</x:v>
      </x:c>
      <x:c r="N580" s="22" t="n">
        <x:v>23.638458047249976</x:v>
      </x:c>
      <x:c r="O580" s="22" t="n">
        <x:v>30</x:v>
      </x:c>
      <x:c r="P580" s="24" t="n">
        <x:v>4</x:v>
      </x:c>
      <x:c r="Q580" s="22" t="str">
        <x:v>["S0364"]</x:v>
      </x:c>
      <x:c r="R580" s="22" t="str">
        <x:v>evidence/student_evidence.jsonl；student_key=2025秋:258878</x:v>
      </x:c>
      <x:c r="S580" s="27" t="str"/>
    </x:row>
    <x:row r="581" ht="23" customHeight="1">
      <x:c r="A581" s="21" t="str">
        <x:v>严格基线调整</x:v>
      </x:c>
      <x:c r="B581" s="22" t="str">
        <x:v>分组熵权型</x:v>
      </x:c>
      <x:c r="C581" s="22" t="str">
        <x:v>前20%</x:v>
      </x:c>
      <x:c r="D581" s="22" t="str">
        <x:v>严格进入</x:v>
      </x:c>
      <x:c r="E581" s="22" t="str">
        <x:v>2025秋:258888</x:v>
      </x:c>
      <x:c r="F581" s="22" t="str">
        <x:v>s3</x:v>
      </x:c>
      <x:c r="G581" s="26" t="n">
        <x:v>9.5</x:v>
      </x:c>
      <x:c r="H581" s="25" t="n">
        <x:v>77.21199743637588</x:v>
      </x:c>
      <x:c r="I581" s="24" t="n">
        <x:v>2</x:v>
      </x:c>
      <x:c r="J581" s="24" t="n">
        <x:v>1</x:v>
      </x:c>
      <x:c r="K581" s="22" t="str">
        <x:v>是</x:v>
      </x:c>
      <x:c r="L581" s="22" t="n">
        <x:v>0.1435025905944183</x:v>
      </x:c>
      <x:c r="M581" s="22" t="n">
        <x:v>23.430036798531475</x:v>
      </x:c>
      <x:c r="N581" s="22" t="n">
        <x:v>23.638458047249976</x:v>
      </x:c>
      <x:c r="O581" s="22" t="n">
        <x:v>30</x:v>
      </x:c>
      <x:c r="P581" s="24" t="n">
        <x:v>4</x:v>
      </x:c>
      <x:c r="Q581" s="22" t="str">
        <x:v>["S0190","S0365"]</x:v>
      </x:c>
      <x:c r="R581" s="22" t="str">
        <x:v>evidence/student_evidence.jsonl；student_key=2025秋:258888</x:v>
      </x:c>
      <x:c r="S581" s="27" t="str"/>
    </x:row>
    <x:row r="582" ht="23" customHeight="1">
      <x:c r="A582" s="21" t="str">
        <x:v>严格基线调整</x:v>
      </x:c>
      <x:c r="B582" s="22" t="str">
        <x:v>分组熵权型</x:v>
      </x:c>
      <x:c r="C582" s="22" t="str">
        <x:v>前20%</x:v>
      </x:c>
      <x:c r="D582" s="22" t="str">
        <x:v>严格进入</x:v>
      </x:c>
      <x:c r="E582" s="22" t="str">
        <x:v>2025秋:258988</x:v>
      </x:c>
      <x:c r="F582" s="22" t="str">
        <x:v>s3</x:v>
      </x:c>
      <x:c r="G582" s="26" t="n">
        <x:v>11</x:v>
      </x:c>
      <x:c r="H582" s="25" t="n">
        <x:v>77.07864957041708</x:v>
      </x:c>
      <x:c r="I582" s="24" t="n">
        <x:v>1</x:v>
      </x:c>
      <x:c r="J582" s="24" t="n">
        <x:v>1</x:v>
      </x:c>
      <x:c r="K582" s="22" t="str">
        <x:v>是</x:v>
      </x:c>
      <x:c r="L582" s="22" t="n">
        <x:v>0.14345815889820715</x:v>
      </x:c>
      <x:c r="M582" s="22" t="n">
        <x:v>23.363680217969968</x:v>
      </x:c>
      <x:c r="N582" s="22" t="n">
        <x:v>23.5715111935489</x:v>
      </x:c>
      <x:c r="O582" s="22" t="n">
        <x:v>30</x:v>
      </x:c>
      <x:c r="P582" s="24" t="n">
        <x:v>4</x:v>
      </x:c>
      <x:c r="Q582" s="22" t="str">
        <x:v>["S0315"]</x:v>
      </x:c>
      <x:c r="R582" s="22" t="str">
        <x:v>evidence/student_evidence.jsonl；student_key=2025秋:258988</x:v>
      </x:c>
      <x:c r="S582" s="27" t="str"/>
    </x:row>
    <x:row r="583" ht="23" customHeight="1">
      <x:c r="A583" s="21" t="str">
        <x:v>严格基线调整</x:v>
      </x:c>
      <x:c r="B583" s="22" t="str">
        <x:v>分组熵权型</x:v>
      </x:c>
      <x:c r="C583" s="22" t="str">
        <x:v>前20%</x:v>
      </x:c>
      <x:c r="D583" s="22" t="str">
        <x:v>严格进入</x:v>
      </x:c>
      <x:c r="E583" s="22" t="str">
        <x:v>2025秋:259044</x:v>
      </x:c>
      <x:c r="F583" s="22" t="str">
        <x:v>s3</x:v>
      </x:c>
      <x:c r="G583" s="26" t="n">
        <x:v>12</x:v>
      </x:c>
      <x:c r="H583" s="25" t="n">
        <x:v>77.01875184456746</x:v>
      </x:c>
      <x:c r="I583" s="24" t="n">
        <x:v>1</x:v>
      </x:c>
      <x:c r="J583" s="24" t="n">
        <x:v>1</x:v>
      </x:c>
      <x:c r="K583" s="22" t="str">
        <x:v>是</x:v>
      </x:c>
      <x:c r="L583" s="22" t="n">
        <x:v>0.14343820089183373</x:v>
      </x:c>
      <x:c r="M583" s="22" t="n">
        <x:v>23.333873904668945</x:v>
      </x:c>
      <x:c r="N583" s="22" t="n">
        <x:v>23.541439739006687</x:v>
      </x:c>
      <x:c r="O583" s="22" t="n">
        <x:v>30</x:v>
      </x:c>
      <x:c r="P583" s="24" t="n">
        <x:v>4</x:v>
      </x:c>
      <x:c r="Q583" s="22" t="str">
        <x:v>["S0074"]</x:v>
      </x:c>
      <x:c r="R583" s="22" t="str">
        <x:v>evidence/student_evidence.jsonl；student_key=2025秋:259044</x:v>
      </x:c>
      <x:c r="S583" s="27" t="str"/>
    </x:row>
    <x:row r="584" ht="23" customHeight="1">
      <x:c r="A584" s="21" t="str">
        <x:v>严格基线调整</x:v>
      </x:c>
      <x:c r="B584" s="22" t="str">
        <x:v>分组熵权型</x:v>
      </x:c>
      <x:c r="C584" s="22" t="str">
        <x:v>前20%</x:v>
      </x:c>
      <x:c r="D584" s="22" t="str">
        <x:v>严格进入</x:v>
      </x:c>
      <x:c r="E584" s="22" t="str">
        <x:v>2025秋:258430</x:v>
      </x:c>
      <x:c r="F584" s="22" t="str">
        <x:v>s3</x:v>
      </x:c>
      <x:c r="G584" s="26" t="n">
        <x:v>13</x:v>
      </x:c>
      <x:c r="H584" s="25" t="n">
        <x:v>76.83678388143953</x:v>
      </x:c>
      <x:c r="I584" s="24" t="n">
        <x:v>1</x:v>
      </x:c>
      <x:c r="J584" s="24" t="n">
        <x:v>1</x:v>
      </x:c>
      <x:c r="K584" s="22" t="str">
        <x:v>是</x:v>
      </x:c>
      <x:c r="L584" s="22" t="n">
        <x:v>0.14258897258757666</x:v>
      </x:c>
      <x:c r="M584" s="22" t="n">
        <x:v>23.2437155378946</x:v>
      </x:c>
      <x:c r="N584" s="22" t="n">
        <x:v>23.45047937095735</x:v>
      </x:c>
      <x:c r="O584" s="22" t="n">
        <x:v>30</x:v>
      </x:c>
      <x:c r="P584" s="24" t="n">
        <x:v>4</x:v>
      </x:c>
      <x:c r="Q584" s="22" t="str">
        <x:v>["S0052"]</x:v>
      </x:c>
      <x:c r="R584" s="22" t="str">
        <x:v>evidence/student_evidence.jsonl；student_key=2025秋:258430</x:v>
      </x:c>
      <x:c r="S584" s="27" t="str"/>
    </x:row>
    <x:row r="585" ht="23" customHeight="1">
      <x:c r="A585" s="21" t="str">
        <x:v>严格基线调整</x:v>
      </x:c>
      <x:c r="B585" s="22" t="str">
        <x:v>分组熵权型</x:v>
      </x:c>
      <x:c r="C585" s="22" t="str">
        <x:v>前20%</x:v>
      </x:c>
      <x:c r="D585" s="22" t="str">
        <x:v>严格进入</x:v>
      </x:c>
      <x:c r="E585" s="22" t="str">
        <x:v>2025秋:258858</x:v>
      </x:c>
      <x:c r="F585" s="22" t="str">
        <x:v>s3</x:v>
      </x:c>
      <x:c r="G585" s="26" t="n">
        <x:v>14</x:v>
      </x:c>
      <x:c r="H585" s="25" t="n">
        <x:v>74.99454143017617</x:v>
      </x:c>
      <x:c r="I585" s="24" t="n">
        <x:v>2</x:v>
      </x:c>
      <x:c r="J585" s="24" t="n">
        <x:v>2</x:v>
      </x:c>
      <x:c r="K585" s="22" t="str">
        <x:v>是</x:v>
      </x:c>
      <x:c r="L585" s="22" t="n">
        <x:v>0.1450751327660329</x:v>
      </x:c>
      <x:c r="M585" s="22" t="n">
        <x:v>22.033907297933503</x:v>
      </x:c>
      <x:c r="N585" s="22" t="n">
        <x:v>22.815558999476643</x:v>
      </x:c>
      <x:c r="O585" s="22" t="n">
        <x:v>30</x:v>
      </x:c>
      <x:c r="P585" s="24" t="n">
        <x:v>4</x:v>
      </x:c>
      <x:c r="Q585" s="22" t="str">
        <x:v>["S0103","S0232"]</x:v>
      </x:c>
      <x:c r="R585" s="22" t="str">
        <x:v>evidence/student_evidence.jsonl；student_key=2025秋:258858</x:v>
      </x:c>
      <x:c r="S585" s="27" t="str"/>
    </x:row>
    <x:row r="586" ht="23" customHeight="1">
      <x:c r="A586" s="21" t="str">
        <x:v>严格基线调整</x:v>
      </x:c>
      <x:c r="B586" s="22" t="str">
        <x:v>分组熵权型</x:v>
      </x:c>
      <x:c r="C586" s="22" t="str">
        <x:v>前20%</x:v>
      </x:c>
      <x:c r="D586" s="22" t="str">
        <x:v>严格进入</x:v>
      </x:c>
      <x:c r="E586" s="22" t="str">
        <x:v>2025秋:259112</x:v>
      </x:c>
      <x:c r="F586" s="22" t="str">
        <x:v>s3</x:v>
      </x:c>
      <x:c r="G586" s="26" t="n">
        <x:v>15.5</x:v>
      </x:c>
      <x:c r="H586" s="25" t="n">
        <x:v>73.5455020618315</x:v>
      </x:c>
      <x:c r="I586" s="24" t="n">
        <x:v>1</x:v>
      </x:c>
      <x:c r="J586" s="24" t="n">
        <x:v>1</x:v>
      </x:c>
      <x:c r="K586" s="22" t="str">
        <x:v>是</x:v>
      </x:c>
      <x:c r="L586" s="22" t="n">
        <x:v>0.142280909186395</x:v>
      </x:c>
      <x:c r="M586" s="22" t="n">
        <x:v>21.605514943982083</x:v>
      </x:c>
      <x:c r="N586" s="22" t="n">
        <x:v>21.797706208663037</x:v>
      </x:c>
      <x:c r="O586" s="22" t="n">
        <x:v>30</x:v>
      </x:c>
      <x:c r="P586" s="24" t="n">
        <x:v>4</x:v>
      </x:c>
      <x:c r="Q586" s="22" t="str">
        <x:v>["S0204"]</x:v>
      </x:c>
      <x:c r="R586" s="22" t="str">
        <x:v>evidence/student_evidence.jsonl；student_key=2025秋:259112</x:v>
      </x:c>
      <x:c r="S586" s="27" t="str"/>
    </x:row>
    <x:row r="587" ht="23" customHeight="1">
      <x:c r="A587" s="21" t="str">
        <x:v>严格基线调整</x:v>
      </x:c>
      <x:c r="B587" s="22" t="str">
        <x:v>分组熵权型</x:v>
      </x:c>
      <x:c r="C587" s="22" t="str">
        <x:v>前20%</x:v>
      </x:c>
      <x:c r="D587" s="22" t="str">
        <x:v>严格进入</x:v>
      </x:c>
      <x:c r="E587" s="22" t="str">
        <x:v>2026春:268183</x:v>
      </x:c>
      <x:c r="F587" s="22" t="str">
        <x:v>s3</x:v>
      </x:c>
      <x:c r="G587" s="26" t="n">
        <x:v>15.5</x:v>
      </x:c>
      <x:c r="H587" s="25" t="n">
        <x:v>73.5455020618315</x:v>
      </x:c>
      <x:c r="I587" s="24" t="n">
        <x:v>1</x:v>
      </x:c>
      <x:c r="J587" s="24" t="n">
        <x:v>1</x:v>
      </x:c>
      <x:c r="K587" s="22" t="str">
        <x:v>是</x:v>
      </x:c>
      <x:c r="L587" s="22" t="n">
        <x:v>0.142280909186395</x:v>
      </x:c>
      <x:c r="M587" s="22" t="n">
        <x:v>21.605514943982083</x:v>
      </x:c>
      <x:c r="N587" s="22" t="n">
        <x:v>21.797706208663037</x:v>
      </x:c>
      <x:c r="O587" s="22" t="n">
        <x:v>30</x:v>
      </x:c>
      <x:c r="P587" s="24" t="n">
        <x:v>4</x:v>
      </x:c>
      <x:c r="Q587" s="22" t="str">
        <x:v>["S1051"]</x:v>
      </x:c>
      <x:c r="R587" s="22" t="str">
        <x:v>evidence/student_evidence.jsonl；student_key=2026春:268183</x:v>
      </x:c>
      <x:c r="S587" s="27" t="str"/>
    </x:row>
    <x:row r="588" ht="23" customHeight="1">
      <x:c r="A588" s="21" t="str">
        <x:v>严格基线调整</x:v>
      </x:c>
      <x:c r="B588" s="22" t="str">
        <x:v>分组熵权型</x:v>
      </x:c>
      <x:c r="C588" s="22" t="str">
        <x:v>前20%</x:v>
      </x:c>
      <x:c r="D588" s="22" t="str">
        <x:v>严格进入</x:v>
      </x:c>
      <x:c r="E588" s="22" t="str">
        <x:v>2025秋:258428</x:v>
      </x:c>
      <x:c r="F588" s="22" t="str">
        <x:v>s3</x:v>
      </x:c>
      <x:c r="G588" s="26" t="n">
        <x:v>18.5</x:v>
      </x:c>
      <x:c r="H588" s="25" t="n">
        <x:v>73.51467639011243</x:v>
      </x:c>
      <x:c r="I588" s="24" t="n">
        <x:v>1</x:v>
      </x:c>
      <x:c r="J588" s="24" t="n">
        <x:v>1</x:v>
      </x:c>
      <x:c r="K588" s="22" t="str">
        <x:v>是</x:v>
      </x:c>
      <x:c r="L588" s="22" t="n">
        <x:v>0.14227063802928663</x:v>
      </x:c>
      <x:c r="M588" s="22" t="n">
        <x:v>21.590175469637423</x:v>
      </x:c>
      <x:c r="N588" s="22" t="n">
        <x:v>21.782230282445713</x:v>
      </x:c>
      <x:c r="O588" s="22" t="n">
        <x:v>30</x:v>
      </x:c>
      <x:c r="P588" s="24" t="n">
        <x:v>4</x:v>
      </x:c>
      <x:c r="Q588" s="22" t="str">
        <x:v>["S0096"]</x:v>
      </x:c>
      <x:c r="R588" s="22" t="str">
        <x:v>evidence/student_evidence.jsonl；student_key=2025秋:258428</x:v>
      </x:c>
      <x:c r="S588" s="27" t="str"/>
    </x:row>
    <x:row r="589" ht="23" customHeight="1">
      <x:c r="A589" s="21" t="str">
        <x:v>严格基线调整</x:v>
      </x:c>
      <x:c r="B589" s="22" t="str">
        <x:v>分组熵权型</x:v>
      </x:c>
      <x:c r="C589" s="22" t="str">
        <x:v>前20%</x:v>
      </x:c>
      <x:c r="D589" s="22" t="str">
        <x:v>严格进入</x:v>
      </x:c>
      <x:c r="E589" s="22" t="str">
        <x:v>2025秋:258922</x:v>
      </x:c>
      <x:c r="F589" s="22" t="str">
        <x:v>s3</x:v>
      </x:c>
      <x:c r="G589" s="26" t="n">
        <x:v>18.5</x:v>
      </x:c>
      <x:c r="H589" s="25" t="n">
        <x:v>73.51467639011243</x:v>
      </x:c>
      <x:c r="I589" s="24" t="n">
        <x:v>1</x:v>
      </x:c>
      <x:c r="J589" s="24" t="n">
        <x:v>1</x:v>
      </x:c>
      <x:c r="K589" s="22" t="str">
        <x:v>是</x:v>
      </x:c>
      <x:c r="L589" s="22" t="n">
        <x:v>0.14227063802928663</x:v>
      </x:c>
      <x:c r="M589" s="22" t="n">
        <x:v>21.590175469637423</x:v>
      </x:c>
      <x:c r="N589" s="22" t="n">
        <x:v>21.782230282445713</x:v>
      </x:c>
      <x:c r="O589" s="22" t="n">
        <x:v>30</x:v>
      </x:c>
      <x:c r="P589" s="24" t="n">
        <x:v>4</x:v>
      </x:c>
      <x:c r="Q589" s="22" t="str">
        <x:v>["S0351"]</x:v>
      </x:c>
      <x:c r="R589" s="22" t="str">
        <x:v>evidence/student_evidence.jsonl；student_key=2025秋:258922</x:v>
      </x:c>
      <x:c r="S589" s="27" t="str"/>
    </x:row>
    <x:row r="590" ht="23" customHeight="1">
      <x:c r="A590" s="21" t="str">
        <x:v>严格基线调整</x:v>
      </x:c>
      <x:c r="B590" s="22" t="str">
        <x:v>分组熵权型</x:v>
      </x:c>
      <x:c r="C590" s="22" t="str">
        <x:v>前20%</x:v>
      </x:c>
      <x:c r="D590" s="22" t="str">
        <x:v>严格进入</x:v>
      </x:c>
      <x:c r="E590" s="22" t="str">
        <x:v>2025秋:259895</x:v>
      </x:c>
      <x:c r="F590" s="22" t="str">
        <x:v>s3</x:v>
      </x:c>
      <x:c r="G590" s="26" t="n">
        <x:v>18.5</x:v>
      </x:c>
      <x:c r="H590" s="25" t="n">
        <x:v>73.51467639011243</x:v>
      </x:c>
      <x:c r="I590" s="24" t="n">
        <x:v>1</x:v>
      </x:c>
      <x:c r="J590" s="24" t="n">
        <x:v>1</x:v>
      </x:c>
      <x:c r="K590" s="22" t="str">
        <x:v>是</x:v>
      </x:c>
      <x:c r="L590" s="22" t="n">
        <x:v>0.14227063802928663</x:v>
      </x:c>
      <x:c r="M590" s="22" t="n">
        <x:v>21.590175469637423</x:v>
      </x:c>
      <x:c r="N590" s="22" t="n">
        <x:v>21.782230282445713</x:v>
      </x:c>
      <x:c r="O590" s="22" t="n">
        <x:v>30</x:v>
      </x:c>
      <x:c r="P590" s="24" t="n">
        <x:v>4</x:v>
      </x:c>
      <x:c r="Q590" s="22" t="str">
        <x:v>["S0407"]</x:v>
      </x:c>
      <x:c r="R590" s="22" t="str">
        <x:v>evidence/student_evidence.jsonl；student_key=2025秋:259895</x:v>
      </x:c>
      <x:c r="S590" s="27" t="str"/>
    </x:row>
    <x:row r="591" ht="23" customHeight="1">
      <x:c r="A591" s="21" t="str">
        <x:v>严格基线调整</x:v>
      </x:c>
      <x:c r="B591" s="22" t="str">
        <x:v>分组熵权型</x:v>
      </x:c>
      <x:c r="C591" s="22" t="str">
        <x:v>前20%</x:v>
      </x:c>
      <x:c r="D591" s="22" t="str">
        <x:v>严格进入</x:v>
      </x:c>
      <x:c r="E591" s="22" t="str">
        <x:v>2026春:259443</x:v>
      </x:c>
      <x:c r="F591" s="22" t="str">
        <x:v>s3</x:v>
      </x:c>
      <x:c r="G591" s="26" t="n">
        <x:v>18.5</x:v>
      </x:c>
      <x:c r="H591" s="25" t="n">
        <x:v>73.51467639011243</x:v>
      </x:c>
      <x:c r="I591" s="24" t="n">
        <x:v>1</x:v>
      </x:c>
      <x:c r="J591" s="24" t="n">
        <x:v>1</x:v>
      </x:c>
      <x:c r="K591" s="22" t="str">
        <x:v>是</x:v>
      </x:c>
      <x:c r="L591" s="22" t="n">
        <x:v>0.14227063802928663</x:v>
      </x:c>
      <x:c r="M591" s="22" t="n">
        <x:v>21.590175469637423</x:v>
      </x:c>
      <x:c r="N591" s="22" t="n">
        <x:v>21.782230282445713</x:v>
      </x:c>
      <x:c r="O591" s="22" t="n">
        <x:v>30</x:v>
      </x:c>
      <x:c r="P591" s="24" t="n">
        <x:v>4</x:v>
      </x:c>
      <x:c r="Q591" s="22" t="str">
        <x:v>["S0850"]</x:v>
      </x:c>
      <x:c r="R591" s="22" t="str">
        <x:v>evidence/student_evidence.jsonl；student_key=2026春:259443</x:v>
      </x:c>
      <x:c r="S591" s="27" t="str"/>
    </x:row>
    <x:row r="592" ht="23" customHeight="1">
      <x:c r="A592" s="21" t="str">
        <x:v>严格基线调整</x:v>
      </x:c>
      <x:c r="B592" s="22" t="str">
        <x:v>分组熵权型</x:v>
      </x:c>
      <x:c r="C592" s="22" t="str">
        <x:v>前20%</x:v>
      </x:c>
      <x:c r="D592" s="22" t="str">
        <x:v>严格进入</x:v>
      </x:c>
      <x:c r="E592" s="22" t="str">
        <x:v>2025秋:25P025</x:v>
      </x:c>
      <x:c r="F592" s="22" t="str">
        <x:v>s3</x:v>
      </x:c>
      <x:c r="G592" s="26" t="n">
        <x:v>21</x:v>
      </x:c>
      <x:c r="H592" s="25" t="n">
        <x:v>73.4731648819114</x:v>
      </x:c>
      <x:c r="I592" s="24" t="n">
        <x:v>1</x:v>
      </x:c>
      <x:c r="J592" s="24" t="n">
        <x:v>1</x:v>
      </x:c>
      <x:c r="K592" s="22" t="str">
        <x:v>是</x:v>
      </x:c>
      <x:c r="L592" s="22" t="n">
        <x:v>0.1422568063364553</x:v>
      </x:c>
      <x:c r="M592" s="22" t="n">
        <x:v>21.569518508100277</x:v>
      </x:c>
      <x:c r="N592" s="22" t="n">
        <x:v>21.761389567474666</x:v>
      </x:c>
      <x:c r="O592" s="22" t="n">
        <x:v>30</x:v>
      </x:c>
      <x:c r="P592" s="24" t="n">
        <x:v>4</x:v>
      </x:c>
      <x:c r="Q592" s="22" t="str">
        <x:v>["S0130"]</x:v>
      </x:c>
      <x:c r="R592" s="22" t="str">
        <x:v>evidence/student_evidence.jsonl；student_key=2025秋:25P025</x:v>
      </x:c>
      <x:c r="S592" s="27" t="str"/>
    </x:row>
    <x:row r="593" ht="48" customHeight="1">
      <x:c r="A593" s="21" t="str">
        <x:v>严格基线调整</x:v>
      </x:c>
      <x:c r="B593" s="22" t="str">
        <x:v>分组熵权型</x:v>
      </x:c>
      <x:c r="C593" s="22" t="str">
        <x:v>前20%</x:v>
      </x:c>
      <x:c r="D593" s="22" t="str">
        <x:v>严格进入</x:v>
      </x:c>
      <x:c r="E593" s="22" t="str">
        <x:v>2025秋:258524</x:v>
      </x:c>
      <x:c r="F593" s="22" t="str">
        <x:v>s6</x:v>
      </x:c>
      <x:c r="G593" s="26" t="n">
        <x:v>22</x:v>
      </x:c>
      <x:c r="H593" s="25" t="n">
        <x:v>73.08384866595308</x:v>
      </x:c>
      <x:c r="I593" s="24" t="n">
        <x:v>1</x:v>
      </x:c>
      <x:c r="J593" s="24" t="n">
        <x:v>1</x:v>
      </x:c>
      <x:c r="K593" s="22" t="str">
        <x:v>是</x:v>
      </x:c>
      <x:c r="L593" s="22" t="n">
        <x:v>0.1455872026157277</x:v>
      </x:c>
      <x:c r="M593" s="22" t="n">
        <x:v>28.840854218447543</x:v>
      </x:c>
      <x:c r="N593" s="22" t="n">
        <x:v>29.09740724488982</x:v>
      </x:c>
      <x:c r="O593" s="22" t="n">
        <x:v>15</x:v>
      </x:c>
      <x:c r="P593" s="24" t="n">
        <x:v>2</x:v>
      </x:c>
      <x:c r="Q593" s="22" t="str">
        <x:v>["S0041"]</x:v>
      </x:c>
      <x:c r="R593" s="22" t="str">
        <x:v>evidence/student_evidence.jsonl；student_key=2025秋:258524</x:v>
      </x:c>
      <x:c r="S593" s="27" t="str">
        <x:v>S0041低起点仅“长得漂亮”，大增量对L1起点敏感；末端为概念解释，知识基础及独立掌握待核。</x:v>
      </x:c>
    </x:row>
    <x:row r="594" ht="23" customHeight="1">
      <x:c r="A594" s="21" t="str">
        <x:v>严格基线调整</x:v>
      </x:c>
      <x:c r="B594" s="22" t="str">
        <x:v>分组熵权型</x:v>
      </x:c>
      <x:c r="C594" s="22" t="str">
        <x:v>前20%</x:v>
      </x:c>
      <x:c r="D594" s="22" t="str">
        <x:v>严格进入</x:v>
      </x:c>
      <x:c r="E594" s="22" t="str">
        <x:v>2025秋:259043</x:v>
      </x:c>
      <x:c r="F594" s="22" t="str">
        <x:v>s3</x:v>
      </x:c>
      <x:c r="G594" s="26" t="n">
        <x:v>23</x:v>
      </x:c>
      <x:c r="H594" s="25" t="n">
        <x:v>73.0071656981799</x:v>
      </x:c>
      <x:c r="I594" s="24" t="n">
        <x:v>1</x:v>
      </x:c>
      <x:c r="J594" s="24" t="n">
        <x:v>1</x:v>
      </x:c>
      <x:c r="K594" s="22" t="str">
        <x:v>是</x:v>
      </x:c>
      <x:c r="L594" s="22" t="n">
        <x:v>0.14210153475398685</x:v>
      </x:c>
      <x:c r="M594" s="22" t="n">
        <x:v>21.337627940114515</x:v>
      </x:c>
      <x:c r="N594" s="22" t="n">
        <x:v>21.527436223311415</x:v>
      </x:c>
      <x:c r="O594" s="22" t="n">
        <x:v>30</x:v>
      </x:c>
      <x:c r="P594" s="24" t="n">
        <x:v>4</x:v>
      </x:c>
      <x:c r="Q594" s="22" t="str">
        <x:v>["S0066"]</x:v>
      </x:c>
      <x:c r="R594" s="22" t="str">
        <x:v>evidence/student_evidence.jsonl；student_key=2025秋:259043</x:v>
      </x:c>
      <x:c r="S594" s="27" t="str"/>
    </x:row>
    <x:row r="595" ht="23" customHeight="1">
      <x:c r="A595" s="21" t="str">
        <x:v>严格基线调整</x:v>
      </x:c>
      <x:c r="B595" s="22" t="str">
        <x:v>分组熵权型</x:v>
      </x:c>
      <x:c r="C595" s="22" t="str">
        <x:v>前20%</x:v>
      </x:c>
      <x:c r="D595" s="22" t="str">
        <x:v>严格进入</x:v>
      </x:c>
      <x:c r="E595" s="22" t="str">
        <x:v>2025秋:25A148</x:v>
      </x:c>
      <x:c r="F595" s="22" t="str">
        <x:v>s3</x:v>
      </x:c>
      <x:c r="G595" s="26" t="n">
        <x:v>24.5</x:v>
      </x:c>
      <x:c r="H595" s="25" t="n">
        <x:v>72.87774403872915</x:v>
      </x:c>
      <x:c r="I595" s="24" t="n">
        <x:v>1</x:v>
      </x:c>
      <x:c r="J595" s="24" t="n">
        <x:v>1</x:v>
      </x:c>
      <x:c r="K595" s="22" t="str">
        <x:v>是</x:v>
      </x:c>
      <x:c r="L595" s="22" t="n">
        <x:v>0.1420584112752981</x:v>
      </x:c>
      <x:c r="M595" s="22" t="n">
        <x:v>21.273225118891997</x:v>
      </x:c>
      <x:c r="N595" s="22" t="n">
        <x:v>21.462460508561858</x:v>
      </x:c>
      <x:c r="O595" s="22" t="n">
        <x:v>30</x:v>
      </x:c>
      <x:c r="P595" s="24" t="n">
        <x:v>4</x:v>
      </x:c>
      <x:c r="Q595" s="22" t="str">
        <x:v>["S0067"]</x:v>
      </x:c>
      <x:c r="R595" s="22" t="str">
        <x:v>evidence/student_evidence.jsonl；student_key=2025秋:25A148</x:v>
      </x:c>
      <x:c r="S595" s="27" t="str"/>
    </x:row>
    <x:row r="596" ht="23" customHeight="1">
      <x:c r="A596" s="21" t="str">
        <x:v>严格基线调整</x:v>
      </x:c>
      <x:c r="B596" s="22" t="str">
        <x:v>分组熵权型</x:v>
      </x:c>
      <x:c r="C596" s="22" t="str">
        <x:v>前20%</x:v>
      </x:c>
      <x:c r="D596" s="22" t="str">
        <x:v>严格进入</x:v>
      </x:c>
      <x:c r="E596" s="22" t="str">
        <x:v>2026春:268184</x:v>
      </x:c>
      <x:c r="F596" s="22" t="str">
        <x:v>s3</x:v>
      </x:c>
      <x:c r="G596" s="26" t="n">
        <x:v>24.5</x:v>
      </x:c>
      <x:c r="H596" s="25" t="n">
        <x:v>72.87774403872915</x:v>
      </x:c>
      <x:c r="I596" s="24" t="n">
        <x:v>1</x:v>
      </x:c>
      <x:c r="J596" s="24" t="n">
        <x:v>1</x:v>
      </x:c>
      <x:c r="K596" s="22" t="str">
        <x:v>是</x:v>
      </x:c>
      <x:c r="L596" s="22" t="n">
        <x:v>0.1420584112752981</x:v>
      </x:c>
      <x:c r="M596" s="22" t="n">
        <x:v>21.273225118891997</x:v>
      </x:c>
      <x:c r="N596" s="22" t="n">
        <x:v>21.462460508561858</x:v>
      </x:c>
      <x:c r="O596" s="22" t="n">
        <x:v>30</x:v>
      </x:c>
      <x:c r="P596" s="24" t="n">
        <x:v>4</x:v>
      </x:c>
      <x:c r="Q596" s="22" t="str">
        <x:v>["S1054"]</x:v>
      </x:c>
      <x:c r="R596" s="22" t="str">
        <x:v>evidence/student_evidence.jsonl；student_key=2026春:268184</x:v>
      </x:c>
      <x:c r="S596" s="27" t="str"/>
    </x:row>
    <x:row r="597" ht="23" customHeight="1">
      <x:c r="A597" s="21" t="str">
        <x:v>严格基线调整</x:v>
      </x:c>
      <x:c r="B597" s="22" t="str">
        <x:v>分组熵权型</x:v>
      </x:c>
      <x:c r="C597" s="22" t="str">
        <x:v>前20%</x:v>
      </x:c>
      <x:c r="D597" s="22" t="str">
        <x:v>严格进入</x:v>
      </x:c>
      <x:c r="E597" s="22" t="str">
        <x:v>2025秋:259016</x:v>
      </x:c>
      <x:c r="F597" s="22" t="str">
        <x:v>s3</x:v>
      </x:c>
      <x:c r="G597" s="26" t="n">
        <x:v>26.5</x:v>
      </x:c>
      <x:c r="H597" s="25" t="n">
        <x:v>72.77779995085578</x:v>
      </x:c>
      <x:c r="I597" s="24" t="n">
        <x:v>1</x:v>
      </x:c>
      <x:c r="J597" s="24" t="n">
        <x:v>1</x:v>
      </x:c>
      <x:c r="K597" s="22" t="str">
        <x:v>是</x:v>
      </x:c>
      <x:c r="L597" s="22" t="n">
        <x:v>0.1415069331632803</x:v>
      </x:c>
      <x:c r="M597" s="22" t="n">
        <x:v>21.22374887131194</x:v>
      </x:c>
      <x:c r="N597" s="22" t="n">
        <x:v>21.412544146380565</x:v>
      </x:c>
      <x:c r="O597" s="22" t="n">
        <x:v>30</x:v>
      </x:c>
      <x:c r="P597" s="24" t="n">
        <x:v>4</x:v>
      </x:c>
      <x:c r="Q597" s="22" t="str">
        <x:v>["S0203"]</x:v>
      </x:c>
      <x:c r="R597" s="22" t="str">
        <x:v>evidence/student_evidence.jsonl；student_key=2025秋:259016</x:v>
      </x:c>
      <x:c r="S597" s="27" t="str"/>
    </x:row>
    <x:row r="598" ht="23" customHeight="1">
      <x:c r="A598" s="21" t="str">
        <x:v>严格基线调整</x:v>
      </x:c>
      <x:c r="B598" s="22" t="str">
        <x:v>分组熵权型</x:v>
      </x:c>
      <x:c r="C598" s="22" t="str">
        <x:v>前20%</x:v>
      </x:c>
      <x:c r="D598" s="22" t="str">
        <x:v>严格进入</x:v>
      </x:c>
      <x:c r="E598" s="22" t="str">
        <x:v>2025秋:259024</x:v>
      </x:c>
      <x:c r="F598" s="22" t="str">
        <x:v>s3</x:v>
      </x:c>
      <x:c r="G598" s="26" t="n">
        <x:v>26.5</x:v>
      </x:c>
      <x:c r="H598" s="25" t="n">
        <x:v>72.77779995085578</x:v>
      </x:c>
      <x:c r="I598" s="24" t="n">
        <x:v>1</x:v>
      </x:c>
      <x:c r="J598" s="24" t="n">
        <x:v>1</x:v>
      </x:c>
      <x:c r="K598" s="22" t="str">
        <x:v>是</x:v>
      </x:c>
      <x:c r="L598" s="22" t="n">
        <x:v>0.1415069331632803</x:v>
      </x:c>
      <x:c r="M598" s="22" t="n">
        <x:v>21.22374887131194</x:v>
      </x:c>
      <x:c r="N598" s="22" t="n">
        <x:v>21.412544146380565</x:v>
      </x:c>
      <x:c r="O598" s="22" t="n">
        <x:v>30</x:v>
      </x:c>
      <x:c r="P598" s="24" t="n">
        <x:v>4</x:v>
      </x:c>
      <x:c r="Q598" s="22" t="str">
        <x:v>["S0359"]</x:v>
      </x:c>
      <x:c r="R598" s="22" t="str">
        <x:v>evidence/student_evidence.jsonl；student_key=2025秋:259024</x:v>
      </x:c>
      <x:c r="S598" s="27" t="str"/>
    </x:row>
    <x:row r="599" ht="23" customHeight="1">
      <x:c r="A599" s="21" t="str">
        <x:v>严格基线调整</x:v>
      </x:c>
      <x:c r="B599" s="22" t="str">
        <x:v>分组熵权型</x:v>
      </x:c>
      <x:c r="C599" s="22" t="str">
        <x:v>前20%</x:v>
      </x:c>
      <x:c r="D599" s="22" t="str">
        <x:v>边界同分</x:v>
      </x:c>
      <x:c r="E599" s="22" t="str">
        <x:v>2025秋:240957</x:v>
      </x:c>
      <x:c r="F599" s="22" t="str">
        <x:v>s3</x:v>
      </x:c>
      <x:c r="G599" s="26" t="n">
        <x:v>29</x:v>
      </x:c>
      <x:c r="H599" s="25" t="n">
        <x:v>72.72627189962179</x:v>
      </x:c>
      <x:c r="I599" s="24" t="n">
        <x:v>1</x:v>
      </x:c>
      <x:c r="J599" s="24" t="n">
        <x:v>1</x:v>
      </x:c>
      <x:c r="K599" s="22" t="str">
        <x:v>是</x:v>
      </x:c>
      <x:c r="L599" s="22" t="n">
        <x:v>0.1420079405458201</x:v>
      </x:c>
      <x:c r="M599" s="22" t="n">
        <x:v>21.19784953541917</x:v>
      </x:c>
      <x:c r="N599" s="22" t="n">
        <x:v>21.386414423656813</x:v>
      </x:c>
      <x:c r="O599" s="22" t="n">
        <x:v>30</x:v>
      </x:c>
      <x:c r="P599" s="24" t="n">
        <x:v>4</x:v>
      </x:c>
      <x:c r="Q599" s="22" t="str">
        <x:v>["S0440"]</x:v>
      </x:c>
      <x:c r="R599" s="22" t="str">
        <x:v>evidence/student_evidence.jsonl；student_key=2025秋:240957</x:v>
      </x:c>
      <x:c r="S599" s="27" t="str"/>
    </x:row>
    <x:row r="600" ht="23" customHeight="1">
      <x:c r="A600" s="21" t="str">
        <x:v>严格基线调整</x:v>
      </x:c>
      <x:c r="B600" s="22" t="str">
        <x:v>分组熵权型</x:v>
      </x:c>
      <x:c r="C600" s="22" t="str">
        <x:v>前20%</x:v>
      </x:c>
      <x:c r="D600" s="22" t="str">
        <x:v>边界同分</x:v>
      </x:c>
      <x:c r="E600" s="22" t="str">
        <x:v>2025秋:259425</x:v>
      </x:c>
      <x:c r="F600" s="22" t="str">
        <x:v>s3</x:v>
      </x:c>
      <x:c r="G600" s="26" t="n">
        <x:v>29</x:v>
      </x:c>
      <x:c r="H600" s="25" t="n">
        <x:v>72.72627189962179</x:v>
      </x:c>
      <x:c r="I600" s="24" t="n">
        <x:v>1</x:v>
      </x:c>
      <x:c r="J600" s="24" t="n">
        <x:v>1</x:v>
      </x:c>
      <x:c r="K600" s="22" t="str">
        <x:v>是</x:v>
      </x:c>
      <x:c r="L600" s="22" t="n">
        <x:v>0.1420079405458201</x:v>
      </x:c>
      <x:c r="M600" s="22" t="n">
        <x:v>21.19784953541917</x:v>
      </x:c>
      <x:c r="N600" s="22" t="n">
        <x:v>21.386414423656813</x:v>
      </x:c>
      <x:c r="O600" s="22" t="n">
        <x:v>30</x:v>
      </x:c>
      <x:c r="P600" s="24" t="n">
        <x:v>4</x:v>
      </x:c>
      <x:c r="Q600" s="22" t="str">
        <x:v>["S0037"]</x:v>
      </x:c>
      <x:c r="R600" s="22" t="str">
        <x:v>evidence/student_evidence.jsonl；student_key=2025秋:259425</x:v>
      </x:c>
      <x:c r="S600" s="27" t="str"/>
    </x:row>
    <x:row r="601" ht="23" customHeight="1">
      <x:c r="A601" s="21" t="str">
        <x:v>严格基线调整</x:v>
      </x:c>
      <x:c r="B601" s="22" t="str">
        <x:v>分组熵权型</x:v>
      </x:c>
      <x:c r="C601" s="22" t="str">
        <x:v>前20%</x:v>
      </x:c>
      <x:c r="D601" s="22" t="str">
        <x:v>边界同分</x:v>
      </x:c>
      <x:c r="E601" s="22" t="str">
        <x:v>2026春:268502</x:v>
      </x:c>
      <x:c r="F601" s="22" t="str">
        <x:v>s3</x:v>
      </x:c>
      <x:c r="G601" s="26" t="n">
        <x:v>29</x:v>
      </x:c>
      <x:c r="H601" s="25" t="n">
        <x:v>72.72627189962179</x:v>
      </x:c>
      <x:c r="I601" s="24" t="n">
        <x:v>1</x:v>
      </x:c>
      <x:c r="J601" s="24" t="n">
        <x:v>1</x:v>
      </x:c>
      <x:c r="K601" s="22" t="str">
        <x:v>是</x:v>
      </x:c>
      <x:c r="L601" s="22" t="n">
        <x:v>0.1420079405458201</x:v>
      </x:c>
      <x:c r="M601" s="22" t="n">
        <x:v>21.19784953541917</x:v>
      </x:c>
      <x:c r="N601" s="22" t="n">
        <x:v>21.386414423656813</x:v>
      </x:c>
      <x:c r="O601" s="22" t="n">
        <x:v>30</x:v>
      </x:c>
      <x:c r="P601" s="24" t="n">
        <x:v>4</x:v>
      </x:c>
      <x:c r="Q601" s="22" t="str">
        <x:v>["S1220"]</x:v>
      </x:c>
      <x:c r="R601" s="22" t="str">
        <x:v>evidence/student_evidence.jsonl；student_key=2026春:268502</x:v>
      </x:c>
      <x:c r="S601" s="27" t="str"/>
    </x:row>
    <x:row r="602" ht="23" customHeight="1">
      <x:c r="A602" s="21" t="str">
        <x:v>严格基线调整</x:v>
      </x:c>
      <x:c r="B602" s="22" t="str">
        <x:v>分组熵权型</x:v>
      </x:c>
      <x:c r="C602" s="22" t="str">
        <x:v>后20%</x:v>
      </x:c>
      <x:c r="D602" s="22" t="str">
        <x:v>边界同分</x:v>
      </x:c>
      <x:c r="E602" s="22" t="str">
        <x:v>2026春:268194</x:v>
      </x:c>
      <x:c r="F602" s="22" t="str">
        <x:v>s3</x:v>
      </x:c>
      <x:c r="G602" s="26" t="n">
        <x:v>117</x:v>
      </x:c>
      <x:c r="H602" s="25" t="n">
        <x:v>53.51467639011243</x:v>
      </x:c>
      <x:c r="I602" s="24" t="n">
        <x:v>1</x:v>
      </x:c>
      <x:c r="J602" s="24" t="n">
        <x:v>1</x:v>
      </x:c>
      <x:c r="K602" s="22" t="str">
        <x:v>是</x:v>
      </x:c>
      <x:c r="L602" s="22" t="n">
        <x:v>0.14227063802928663</x:v>
      </x:c>
      <x:c r="M602" s="22" t="n">
        <x:v>21.590175469637423</x:v>
      </x:c>
      <x:c r="N602" s="22" t="n">
        <x:v>21.782230282445713</x:v>
      </x:c>
      <x:c r="O602" s="22" t="n">
        <x:v>9.999999999999998</x:v>
      </x:c>
      <x:c r="P602" s="24" t="n">
        <x:v>4</x:v>
      </x:c>
      <x:c r="Q602" s="22" t="str">
        <x:v>["S1067"]</x:v>
      </x:c>
      <x:c r="R602" s="22" t="str">
        <x:v>evidence/student_evidence.jsonl；student_key=2026春:268194</x:v>
      </x:c>
      <x:c r="S602" s="27" t="str"/>
    </x:row>
    <x:row r="603" ht="23" customHeight="1">
      <x:c r="A603" s="21" t="str">
        <x:v>严格基线调整</x:v>
      </x:c>
      <x:c r="B603" s="22" t="str">
        <x:v>分组熵权型</x:v>
      </x:c>
      <x:c r="C603" s="22" t="str">
        <x:v>后20%</x:v>
      </x:c>
      <x:c r="D603" s="22" t="str">
        <x:v>严格进入</x:v>
      </x:c>
      <x:c r="E603" s="22" t="str">
        <x:v>2025秋:258939</x:v>
      </x:c>
      <x:c r="F603" s="22" t="str">
        <x:v>s3</x:v>
      </x:c>
      <x:c r="G603" s="26" t="n">
        <x:v>118</x:v>
      </x:c>
      <x:c r="H603" s="25" t="n">
        <x:v>53.41341242574691</x:v>
      </x:c>
      <x:c r="I603" s="24" t="n">
        <x:v>1</x:v>
      </x:c>
      <x:c r="J603" s="24" t="n">
        <x:v>1</x:v>
      </x:c>
      <x:c r="K603" s="22" t="str">
        <x:v>是</x:v>
      </x:c>
      <x:c r="L603" s="22" t="n">
        <x:v>0.14167637403029743</x:v>
      </x:c>
      <x:c r="M603" s="22" t="n">
        <x:v>21.54006350425988</x:v>
      </x:c>
      <x:c r="N603" s="22" t="n">
        <x:v>21.731672547456732</x:v>
      </x:c>
      <x:c r="O603" s="22" t="n">
        <x:v>9.999999999999998</x:v>
      </x:c>
      <x:c r="P603" s="24" t="n">
        <x:v>4</x:v>
      </x:c>
      <x:c r="Q603" s="22" t="str">
        <x:v>["S0367"]</x:v>
      </x:c>
      <x:c r="R603" s="22" t="str">
        <x:v>evidence/student_evidence.jsonl；student_key=2025秋:258939</x:v>
      </x:c>
      <x:c r="S603" s="27" t="str"/>
    </x:row>
    <x:row r="604" ht="23" customHeight="1">
      <x:c r="A604" s="21" t="str">
        <x:v>严格基线调整</x:v>
      </x:c>
      <x:c r="B604" s="22" t="str">
        <x:v>分组熵权型</x:v>
      </x:c>
      <x:c r="C604" s="22" t="str">
        <x:v>后20%</x:v>
      </x:c>
      <x:c r="D604" s="22" t="str">
        <x:v>严格进入</x:v>
      </x:c>
      <x:c r="E604" s="22" t="str">
        <x:v>2025秋:259452</x:v>
      </x:c>
      <x:c r="F604" s="22" t="str">
        <x:v>s3</x:v>
      </x:c>
      <x:c r="G604" s="26" t="n">
        <x:v>119</x:v>
      </x:c>
      <x:c r="H604" s="25" t="n">
        <x:v>53.289984428183466</x:v>
      </x:c>
      <x:c r="I604" s="24" t="n">
        <x:v>1</x:v>
      </x:c>
      <x:c r="J604" s="24" t="n">
        <x:v>1</x:v>
      </x:c>
      <x:c r="K604" s="22" t="str">
        <x:v>是</x:v>
      </x:c>
      <x:c r="L604" s="22" t="n">
        <x:v>0.14009136003241646</x:v>
      </x:c>
      <x:c r="M604" s="22" t="n">
        <x:v>18.990481879131778</x:v>
      </x:c>
      <x:c r="N604" s="22" t="n">
        <x:v>19.15941118901928</x:v>
      </x:c>
      <x:c r="O604" s="22" t="n">
        <x:v>15</x:v>
      </x:c>
      <x:c r="P604" s="24" t="n">
        <x:v>2</x:v>
      </x:c>
      <x:c r="Q604" s="22" t="str">
        <x:v>["S0501"]</x:v>
      </x:c>
      <x:c r="R604" s="22" t="str">
        <x:v>evidence/student_evidence.jsonl；student_key=2025秋:259452</x:v>
      </x:c>
      <x:c r="S604" s="27" t="str"/>
    </x:row>
    <x:row r="605" ht="23" customHeight="1">
      <x:c r="A605" s="21" t="str">
        <x:v>严格基线调整</x:v>
      </x:c>
      <x:c r="B605" s="22" t="str">
        <x:v>分组熵权型</x:v>
      </x:c>
      <x:c r="C605" s="22" t="str">
        <x:v>后20%</x:v>
      </x:c>
      <x:c r="D605" s="22" t="str">
        <x:v>严格进入</x:v>
      </x:c>
      <x:c r="E605" s="22" t="str">
        <x:v>2026春:268126</x:v>
      </x:c>
      <x:c r="F605" s="22" t="str">
        <x:v>s3</x:v>
      </x:c>
      <x:c r="G605" s="26" t="n">
        <x:v>120</x:v>
      </x:c>
      <x:c r="H605" s="25" t="n">
        <x:v>53.07502992614709</x:v>
      </x:c>
      <x:c r="I605" s="24" t="n">
        <x:v>1</x:v>
      </x:c>
      <x:c r="J605" s="24" t="n">
        <x:v>1</x:v>
      </x:c>
      <x:c r="K605" s="22" t="str">
        <x:v>是</x:v>
      </x:c>
      <x:c r="L605" s="22" t="n">
        <x:v>0.142124147210054</x:v>
      </x:c>
      <x:c r="M605" s="22" t="n">
        <x:v>21.371398545125466</x:v>
      </x:c>
      <x:c r="N605" s="22" t="n">
        <x:v>21.561507233811565</x:v>
      </x:c>
      <x:c r="O605" s="22" t="n">
        <x:v>9.999999999999998</x:v>
      </x:c>
      <x:c r="P605" s="24" t="n">
        <x:v>4</x:v>
      </x:c>
      <x:c r="Q605" s="22" t="str">
        <x:v>["S0931"]</x:v>
      </x:c>
      <x:c r="R605" s="22" t="str">
        <x:v>evidence/student_evidence.jsonl；student_key=2026春:268126</x:v>
      </x:c>
      <x:c r="S605" s="27" t="str"/>
    </x:row>
    <x:row r="606" ht="23" customHeight="1">
      <x:c r="A606" s="21" t="str">
        <x:v>严格基线调整</x:v>
      </x:c>
      <x:c r="B606" s="22" t="str">
        <x:v>分组熵权型</x:v>
      </x:c>
      <x:c r="C606" s="22" t="str">
        <x:v>后20%</x:v>
      </x:c>
      <x:c r="D606" s="22" t="str">
        <x:v>严格进入</x:v>
      </x:c>
      <x:c r="E606" s="22" t="str">
        <x:v>2025秋:259321</x:v>
      </x:c>
      <x:c r="F606" s="22" t="str">
        <x:v>s3</x:v>
      </x:c>
      <x:c r="G606" s="26" t="n">
        <x:v>121</x:v>
      </x:c>
      <x:c r="H606" s="25" t="n">
        <x:v>52.99752623913766</x:v>
      </x:c>
      <x:c r="I606" s="24" t="n">
        <x:v>1</x:v>
      </x:c>
      <x:c r="J606" s="24" t="n">
        <x:v>1</x:v>
      </x:c>
      <x:c r="K606" s="22" t="str">
        <x:v>是</x:v>
      </x:c>
      <x:c r="L606" s="22" t="n">
        <x:v>0.14003288375107387</x:v>
      </x:c>
      <x:c r="M606" s="22" t="n">
        <x:v>18.844929401781513</x:v>
      </x:c>
      <x:c r="N606" s="22" t="n">
        <x:v>19.01256395360507</x:v>
      </x:c>
      <x:c r="O606" s="22" t="n">
        <x:v>15</x:v>
      </x:c>
      <x:c r="P606" s="24" t="n">
        <x:v>3</x:v>
      </x:c>
      <x:c r="Q606" s="22" t="str">
        <x:v>["S0288"]</x:v>
      </x:c>
      <x:c r="R606" s="22" t="str">
        <x:v>evidence/student_evidence.jsonl；student_key=2025秋:259321</x:v>
      </x:c>
      <x:c r="S606" s="27" t="str"/>
    </x:row>
    <x:row r="607" ht="23" customHeight="1">
      <x:c r="A607" s="21" t="str">
        <x:v>严格基线调整</x:v>
      </x:c>
      <x:c r="B607" s="22" t="str">
        <x:v>分组熵权型</x:v>
      </x:c>
      <x:c r="C607" s="22" t="str">
        <x:v>后20%</x:v>
      </x:c>
      <x:c r="D607" s="22" t="str">
        <x:v>严格进入</x:v>
      </x:c>
      <x:c r="E607" s="22" t="str">
        <x:v>2026春:268162</x:v>
      </x:c>
      <x:c r="F607" s="22" t="str">
        <x:v>s3</x:v>
      </x:c>
      <x:c r="G607" s="26" t="n">
        <x:v>122</x:v>
      </x:c>
      <x:c r="H607" s="25" t="n">
        <x:v>52.87774403872915</x:v>
      </x:c>
      <x:c r="I607" s="24" t="n">
        <x:v>1</x:v>
      </x:c>
      <x:c r="J607" s="24" t="n">
        <x:v>1</x:v>
      </x:c>
      <x:c r="K607" s="22" t="str">
        <x:v>是</x:v>
      </x:c>
      <x:c r="L607" s="22" t="n">
        <x:v>0.1420584112752981</x:v>
      </x:c>
      <x:c r="M607" s="22" t="n">
        <x:v>21.273225118891997</x:v>
      </x:c>
      <x:c r="N607" s="22" t="n">
        <x:v>21.462460508561858</x:v>
      </x:c>
      <x:c r="O607" s="22" t="n">
        <x:v>9.999999999999998</x:v>
      </x:c>
      <x:c r="P607" s="24" t="n">
        <x:v>4</x:v>
      </x:c>
      <x:c r="Q607" s="22" t="str">
        <x:v>["S1027"]</x:v>
      </x:c>
      <x:c r="R607" s="22" t="str">
        <x:v>evidence/student_evidence.jsonl；student_key=2026春:268162</x:v>
      </x:c>
      <x:c r="S607" s="27" t="str"/>
    </x:row>
    <x:row r="608" ht="23" customHeight="1">
      <x:c r="A608" s="21" t="str">
        <x:v>严格基线调整</x:v>
      </x:c>
      <x:c r="B608" s="22" t="str">
        <x:v>分组熵权型</x:v>
      </x:c>
      <x:c r="C608" s="22" t="str">
        <x:v>后20%</x:v>
      </x:c>
      <x:c r="D608" s="22" t="str">
        <x:v>严格进入</x:v>
      </x:c>
      <x:c r="E608" s="22" t="str">
        <x:v>2026春:268144</x:v>
      </x:c>
      <x:c r="F608" s="22" t="str">
        <x:v>s3</x:v>
      </x:c>
      <x:c r="G608" s="26" t="n">
        <x:v>123</x:v>
      </x:c>
      <x:c r="H608" s="25" t="n">
        <x:v>52.72032301064987</x:v>
      </x:c>
      <x:c r="I608" s="24" t="n">
        <x:v>1</x:v>
      </x:c>
      <x:c r="J608" s="24" t="n">
        <x:v>1</x:v>
      </x:c>
      <x:c r="K608" s="22" t="str">
        <x:v>是</x:v>
      </x:c>
      <x:c r="L608" s="22" t="n">
        <x:v>0.14200595836766003</x:v>
      </x:c>
      <x:c r="M608" s="22" t="n">
        <x:v>21.194889248597335</x:v>
      </x:c>
      <x:c r="N608" s="22" t="n">
        <x:v>21.383427803684874</x:v>
      </x:c>
      <x:c r="O608" s="22" t="n">
        <x:v>9.999999999999998</x:v>
      </x:c>
      <x:c r="P608" s="24" t="n">
        <x:v>4</x:v>
      </x:c>
      <x:c r="Q608" s="22" t="str">
        <x:v>["S0983"]</x:v>
      </x:c>
      <x:c r="R608" s="22" t="str">
        <x:v>evidence/student_evidence.jsonl；student_key=2026春:268144</x:v>
      </x:c>
      <x:c r="S608" s="27" t="str"/>
    </x:row>
    <x:row r="609" ht="23" customHeight="1">
      <x:c r="A609" s="21" t="str">
        <x:v>严格基线调整</x:v>
      </x:c>
      <x:c r="B609" s="22" t="str">
        <x:v>分组熵权型</x:v>
      </x:c>
      <x:c r="C609" s="22" t="str">
        <x:v>后20%</x:v>
      </x:c>
      <x:c r="D609" s="22" t="str">
        <x:v>严格进入</x:v>
      </x:c>
      <x:c r="E609" s="22" t="str">
        <x:v>2025秋:258990</x:v>
      </x:c>
      <x:c r="F609" s="22" t="str">
        <x:v>s3</x:v>
      </x:c>
      <x:c r="G609" s="26" t="n">
        <x:v>124</x:v>
      </x:c>
      <x:c r="H609" s="25" t="n">
        <x:v>52.51768821651523</x:v>
      </x:c>
      <x:c r="I609" s="24" t="n">
        <x:v>1</x:v>
      </x:c>
      <x:c r="J609" s="24" t="n">
        <x:v>1</x:v>
      </x:c>
      <x:c r="K609" s="22" t="str">
        <x:v>是</x:v>
      </x:c>
      <x:c r="L609" s="22" t="n">
        <x:v>0.1419384401696741</x:v>
      </x:c>
      <x:c r="M609" s="22" t="n">
        <x:v>21.094054098781637</x:v>
      </x:c>
      <x:c r="N609" s="22" t="n">
        <x:v>21.28169567756393</x:v>
      </x:c>
      <x:c r="O609" s="22" t="n">
        <x:v>9.999999999999998</x:v>
      </x:c>
      <x:c r="P609" s="24" t="n">
        <x:v>4</x:v>
      </x:c>
      <x:c r="Q609" s="22" t="str">
        <x:v>["S0491"]</x:v>
      </x:c>
      <x:c r="R609" s="22" t="str">
        <x:v>evidence/student_evidence.jsonl；student_key=2025秋:258990</x:v>
      </x:c>
      <x:c r="S609" s="27" t="str"/>
    </x:row>
    <x:row r="610" ht="23" customHeight="1">
      <x:c r="A610" s="21" t="str">
        <x:v>严格基线调整</x:v>
      </x:c>
      <x:c r="B610" s="22" t="str">
        <x:v>分组熵权型</x:v>
      </x:c>
      <x:c r="C610" s="22" t="str">
        <x:v>后20%</x:v>
      </x:c>
      <x:c r="D610" s="22" t="str">
        <x:v>严格进入</x:v>
      </x:c>
      <x:c r="E610" s="22" t="str">
        <x:v>2026春:250695</x:v>
      </x:c>
      <x:c r="F610" s="22" t="str">
        <x:v>s6</x:v>
      </x:c>
      <x:c r="G610" s="26" t="n">
        <x:v>125</x:v>
      </x:c>
      <x:c r="H610" s="25" t="n">
        <x:v>52.16193144605603</x:v>
      </x:c>
      <x:c r="I610" s="24" t="n">
        <x:v>1</x:v>
      </x:c>
      <x:c r="J610" s="24" t="n">
        <x:v>1</x:v>
      </x:c>
      <x:c r="K610" s="22" t="str">
        <x:v>是</x:v>
      </x:c>
      <x:c r="L610" s="22" t="n">
        <x:v>0.140009861179804</x:v>
      </x:c>
      <x:c r="M610" s="22" t="n">
        <x:v>18.42899348976612</x:v>
      </x:c>
      <x:c r="N610" s="22" t="n">
        <x:v>18.592928095110103</x:v>
      </x:c>
      <x:c r="O610" s="22" t="n">
        <x:v>15</x:v>
      </x:c>
      <x:c r="P610" s="24" t="n">
        <x:v>4</x:v>
      </x:c>
      <x:c r="Q610" s="22" t="str">
        <x:v>["S0818"]</x:v>
      </x:c>
      <x:c r="R610" s="22" t="str">
        <x:v>evidence/student_evidence.jsonl；student_key=2026春:250695</x:v>
      </x:c>
      <x:c r="S610" s="27" t="str"/>
    </x:row>
    <x:row r="611" ht="23" customHeight="1">
      <x:c r="A611" s="21" t="str">
        <x:v>严格基线调整</x:v>
      </x:c>
      <x:c r="B611" s="22" t="str">
        <x:v>分组熵权型</x:v>
      </x:c>
      <x:c r="C611" s="22" t="str">
        <x:v>后20%</x:v>
      </x:c>
      <x:c r="D611" s="22" t="str">
        <x:v>严格进入</x:v>
      </x:c>
      <x:c r="E611" s="22" t="str">
        <x:v>2026春:268135</x:v>
      </x:c>
      <x:c r="F611" s="22" t="str">
        <x:v>s3</x:v>
      </x:c>
      <x:c r="G611" s="26" t="n">
        <x:v>126</x:v>
      </x:c>
      <x:c r="H611" s="25" t="n">
        <x:v>49.54338147001041</x:v>
      </x:c>
      <x:c r="I611" s="24" t="n">
        <x:v>1</x:v>
      </x:c>
      <x:c r="J611" s="24" t="n">
        <x:v>1</x:v>
      </x:c>
      <x:c r="K611" s="22" t="str">
        <x:v>是</x:v>
      </x:c>
      <x:c r="L611" s="22" t="n">
        <x:v>0.14178040049562243</x:v>
      </x:c>
      <x:c r="M611" s="22" t="n">
        <x:v>20.85802952044276</x:v>
      </x:c>
      <x:c r="N611" s="22" t="n">
        <x:v>21.043571549072034</x:v>
      </x:c>
      <x:c r="O611" s="22" t="n">
        <x:v>7.5</x:v>
      </x:c>
      <x:c r="P611" s="24" t="n">
        <x:v>4</x:v>
      </x:c>
      <x:c r="Q611" s="22" t="str">
        <x:v>["S0948"]</x:v>
      </x:c>
      <x:c r="R611" s="22" t="str">
        <x:v>evidence/student_evidence.jsonl；student_key=2026春:268135</x:v>
      </x:c>
      <x:c r="S611" s="27" t="str"/>
    </x:row>
    <x:row r="612" ht="48" customHeight="1">
      <x:c r="A612" s="21" t="str">
        <x:v>严格基线调整</x:v>
      </x:c>
      <x:c r="B612" s="22" t="str">
        <x:v>分组熵权型</x:v>
      </x:c>
      <x:c r="C612" s="22" t="str">
        <x:v>后20%</x:v>
      </x:c>
      <x:c r="D612" s="22" t="str">
        <x:v>严格进入</x:v>
      </x:c>
      <x:c r="E612" s="22" t="str">
        <x:v>2026春:268520</x:v>
      </x:c>
      <x:c r="F612" s="22" t="str">
        <x:v>s6</x:v>
      </x:c>
      <x:c r="G612" s="26" t="n">
        <x:v>127</x:v>
      </x:c>
      <x:c r="H612" s="25" t="n">
        <x:v>49.50015810547554</x:v>
      </x:c>
      <x:c r="I612" s="24" t="n">
        <x:v>1</x:v>
      </x:c>
      <x:c r="J612" s="24" t="n">
        <x:v>1</x:v>
      </x:c>
      <x:c r="K612" s="22" t="str">
        <x:v>是</x:v>
      </x:c>
      <x:c r="L612" s="22" t="n">
        <x:v>0.1376009808548598</x:v>
      </x:c>
      <x:c r="M612" s="22" t="n">
        <x:v>14.616269251501352</x:v>
      </x:c>
      <x:c r="N612" s="22" t="n">
        <x:v>14.746287873119337</x:v>
      </x:c>
      <x:c r="O612" s="22" t="n">
        <x:v>19.999999999999996</x:v>
      </x:c>
      <x:c r="P612" s="24" t="n">
        <x:v>3</x:v>
      </x:c>
      <x:c r="Q612" s="22" t="str">
        <x:v>["S1244"]</x:v>
      </x:c>
      <x:c r="R612" s="22" t="str">
        <x:v>evidence/student_evidence.jsonl；student_key=2026春:268520</x:v>
      </x:c>
      <x:c r="S612" s="27" t="str">
        <x:v>同一锚点起止1条：未形成独立重复测量。</x:v>
      </x:c>
    </x:row>
    <x:row r="613" ht="23" customHeight="1">
      <x:c r="A613" s="21" t="str">
        <x:v>严格基线调整</x:v>
      </x:c>
      <x:c r="B613" s="22" t="str">
        <x:v>分组熵权型</x:v>
      </x:c>
      <x:c r="C613" s="22" t="str">
        <x:v>后20%</x:v>
      </x:c>
      <x:c r="D613" s="22" t="str">
        <x:v>严格进入</x:v>
      </x:c>
      <x:c r="E613" s="22" t="str">
        <x:v>2025秋:259958</x:v>
      </x:c>
      <x:c r="F613" s="22" t="str">
        <x:v>s3</x:v>
      </x:c>
      <x:c r="G613" s="26" t="n">
        <x:v>128</x:v>
      </x:c>
      <x:c r="H613" s="25" t="n">
        <x:v>48.41431928687037</x:v>
      </x:c>
      <x:c r="I613" s="24" t="n">
        <x:v>1</x:v>
      </x:c>
      <x:c r="J613" s="24" t="n">
        <x:v>1</x:v>
      </x:c>
      <x:c r="K613" s="22" t="str">
        <x:v>是</x:v>
      </x:c>
      <x:c r="L613" s="22" t="n">
        <x:v>0.13911648301677912</x:v>
      </x:c>
      <x:c r="M613" s="22" t="n">
        <x:v>16.563929412388315</x:v>
      </x:c>
      <x:c r="N613" s="22" t="n">
        <x:v>16.71127339146527</x:v>
      </x:c>
      <x:c r="O613" s="22" t="n">
        <x:v>15</x:v>
      </x:c>
      <x:c r="P613" s="24" t="n">
        <x:v>4</x:v>
      </x:c>
      <x:c r="Q613" s="22" t="str">
        <x:v>["S0183"]</x:v>
      </x:c>
      <x:c r="R613" s="22" t="str">
        <x:v>evidence/student_evidence.jsonl；student_key=2025秋:259958</x:v>
      </x:c>
      <x:c r="S613" s="27" t="str"/>
    </x:row>
    <x:row r="614" ht="48" customHeight="1">
      <x:c r="A614" s="21" t="str">
        <x:v>严格基线调整</x:v>
      </x:c>
      <x:c r="B614" s="22" t="str">
        <x:v>分组熵权型</x:v>
      </x:c>
      <x:c r="C614" s="22" t="str">
        <x:v>后20%</x:v>
      </x:c>
      <x:c r="D614" s="22" t="str">
        <x:v>严格进入</x:v>
      </x:c>
      <x:c r="E614" s="22" t="str">
        <x:v>2025秋:25A171</x:v>
      </x:c>
      <x:c r="F614" s="22" t="str">
        <x:v>s3</x:v>
      </x:c>
      <x:c r="G614" s="26" t="n">
        <x:v>129</x:v>
      </x:c>
      <x:c r="H614" s="25" t="n">
        <x:v>46.723187426187664</x:v>
      </x:c>
      <x:c r="I614" s="24" t="n">
        <x:v>1</x:v>
      </x:c>
      <x:c r="J614" s="24" t="n">
        <x:v>1</x:v>
      </x:c>
      <x:c r="K614" s="22" t="str">
        <x:v>是</x:v>
      </x:c>
      <x:c r="L614" s="22" t="n">
        <x:v>0.1385600068446312</x:v>
      </x:c>
      <x:c r="M614" s="22" t="n">
        <x:v>15.722384689117355</x:v>
      </x:c>
      <x:c r="N614" s="22" t="n">
        <x:v>15.862242730225677</x:v>
      </x:c>
      <x:c r="O614" s="22" t="n">
        <x:v>15</x:v>
      </x:c>
      <x:c r="P614" s="24" t="n">
        <x:v>4</x:v>
      </x:c>
      <x:c r="Q614" s="22" t="str">
        <x:v>["S0258"]</x:v>
      </x:c>
      <x:c r="R614" s="22" t="str">
        <x:v>evidence/student_evidence.jsonl；student_key=2025秋:25A171</x:v>
      </x:c>
      <x:c r="S614" s="27" t="str">
        <x:v>同一锚点起止1条：未形成独立重复测量。</x:v>
      </x:c>
    </x:row>
    <x:row r="615" ht="23" customHeight="1">
      <x:c r="A615" s="21" t="str">
        <x:v>严格基线调整</x:v>
      </x:c>
      <x:c r="B615" s="22" t="str">
        <x:v>分组熵权型</x:v>
      </x:c>
      <x:c r="C615" s="22" t="str">
        <x:v>后20%</x:v>
      </x:c>
      <x:c r="D615" s="22" t="str">
        <x:v>严格进入</x:v>
      </x:c>
      <x:c r="E615" s="22" t="str">
        <x:v>2025秋:258892</x:v>
      </x:c>
      <x:c r="F615" s="22" t="str">
        <x:v>s3</x:v>
      </x:c>
      <x:c r="G615" s="26" t="n">
        <x:v>130</x:v>
      </x:c>
      <x:c r="H615" s="25" t="n">
        <x:v>46.684377280017046</x:v>
      </x:c>
      <x:c r="I615" s="24" t="n">
        <x:v>2</x:v>
      </x:c>
      <x:c r="J615" s="24" t="n">
        <x:v>2</x:v>
      </x:c>
      <x:c r="K615" s="22" t="str">
        <x:v>是</x:v>
      </x:c>
      <x:c r="L615" s="22" t="n">
        <x:v>0.13854966087900591</x:v>
      </x:c>
      <x:c r="M615" s="22" t="n">
        <x:v>15.70307069257769</x:v>
      </x:c>
      <x:c r="N615" s="22" t="n">
        <x:v>15.842756926560348</x:v>
      </x:c>
      <x:c r="O615" s="22" t="n">
        <x:v>15</x:v>
      </x:c>
      <x:c r="P615" s="24" t="n">
        <x:v>4</x:v>
      </x:c>
      <x:c r="Q615" s="22" t="str">
        <x:v>["S0095","S0473"]</x:v>
      </x:c>
      <x:c r="R615" s="22" t="str">
        <x:v>evidence/student_evidence.jsonl；student_key=2025秋:258892</x:v>
      </x:c>
      <x:c r="S615" s="27" t="str"/>
    </x:row>
    <x:row r="616" ht="23" customHeight="1">
      <x:c r="A616" s="21" t="str">
        <x:v>严格基线调整</x:v>
      </x:c>
      <x:c r="B616" s="22" t="str">
        <x:v>分组熵权型</x:v>
      </x:c>
      <x:c r="C616" s="22" t="str">
        <x:v>后20%</x:v>
      </x:c>
      <x:c r="D616" s="22" t="str">
        <x:v>严格进入</x:v>
      </x:c>
      <x:c r="E616" s="22" t="str">
        <x:v>2026春:268498</x:v>
      </x:c>
      <x:c r="F616" s="22" t="str">
        <x:v>s3</x:v>
      </x:c>
      <x:c r="G616" s="26" t="n">
        <x:v>131</x:v>
      </x:c>
      <x:c r="H616" s="25" t="n">
        <x:v>46.664830896244304</x:v>
      </x:c>
      <x:c r="I616" s="24" t="n">
        <x:v>1</x:v>
      </x:c>
      <x:c r="J616" s="24" t="n">
        <x:v>1</x:v>
      </x:c>
      <x:c r="K616" s="22" t="str">
        <x:v>是</x:v>
      </x:c>
      <x:c r="L616" s="22" t="n">
        <x:v>0.1393218570820091</x:v>
      </x:c>
      <x:c r="M616" s="22" t="n">
        <x:v>17.186314326091203</x:v>
      </x:c>
      <x:c r="N616" s="22" t="n">
        <x:v>17.339194713071095</x:v>
      </x:c>
      <x:c r="O616" s="22" t="n">
        <x:v>12</x:v>
      </x:c>
      <x:c r="P616" s="24" t="n">
        <x:v>4</x:v>
      </x:c>
      <x:c r="Q616" s="22" t="str">
        <x:v>["S1207"]</x:v>
      </x:c>
      <x:c r="R616" s="22" t="str">
        <x:v>evidence/student_evidence.jsonl；student_key=2026春:268498</x:v>
      </x:c>
      <x:c r="S616" s="27" t="str"/>
    </x:row>
    <x:row r="617" ht="23" customHeight="1">
      <x:c r="A617" s="21" t="str">
        <x:v>严格基线调整</x:v>
      </x:c>
      <x:c r="B617" s="22" t="str">
        <x:v>分组熵权型</x:v>
      </x:c>
      <x:c r="C617" s="22" t="str">
        <x:v>后20%</x:v>
      </x:c>
      <x:c r="D617" s="22" t="str">
        <x:v>严格进入</x:v>
      </x:c>
      <x:c r="E617" s="22" t="str">
        <x:v>2026春:268130</x:v>
      </x:c>
      <x:c r="F617" s="22" t="str">
        <x:v>s3</x:v>
      </x:c>
      <x:c r="G617" s="26" t="n">
        <x:v>132</x:v>
      </x:c>
      <x:c r="H617" s="25" t="n">
        <x:v>46.05271554973204</x:v>
      </x:c>
      <x:c r="I617" s="24" t="n">
        <x:v>1</x:v>
      </x:c>
      <x:c r="J617" s="24" t="n">
        <x:v>1</x:v>
      </x:c>
      <x:c r="K617" s="22" t="str">
        <x:v>是</x:v>
      </x:c>
      <x:c r="L617" s="22" t="n">
        <x:v>0.13978430219769605</x:v>
      </x:c>
      <x:c r="M617" s="22" t="n">
        <x:v>17.87695364871595</x:v>
      </x:c>
      <x:c r="N617" s="22" t="n">
        <x:v>18.0359775988184</x:v>
      </x:c>
      <x:c r="O617" s="22" t="n">
        <x:v>9.999999999999998</x:v>
      </x:c>
      <x:c r="P617" s="24" t="n">
        <x:v>4</x:v>
      </x:c>
      <x:c r="Q617" s="22" t="str">
        <x:v>["S0938"]</x:v>
      </x:c>
      <x:c r="R617" s="22" t="str">
        <x:v>evidence/student_evidence.jsonl；student_key=2026春:268130</x:v>
      </x:c>
      <x:c r="S617" s="27" t="str"/>
    </x:row>
    <x:row r="618" ht="48" customHeight="1">
      <x:c r="A618" s="21" t="str">
        <x:v>严格基线调整</x:v>
      </x:c>
      <x:c r="B618" s="22" t="str">
        <x:v>分组熵权型</x:v>
      </x:c>
      <x:c r="C618" s="22" t="str">
        <x:v>后20%</x:v>
      </x:c>
      <x:c r="D618" s="22" t="str">
        <x:v>严格进入</x:v>
      </x:c>
      <x:c r="E618" s="22" t="str">
        <x:v>2025秋:258274</x:v>
      </x:c>
      <x:c r="F618" s="22" t="str">
        <x:v>s3</x:v>
      </x:c>
      <x:c r="G618" s="26" t="n">
        <x:v>133.5</x:v>
      </x:c>
      <x:c r="H618" s="25" t="n">
        <x:v>45.889092862919156</x:v>
      </x:c>
      <x:c r="I618" s="24" t="n">
        <x:v>1</x:v>
      </x:c>
      <x:c r="J618" s="24" t="n">
        <x:v>1</x:v>
      </x:c>
      <x:c r="K618" s="22" t="str">
        <x:v>是</x:v>
      </x:c>
      <x:c r="L618" s="22" t="n">
        <x:v>0.13806377586665963</x:v>
      </x:c>
      <x:c r="M618" s="22" t="n">
        <x:v>15.307431126978704</x:v>
      </x:c>
      <x:c r="N618" s="22" t="n">
        <x:v>15.44359796007379</x:v>
      </x:c>
      <x:c r="O618" s="22" t="n">
        <x:v>15</x:v>
      </x:c>
      <x:c r="P618" s="24" t="n">
        <x:v>4</x:v>
      </x:c>
      <x:c r="Q618" s="22" t="str">
        <x:v>["S0275"]</x:v>
      </x:c>
      <x:c r="R618" s="22" t="str">
        <x:v>evidence/student_evidence.jsonl；student_key=2025秋:258274</x:v>
      </x:c>
      <x:c r="S618" s="27" t="str">
        <x:v>同一锚点起止1条：未形成独立重复测量。</x:v>
      </x:c>
    </x:row>
    <x:row r="619" ht="23" customHeight="1">
      <x:c r="A619" s="21" t="str">
        <x:v>严格基线调整</x:v>
      </x:c>
      <x:c r="B619" s="22" t="str">
        <x:v>分组熵权型</x:v>
      </x:c>
      <x:c r="C619" s="22" t="str">
        <x:v>后20%</x:v>
      </x:c>
      <x:c r="D619" s="22" t="str">
        <x:v>严格进入</x:v>
      </x:c>
      <x:c r="E619" s="22" t="str">
        <x:v>2025秋:259315</x:v>
      </x:c>
      <x:c r="F619" s="22" t="str">
        <x:v>s3</x:v>
      </x:c>
      <x:c r="G619" s="26" t="n">
        <x:v>133.5</x:v>
      </x:c>
      <x:c r="H619" s="25" t="n">
        <x:v>45.889092862919156</x:v>
      </x:c>
      <x:c r="I619" s="24" t="n">
        <x:v>1</x:v>
      </x:c>
      <x:c r="J619" s="24" t="n">
        <x:v>1</x:v>
      </x:c>
      <x:c r="K619" s="22" t="str">
        <x:v>是</x:v>
      </x:c>
      <x:c r="L619" s="22" t="n">
        <x:v>0.13806377586665963</x:v>
      </x:c>
      <x:c r="M619" s="22" t="n">
        <x:v>15.307431126978704</x:v>
      </x:c>
      <x:c r="N619" s="22" t="n">
        <x:v>15.44359796007379</x:v>
      </x:c>
      <x:c r="O619" s="22" t="n">
        <x:v>15</x:v>
      </x:c>
      <x:c r="P619" s="24" t="n">
        <x:v>4</x:v>
      </x:c>
      <x:c r="Q619" s="22" t="str">
        <x:v>["S0405"]</x:v>
      </x:c>
      <x:c r="R619" s="22" t="str">
        <x:v>evidence/student_evidence.jsonl；student_key=2025秋:259315</x:v>
      </x:c>
      <x:c r="S619" s="27" t="str"/>
    </x:row>
    <x:row r="620" ht="23" customHeight="1">
      <x:c r="A620" s="21" t="str">
        <x:v>严格基线调整</x:v>
      </x:c>
      <x:c r="B620" s="22" t="str">
        <x:v>分组熵权型</x:v>
      </x:c>
      <x:c r="C620" s="22" t="str">
        <x:v>后20%</x:v>
      </x:c>
      <x:c r="D620" s="22" t="str">
        <x:v>严格进入</x:v>
      </x:c>
      <x:c r="E620" s="22" t="str">
        <x:v>2025秋:259422</x:v>
      </x:c>
      <x:c r="F620" s="22" t="str">
        <x:v>s3</x:v>
      </x:c>
      <x:c r="G620" s="26" t="n">
        <x:v>135</x:v>
      </x:c>
      <x:c r="H620" s="25" t="n">
        <x:v>45.22934803083317</x:v>
      </x:c>
      <x:c r="I620" s="24" t="n">
        <x:v>1</x:v>
      </x:c>
      <x:c r="J620" s="24" t="n">
        <x:v>1</x:v>
      </x:c>
      <x:c r="K620" s="22" t="str">
        <x:v>是</x:v>
      </x:c>
      <x:c r="L620" s="22" t="n">
        <x:v>0.13784394796206312</x:v>
      </x:c>
      <x:c r="M620" s="22" t="n">
        <x:v>14.979128826933808</x:v>
      </x:c>
      <x:c r="N620" s="22" t="n">
        <x:v>15.112375255937303</x:v>
      </x:c>
      <x:c r="O620" s="22" t="n">
        <x:v>15</x:v>
      </x:c>
      <x:c r="P620" s="24" t="n">
        <x:v>4</x:v>
      </x:c>
      <x:c r="Q620" s="22" t="str">
        <x:v>["S0421"]</x:v>
      </x:c>
      <x:c r="R620" s="22" t="str">
        <x:v>evidence/student_evidence.jsonl；student_key=2025秋:259422</x:v>
      </x:c>
      <x:c r="S620" s="27" t="str"/>
    </x:row>
    <x:row r="621" ht="23" customHeight="1">
      <x:c r="A621" s="21" t="str">
        <x:v>严格基线调整</x:v>
      </x:c>
      <x:c r="B621" s="22" t="str">
        <x:v>分组熵权型</x:v>
      </x:c>
      <x:c r="C621" s="22" t="str">
        <x:v>后20%</x:v>
      </x:c>
      <x:c r="D621" s="22" t="str">
        <x:v>严格进入</x:v>
      </x:c>
      <x:c r="E621" s="22" t="str">
        <x:v>2025秋:258912</x:v>
      </x:c>
      <x:c r="F621" s="22" t="str">
        <x:v>s3</x:v>
      </x:c>
      <x:c r="G621" s="26" t="n">
        <x:v>139.5</x:v>
      </x:c>
      <x:c r="H621" s="25" t="n">
        <x:v>45.228359094130134</x:v>
      </x:c>
      <x:c r="I621" s="24" t="n">
        <x:v>1</x:v>
      </x:c>
      <x:c r="J621" s="24" t="n">
        <x:v>1</x:v>
      </x:c>
      <x:c r="K621" s="22" t="str">
        <x:v>是</x:v>
      </x:c>
      <x:c r="L621" s="22" t="n">
        <x:v>0.1378436184469648</x:v>
      </x:c>
      <x:c r="M621" s="22" t="n">
        <x:v>14.978636712136668</x:v>
      </x:c>
      <x:c r="N621" s="22" t="n">
        <x:v>15.111878763546505</x:v>
      </x:c>
      <x:c r="O621" s="22" t="n">
        <x:v>15</x:v>
      </x:c>
      <x:c r="P621" s="24" t="n">
        <x:v>4</x:v>
      </x:c>
      <x:c r="Q621" s="22" t="str">
        <x:v>["S0092"]</x:v>
      </x:c>
      <x:c r="R621" s="22" t="str">
        <x:v>evidence/student_evidence.jsonl；student_key=2025秋:258912</x:v>
      </x:c>
      <x:c r="S621" s="27" t="str"/>
    </x:row>
    <x:row r="622" ht="48" customHeight="1">
      <x:c r="A622" s="21" t="str">
        <x:v>严格基线调整</x:v>
      </x:c>
      <x:c r="B622" s="22" t="str">
        <x:v>分组熵权型</x:v>
      </x:c>
      <x:c r="C622" s="22" t="str">
        <x:v>后20%</x:v>
      </x:c>
      <x:c r="D622" s="22" t="str">
        <x:v>严格进入</x:v>
      </x:c>
      <x:c r="E622" s="22" t="str">
        <x:v>2025秋:258923</x:v>
      </x:c>
      <x:c r="F622" s="22" t="str">
        <x:v>s3</x:v>
      </x:c>
      <x:c r="G622" s="26" t="n">
        <x:v>139.5</x:v>
      </x:c>
      <x:c r="H622" s="25" t="n">
        <x:v>45.228359094130134</x:v>
      </x:c>
      <x:c r="I622" s="24" t="n">
        <x:v>1</x:v>
      </x:c>
      <x:c r="J622" s="24" t="n">
        <x:v>1</x:v>
      </x:c>
      <x:c r="K622" s="22" t="str">
        <x:v>是</x:v>
      </x:c>
      <x:c r="L622" s="22" t="n">
        <x:v>0.1378436184469648</x:v>
      </x:c>
      <x:c r="M622" s="22" t="n">
        <x:v>14.978636712136668</x:v>
      </x:c>
      <x:c r="N622" s="22" t="n">
        <x:v>15.111878763546505</x:v>
      </x:c>
      <x:c r="O622" s="22" t="n">
        <x:v>15</x:v>
      </x:c>
      <x:c r="P622" s="24" t="n">
        <x:v>4</x:v>
      </x:c>
      <x:c r="Q622" s="22" t="str">
        <x:v>["S0120"]</x:v>
      </x:c>
      <x:c r="R622" s="22" t="str">
        <x:v>evidence/student_evidence.jsonl；student_key=2025秋:258923</x:v>
      </x:c>
      <x:c r="S622" s="27" t="str">
        <x:v>同一锚点起止1条：未形成独立重复测量。</x:v>
      </x:c>
    </x:row>
    <x:row r="623" ht="23" customHeight="1">
      <x:c r="A623" s="21" t="str">
        <x:v>严格基线调整</x:v>
      </x:c>
      <x:c r="B623" s="22" t="str">
        <x:v>分组熵权型</x:v>
      </x:c>
      <x:c r="C623" s="22" t="str">
        <x:v>后20%</x:v>
      </x:c>
      <x:c r="D623" s="22" t="str">
        <x:v>严格进入</x:v>
      </x:c>
      <x:c r="E623" s="22" t="str">
        <x:v>2025秋:259059</x:v>
      </x:c>
      <x:c r="F623" s="22" t="str">
        <x:v>s3</x:v>
      </x:c>
      <x:c r="G623" s="26" t="n">
        <x:v>139.5</x:v>
      </x:c>
      <x:c r="H623" s="25" t="n">
        <x:v>45.228359094130134</x:v>
      </x:c>
      <x:c r="I623" s="24" t="n">
        <x:v>1</x:v>
      </x:c>
      <x:c r="J623" s="24" t="n">
        <x:v>1</x:v>
      </x:c>
      <x:c r="K623" s="22" t="str">
        <x:v>是</x:v>
      </x:c>
      <x:c r="L623" s="22" t="n">
        <x:v>0.1378436184469648</x:v>
      </x:c>
      <x:c r="M623" s="22" t="n">
        <x:v>14.978636712136668</x:v>
      </x:c>
      <x:c r="N623" s="22" t="n">
        <x:v>15.111878763546505</x:v>
      </x:c>
      <x:c r="O623" s="22" t="n">
        <x:v>15</x:v>
      </x:c>
      <x:c r="P623" s="24" t="n">
        <x:v>4</x:v>
      </x:c>
      <x:c r="Q623" s="22" t="str">
        <x:v>["S0426"]</x:v>
      </x:c>
      <x:c r="R623" s="22" t="str">
        <x:v>evidence/student_evidence.jsonl；student_key=2025秋:259059</x:v>
      </x:c>
      <x:c r="S623" s="27" t="str"/>
    </x:row>
    <x:row r="624" ht="23" customHeight="1">
      <x:c r="A624" s="21" t="str">
        <x:v>严格基线调整</x:v>
      </x:c>
      <x:c r="B624" s="22" t="str">
        <x:v>分组熵权型</x:v>
      </x:c>
      <x:c r="C624" s="22" t="str">
        <x:v>后20%</x:v>
      </x:c>
      <x:c r="D624" s="22" t="str">
        <x:v>严格进入</x:v>
      </x:c>
      <x:c r="E624" s="22" t="str">
        <x:v>2025秋:259106</x:v>
      </x:c>
      <x:c r="F624" s="22" t="str">
        <x:v>s3</x:v>
      </x:c>
      <x:c r="G624" s="26" t="n">
        <x:v>139.5</x:v>
      </x:c>
      <x:c r="H624" s="25" t="n">
        <x:v>45.228359094130134</x:v>
      </x:c>
      <x:c r="I624" s="24" t="n">
        <x:v>1</x:v>
      </x:c>
      <x:c r="J624" s="24" t="n">
        <x:v>1</x:v>
      </x:c>
      <x:c r="K624" s="22" t="str">
        <x:v>是</x:v>
      </x:c>
      <x:c r="L624" s="22" t="n">
        <x:v>0.1378436184469648</x:v>
      </x:c>
      <x:c r="M624" s="22" t="n">
        <x:v>14.978636712136668</x:v>
      </x:c>
      <x:c r="N624" s="22" t="n">
        <x:v>15.111878763546505</x:v>
      </x:c>
      <x:c r="O624" s="22" t="n">
        <x:v>15</x:v>
      </x:c>
      <x:c r="P624" s="24" t="n">
        <x:v>4</x:v>
      </x:c>
      <x:c r="Q624" s="22" t="str">
        <x:v>["S0005"]</x:v>
      </x:c>
      <x:c r="R624" s="22" t="str">
        <x:v>evidence/student_evidence.jsonl；student_key=2025秋:259106</x:v>
      </x:c>
      <x:c r="S624" s="27" t="str"/>
    </x:row>
    <x:row r="625" ht="48" customHeight="1">
      <x:c r="A625" s="21" t="str">
        <x:v>严格基线调整</x:v>
      </x:c>
      <x:c r="B625" s="22" t="str">
        <x:v>分组熵权型</x:v>
      </x:c>
      <x:c r="C625" s="22" t="str">
        <x:v>后20%</x:v>
      </x:c>
      <x:c r="D625" s="22" t="str">
        <x:v>严格进入</x:v>
      </x:c>
      <x:c r="E625" s="22" t="str">
        <x:v>2025秋:259346</x:v>
      </x:c>
      <x:c r="F625" s="22" t="str">
        <x:v>s3</x:v>
      </x:c>
      <x:c r="G625" s="26" t="n">
        <x:v>139.5</x:v>
      </x:c>
      <x:c r="H625" s="25" t="n">
        <x:v>45.228359094130134</x:v>
      </x:c>
      <x:c r="I625" s="24" t="n">
        <x:v>1</x:v>
      </x:c>
      <x:c r="J625" s="24" t="n">
        <x:v>1</x:v>
      </x:c>
      <x:c r="K625" s="22" t="str">
        <x:v>是</x:v>
      </x:c>
      <x:c r="L625" s="22" t="n">
        <x:v>0.1378436184469648</x:v>
      </x:c>
      <x:c r="M625" s="22" t="n">
        <x:v>14.978636712136668</x:v>
      </x:c>
      <x:c r="N625" s="22" t="n">
        <x:v>15.111878763546505</x:v>
      </x:c>
      <x:c r="O625" s="22" t="n">
        <x:v>15</x:v>
      </x:c>
      <x:c r="P625" s="24" t="n">
        <x:v>4</x:v>
      </x:c>
      <x:c r="Q625" s="22" t="str">
        <x:v>["S0672"]</x:v>
      </x:c>
      <x:c r="R625" s="22" t="str">
        <x:v>evidence/student_evidence.jsonl；student_key=2025秋:259346</x:v>
      </x:c>
      <x:c r="S625" s="27" t="str">
        <x:v>同一锚点起止1条：未形成独立重复测量。</x:v>
      </x:c>
    </x:row>
    <x:row r="626" ht="23" customHeight="1">
      <x:c r="A626" s="21" t="str">
        <x:v>严格基线调整</x:v>
      </x:c>
      <x:c r="B626" s="22" t="str">
        <x:v>分组熵权型</x:v>
      </x:c>
      <x:c r="C626" s="22" t="str">
        <x:v>后20%</x:v>
      </x:c>
      <x:c r="D626" s="22" t="str">
        <x:v>严格进入</x:v>
      </x:c>
      <x:c r="E626" s="22" t="str">
        <x:v>2026春:258955</x:v>
      </x:c>
      <x:c r="F626" s="22" t="str">
        <x:v>s3</x:v>
      </x:c>
      <x:c r="G626" s="26" t="n">
        <x:v>139.5</x:v>
      </x:c>
      <x:c r="H626" s="25" t="n">
        <x:v>45.228359094130134</x:v>
      </x:c>
      <x:c r="I626" s="24" t="n">
        <x:v>1</x:v>
      </x:c>
      <x:c r="J626" s="24" t="n">
        <x:v>1</x:v>
      </x:c>
      <x:c r="K626" s="22" t="str">
        <x:v>是</x:v>
      </x:c>
      <x:c r="L626" s="22" t="n">
        <x:v>0.1378436184469648</x:v>
      </x:c>
      <x:c r="M626" s="22" t="n">
        <x:v>14.978636712136668</x:v>
      </x:c>
      <x:c r="N626" s="22" t="n">
        <x:v>15.111878763546505</x:v>
      </x:c>
      <x:c r="O626" s="22" t="n">
        <x:v>15</x:v>
      </x:c>
      <x:c r="P626" s="24" t="n">
        <x:v>4</x:v>
      </x:c>
      <x:c r="Q626" s="22" t="str">
        <x:v>["S0838"]</x:v>
      </x:c>
      <x:c r="R626" s="22" t="str">
        <x:v>evidence/student_evidence.jsonl；student_key=2026春:258955</x:v>
      </x:c>
      <x:c r="S626" s="27" t="str"/>
    </x:row>
    <x:row r="627" ht="23" customHeight="1">
      <x:c r="A627" s="21" t="str">
        <x:v>严格基线调整</x:v>
      </x:c>
      <x:c r="B627" s="22" t="str">
        <x:v>分组熵权型</x:v>
      </x:c>
      <x:c r="C627" s="22" t="str">
        <x:v>后20%</x:v>
      </x:c>
      <x:c r="D627" s="22" t="str">
        <x:v>严格进入</x:v>
      </x:c>
      <x:c r="E627" s="22" t="str">
        <x:v>2026春:268176</x:v>
      </x:c>
      <x:c r="F627" s="22" t="str">
        <x:v>s3</x:v>
      </x:c>
      <x:c r="G627" s="26" t="n">
        <x:v>139.5</x:v>
      </x:c>
      <x:c r="H627" s="25" t="n">
        <x:v>45.228359094130134</x:v>
      </x:c>
      <x:c r="I627" s="24" t="n">
        <x:v>1</x:v>
      </x:c>
      <x:c r="J627" s="24" t="n">
        <x:v>1</x:v>
      </x:c>
      <x:c r="K627" s="22" t="str">
        <x:v>是</x:v>
      </x:c>
      <x:c r="L627" s="22" t="n">
        <x:v>0.1378436184469648</x:v>
      </x:c>
      <x:c r="M627" s="22" t="n">
        <x:v>14.978636712136668</x:v>
      </x:c>
      <x:c r="N627" s="22" t="n">
        <x:v>15.111878763546505</x:v>
      </x:c>
      <x:c r="O627" s="22" t="n">
        <x:v>15</x:v>
      </x:c>
      <x:c r="P627" s="24" t="n">
        <x:v>4</x:v>
      </x:c>
      <x:c r="Q627" s="22" t="str">
        <x:v>["S1047"]</x:v>
      </x:c>
      <x:c r="R627" s="22" t="str">
        <x:v>evidence/student_evidence.jsonl；student_key=2026春:268176</x:v>
      </x:c>
      <x:c r="S627" s="27" t="str"/>
    </x:row>
    <x:row r="628" ht="23" customHeight="1">
      <x:c r="A628" s="21" t="str">
        <x:v>严格基线调整</x:v>
      </x:c>
      <x:c r="B628" s="22" t="str">
        <x:v>分组熵权型</x:v>
      </x:c>
      <x:c r="C628" s="22" t="str">
        <x:v>后20%</x:v>
      </x:c>
      <x:c r="D628" s="22" t="str">
        <x:v>严格进入</x:v>
      </x:c>
      <x:c r="E628" s="22" t="str">
        <x:v>2026春:268538</x:v>
      </x:c>
      <x:c r="F628" s="22" t="str">
        <x:v>s3</x:v>
      </x:c>
      <x:c r="G628" s="26" t="n">
        <x:v>139.5</x:v>
      </x:c>
      <x:c r="H628" s="25" t="n">
        <x:v>45.228359094130134</x:v>
      </x:c>
      <x:c r="I628" s="24" t="n">
        <x:v>1</x:v>
      </x:c>
      <x:c r="J628" s="24" t="n">
        <x:v>1</x:v>
      </x:c>
      <x:c r="K628" s="22" t="str">
        <x:v>是</x:v>
      </x:c>
      <x:c r="L628" s="22" t="n">
        <x:v>0.1378436184469648</x:v>
      </x:c>
      <x:c r="M628" s="22" t="n">
        <x:v>14.978636712136668</x:v>
      </x:c>
      <x:c r="N628" s="22" t="n">
        <x:v>15.111878763546505</x:v>
      </x:c>
      <x:c r="O628" s="22" t="n">
        <x:v>15</x:v>
      </x:c>
      <x:c r="P628" s="24" t="n">
        <x:v>4</x:v>
      </x:c>
      <x:c r="Q628" s="22" t="str">
        <x:v>["S1276"]</x:v>
      </x:c>
      <x:c r="R628" s="22" t="str">
        <x:v>evidence/student_evidence.jsonl；student_key=2026春:268538</x:v>
      </x:c>
      <x:c r="S628" s="27" t="str"/>
    </x:row>
    <x:row r="629" ht="48" customHeight="1">
      <x:c r="A629" s="21" t="str">
        <x:v>严格基线调整</x:v>
      </x:c>
      <x:c r="B629" s="22" t="str">
        <x:v>分组熵权型</x:v>
      </x:c>
      <x:c r="C629" s="22" t="str">
        <x:v>后20%</x:v>
      </x:c>
      <x:c r="D629" s="22" t="str">
        <x:v>严格进入</x:v>
      </x:c>
      <x:c r="E629" s="22" t="str">
        <x:v>2026春:250845</x:v>
      </x:c>
      <x:c r="F629" s="22" t="str">
        <x:v>s6</x:v>
      </x:c>
      <x:c r="G629" s="26" t="n">
        <x:v>144</x:v>
      </x:c>
      <x:c r="H629" s="25" t="n">
        <x:v>44.50015810547555</x:v>
      </x:c>
      <x:c r="I629" s="24" t="n">
        <x:v>1</x:v>
      </x:c>
      <x:c r="J629" s="24" t="n">
        <x:v>1</x:v>
      </x:c>
      <x:c r="K629" s="22" t="str">
        <x:v>是</x:v>
      </x:c>
      <x:c r="L629" s="22" t="n">
        <x:v>0.1376009808548598</x:v>
      </x:c>
      <x:c r="M629" s="22" t="n">
        <x:v>14.616269251501352</x:v>
      </x:c>
      <x:c r="N629" s="22" t="n">
        <x:v>14.746287873119337</x:v>
      </x:c>
      <x:c r="O629" s="22" t="n">
        <x:v>15</x:v>
      </x:c>
      <x:c r="P629" s="24" t="n">
        <x:v>4</x:v>
      </x:c>
      <x:c r="Q629" s="22" t="str">
        <x:v>["S0825"]</x:v>
      </x:c>
      <x:c r="R629" s="22" t="str">
        <x:v>evidence/student_evidence.jsonl；student_key=2026春:250845</x:v>
      </x:c>
      <x:c r="S629" s="27" t="str">
        <x:v>同一锚点起止1条：未形成独立重复测量。</x:v>
      </x:c>
    </x:row>
    <x:row r="630" ht="23" customHeight="1">
      <x:c r="A630" s="21" t="str">
        <x:v>严格基线调整</x:v>
      </x:c>
      <x:c r="B630" s="22" t="str">
        <x:v>分组熵权型</x:v>
      </x:c>
      <x:c r="C630" s="22" t="str">
        <x:v>后20%</x:v>
      </x:c>
      <x:c r="D630" s="22" t="str">
        <x:v>严格进入</x:v>
      </x:c>
      <x:c r="E630" s="22" t="str">
        <x:v>2026春:268133</x:v>
      </x:c>
      <x:c r="F630" s="22" t="str">
        <x:v>s3</x:v>
      </x:c>
      <x:c r="G630" s="26" t="n">
        <x:v>145</x:v>
      </x:c>
      <x:c r="H630" s="25" t="n">
        <x:v>42.27480607303162</x:v>
      </x:c>
      <x:c r="I630" s="24" t="n">
        <x:v>1</x:v>
      </x:c>
      <x:c r="J630" s="24" t="n">
        <x:v>1</x:v>
      </x:c>
      <x:c r="K630" s="22" t="str">
        <x:v>是</x:v>
      </x:c>
      <x:c r="L630" s="22" t="n">
        <x:v>0.13935850096536373</x:v>
      </x:c>
      <x:c r="M630" s="22" t="n">
        <x:v>17.241040186349874</x:v>
      </x:c>
      <x:c r="N630" s="22" t="n">
        <x:v>17.394407385716377</x:v>
      </x:c>
      <x:c r="O630" s="22" t="n">
        <x:v>7.5</x:v>
      </x:c>
      <x:c r="P630" s="24" t="n">
        <x:v>4</x:v>
      </x:c>
      <x:c r="Q630" s="22" t="str">
        <x:v>["S0944"]</x:v>
      </x:c>
      <x:c r="R630" s="22" t="str">
        <x:v>evidence/student_evidence.jsonl；student_key=2026春:268133</x:v>
      </x:c>
      <x:c r="S630" s="27" t="str"/>
    </x:row>
    <x:row r="631" ht="23" customHeight="1">
      <x:c r="A631" s="21" t="str">
        <x:v>严格基线调整</x:v>
      </x:c>
      <x:c r="B631" s="22" t="str">
        <x:v>分组熵权型</x:v>
      </x:c>
      <x:c r="C631" s="22" t="str">
        <x:v>后20%</x:v>
      </x:c>
      <x:c r="D631" s="22" t="str">
        <x:v>严格进入</x:v>
      </x:c>
      <x:c r="E631" s="22" t="str">
        <x:v>2026春:250868</x:v>
      </x:c>
      <x:c r="F631" s="22" t="str">
        <x:v>s3</x:v>
      </x:c>
      <x:c r="G631" s="26" t="n">
        <x:v>146</x:v>
      </x:c>
      <x:c r="H631" s="25" t="n">
        <x:v>42.02678792804773</x:v>
      </x:c>
      <x:c r="I631" s="24" t="n">
        <x:v>1</x:v>
      </x:c>
      <x:c r="J631" s="24" t="n">
        <x:v>1</x:v>
      </x:c>
      <x:c r="K631" s="22" t="str">
        <x:v>是</x:v>
      </x:c>
      <x:c r="L631" s="22" t="n">
        <x:v>0.13927586097113848</x:v>
      </x:c>
      <x:c r="M631" s="22" t="n">
        <x:v>17.117621368208276</x:v>
      </x:c>
      <x:c r="N631" s="22" t="n">
        <x:v>17.269890698868316</x:v>
      </x:c>
      <x:c r="O631" s="22" t="n">
        <x:v>7.5</x:v>
      </x:c>
      <x:c r="P631" s="24" t="n">
        <x:v>4</x:v>
      </x:c>
      <x:c r="Q631" s="22" t="str">
        <x:v>["S0828"]</x:v>
      </x:c>
      <x:c r="R631" s="22" t="str">
        <x:v>evidence/student_evidence.jsonl；student_key=2026春:250868</x:v>
      </x:c>
      <x:c r="S631" s="27" t="str"/>
    </x:row>
    <x:row r="632" ht="48" customHeight="1">
      <x:c r="A632" s="21" t="str">
        <x:v>严格基线调整</x:v>
      </x:c>
      <x:c r="B632" s="22" t="str">
        <x:v>四项原始熵权对照</x:v>
      </x:c>
      <x:c r="C632" s="22" t="str">
        <x:v>前20%</x:v>
      </x:c>
      <x:c r="D632" s="22" t="str">
        <x:v>严格进入</x:v>
      </x:c>
      <x:c r="E632" s="22" t="str">
        <x:v>2025秋:259329</x:v>
      </x:c>
      <x:c r="F632" s="22" t="str">
        <x:v>s6</x:v>
      </x:c>
      <x:c r="G632" s="26" t="n">
        <x:v>1</x:v>
      </x:c>
      <x:c r="H632" s="25" t="n">
        <x:v>93.26769702131323</x:v>
      </x:c>
      <x:c r="I632" s="24" t="n">
        <x:v>1</x:v>
      </x:c>
      <x:c r="J632" s="24" t="n">
        <x:v>1</x:v>
      </x:c>
      <x:c r="K632" s="22" t="str">
        <x:v>是</x:v>
      </x:c>
      <x:c r="L632" s="22" t="n">
        <x:v>0.07847522379419178</x:v>
      </x:c>
      <x:c r="M632" s="22" t="n">
        <x:v>15.224631231358888</x:v>
      </x:c>
      <x:c r="N632" s="22" t="n">
        <x:v>15.360061520257002</x:v>
      </x:c>
      <x:c r="O632" s="22" t="n">
        <x:v>62.604529045903135</x:v>
      </x:c>
      <x:c r="P632" s="24" t="n">
        <x:v>4</x:v>
      </x:c>
      <x:c r="Q632" s="22" t="str">
        <x:v>["S0112"]</x:v>
      </x:c>
      <x:c r="R632" s="22" t="str">
        <x:v>evidence/student_evidence.jsonl；student_key=2025秋:259329</x:v>
      </x:c>
      <x:c r="S632" s="27" t="str">
        <x:v>S0112库存案例为文字框架，未见完整方程、求解及验证；L6构造要求需复核。</x:v>
      </x:c>
    </x:row>
    <x:row r="633" ht="23" customHeight="1">
      <x:c r="A633" s="21" t="str">
        <x:v>严格基线调整</x:v>
      </x:c>
      <x:c r="B633" s="22" t="str">
        <x:v>四项原始熵权对照</x:v>
      </x:c>
      <x:c r="C633" s="22" t="str">
        <x:v>前20%</x:v>
      </x:c>
      <x:c r="D633" s="22" t="str">
        <x:v>严格进入</x:v>
      </x:c>
      <x:c r="E633" s="22" t="str">
        <x:v>2025秋:258902</x:v>
      </x:c>
      <x:c r="F633" s="22" t="str">
        <x:v>s3</x:v>
      </x:c>
      <x:c r="G633" s="26" t="n">
        <x:v>2.5</x:v>
      </x:c>
      <x:c r="H633" s="25" t="n">
        <x:v>88.11832761271373</x:v>
      </x:c>
      <x:c r="I633" s="24" t="n">
        <x:v>1</x:v>
      </x:c>
      <x:c r="J633" s="24" t="n">
        <x:v>1</x:v>
      </x:c>
      <x:c r="K633" s="22" t="str">
        <x:v>是</x:v>
      </x:c>
      <x:c r="L633" s="22" t="n">
        <x:v>0.0767594466754734</x:v>
      </x:c>
      <x:c r="M633" s="22" t="n">
        <x:v>12.662201427583291</x:v>
      </x:c>
      <x:c r="N633" s="22" t="n">
        <x:v>12.774837692551836</x:v>
      </x:c>
      <x:c r="O633" s="22" t="n">
        <x:v>62.604529045903135</x:v>
      </x:c>
      <x:c r="P633" s="24" t="n">
        <x:v>4</x:v>
      </x:c>
      <x:c r="Q633" s="22" t="str">
        <x:v>["S0149"]</x:v>
      </x:c>
      <x:c r="R633" s="22" t="str">
        <x:v>evidence/student_evidence.jsonl；student_key=2025秋:258902</x:v>
      </x:c>
      <x:c r="S633" s="27" t="str"/>
    </x:row>
    <x:row r="634" ht="23" customHeight="1">
      <x:c r="A634" s="21" t="str">
        <x:v>严格基线调整</x:v>
      </x:c>
      <x:c r="B634" s="22" t="str">
        <x:v>四项原始熵权对照</x:v>
      </x:c>
      <x:c r="C634" s="22" t="str">
        <x:v>前20%</x:v>
      </x:c>
      <x:c r="D634" s="22" t="str">
        <x:v>严格进入</x:v>
      </x:c>
      <x:c r="E634" s="22" t="str">
        <x:v>2025秋:259407</x:v>
      </x:c>
      <x:c r="F634" s="22" t="str">
        <x:v>s3</x:v>
      </x:c>
      <x:c r="G634" s="26" t="n">
        <x:v>2.5</x:v>
      </x:c>
      <x:c r="H634" s="25" t="n">
        <x:v>88.11832761271373</x:v>
      </x:c>
      <x:c r="I634" s="24" t="n">
        <x:v>1</x:v>
      </x:c>
      <x:c r="J634" s="24" t="n">
        <x:v>1</x:v>
      </x:c>
      <x:c r="K634" s="22" t="str">
        <x:v>是</x:v>
      </x:c>
      <x:c r="L634" s="22" t="n">
        <x:v>0.0767594466754734</x:v>
      </x:c>
      <x:c r="M634" s="22" t="n">
        <x:v>12.662201427583291</x:v>
      </x:c>
      <x:c r="N634" s="22" t="n">
        <x:v>12.774837692551836</x:v>
      </x:c>
      <x:c r="O634" s="22" t="n">
        <x:v>62.604529045903135</x:v>
      </x:c>
      <x:c r="P634" s="24" t="n">
        <x:v>4</x:v>
      </x:c>
      <x:c r="Q634" s="22" t="str">
        <x:v>["S0036"]</x:v>
      </x:c>
      <x:c r="R634" s="22" t="str">
        <x:v>evidence/student_evidence.jsonl；student_key=2025秋:259407</x:v>
      </x:c>
      <x:c r="S634" s="27" t="str"/>
    </x:row>
    <x:row r="635" ht="23" customHeight="1">
      <x:c r="A635" s="21" t="str">
        <x:v>严格基线调整</x:v>
      </x:c>
      <x:c r="B635" s="22" t="str">
        <x:v>四项原始熵权对照</x:v>
      </x:c>
      <x:c r="C635" s="22" t="str">
        <x:v>前20%</x:v>
      </x:c>
      <x:c r="D635" s="22" t="str">
        <x:v>严格进入</x:v>
      </x:c>
      <x:c r="E635" s="22" t="str">
        <x:v>2025秋:259021</x:v>
      </x:c>
      <x:c r="F635" s="22" t="str">
        <x:v>s3</x:v>
      </x:c>
      <x:c r="G635" s="26" t="n">
        <x:v>4.5</x:v>
      </x:c>
      <x:c r="H635" s="25" t="n">
        <x:v>87.99607219839713</x:v>
      </x:c>
      <x:c r="I635" s="24" t="n">
        <x:v>1</x:v>
      </x:c>
      <x:c r="J635" s="24" t="n">
        <x:v>1</x:v>
      </x:c>
      <x:c r="K635" s="22" t="str">
        <x:v>是</x:v>
      </x:c>
      <x:c r="L635" s="22" t="n">
        <x:v>0.0767187109997276</x:v>
      </x:c>
      <x:c r="M635" s="22" t="n">
        <x:v>12.60136467409758</x:v>
      </x:c>
      <x:c r="N635" s="22" t="n">
        <x:v>12.713459767396676</x:v>
      </x:c>
      <x:c r="O635" s="22" t="n">
        <x:v>62.604529045903135</x:v>
      </x:c>
      <x:c r="P635" s="24" t="n">
        <x:v>4</x:v>
      </x:c>
      <x:c r="Q635" s="22" t="str">
        <x:v>["S0464"]</x:v>
      </x:c>
      <x:c r="R635" s="22" t="str">
        <x:v>evidence/student_evidence.jsonl；student_key=2025秋:259021</x:v>
      </x:c>
      <x:c r="S635" s="27" t="str"/>
    </x:row>
    <x:row r="636" ht="23" customHeight="1">
      <x:c r="A636" s="21" t="str">
        <x:v>严格基线调整</x:v>
      </x:c>
      <x:c r="B636" s="22" t="str">
        <x:v>四项原始熵权对照</x:v>
      </x:c>
      <x:c r="C636" s="22" t="str">
        <x:v>前20%</x:v>
      </x:c>
      <x:c r="D636" s="22" t="str">
        <x:v>严格进入</x:v>
      </x:c>
      <x:c r="E636" s="22" t="str">
        <x:v>2025秋:25A081</x:v>
      </x:c>
      <x:c r="F636" s="22" t="str">
        <x:v>s3</x:v>
      </x:c>
      <x:c r="G636" s="26" t="n">
        <x:v>4.5</x:v>
      </x:c>
      <x:c r="H636" s="25" t="n">
        <x:v>87.99607219839713</x:v>
      </x:c>
      <x:c r="I636" s="24" t="n">
        <x:v>1</x:v>
      </x:c>
      <x:c r="J636" s="24" t="n">
        <x:v>1</x:v>
      </x:c>
      <x:c r="K636" s="22" t="str">
        <x:v>是</x:v>
      </x:c>
      <x:c r="L636" s="22" t="n">
        <x:v>0.0767187109997276</x:v>
      </x:c>
      <x:c r="M636" s="22" t="n">
        <x:v>12.60136467409758</x:v>
      </x:c>
      <x:c r="N636" s="22" t="n">
        <x:v>12.713459767396676</x:v>
      </x:c>
      <x:c r="O636" s="22" t="n">
        <x:v>62.604529045903135</x:v>
      </x:c>
      <x:c r="P636" s="24" t="n">
        <x:v>4</x:v>
      </x:c>
      <x:c r="Q636" s="22" t="str">
        <x:v>["S0411"]</x:v>
      </x:c>
      <x:c r="R636" s="22" t="str">
        <x:v>evidence/student_evidence.jsonl；student_key=2025秋:25A081</x:v>
      </x:c>
      <x:c r="S636" s="27" t="str"/>
    </x:row>
    <x:row r="637" ht="23" customHeight="1">
      <x:c r="A637" s="21" t="str">
        <x:v>严格基线调整</x:v>
      </x:c>
      <x:c r="B637" s="22" t="str">
        <x:v>四项原始熵权对照</x:v>
      </x:c>
      <x:c r="C637" s="22" t="str">
        <x:v>前20%</x:v>
      </x:c>
      <x:c r="D637" s="22" t="str">
        <x:v>严格进入</x:v>
      </x:c>
      <x:c r="E637" s="22" t="str">
        <x:v>2025秋:259961</x:v>
      </x:c>
      <x:c r="F637" s="22" t="str">
        <x:v>s3</x:v>
      </x:c>
      <x:c r="G637" s="26" t="n">
        <x:v>6</x:v>
      </x:c>
      <x:c r="H637" s="25" t="n">
        <x:v>87.9395284419224</x:v>
      </x:c>
      <x:c r="I637" s="24" t="n">
        <x:v>1</x:v>
      </x:c>
      <x:c r="J637" s="24" t="n">
        <x:v>1</x:v>
      </x:c>
      <x:c r="K637" s="22" t="str">
        <x:v>是</x:v>
      </x:c>
      <x:c r="L637" s="22" t="n">
        <x:v>0.0766998705406602</x:v>
      </x:c>
      <x:c r="M637" s="22" t="n">
        <x:v>12.573227363426822</x:v>
      </x:c>
      <x:c r="N637" s="22" t="n">
        <x:v>12.68507216205178</x:v>
      </x:c>
      <x:c r="O637" s="22" t="n">
        <x:v>62.604529045903135</x:v>
      </x:c>
      <x:c r="P637" s="24" t="n">
        <x:v>4</x:v>
      </x:c>
      <x:c r="Q637" s="22" t="str">
        <x:v>["S0296"]</x:v>
      </x:c>
      <x:c r="R637" s="22" t="str">
        <x:v>evidence/student_evidence.jsonl；student_key=2025秋:259961</x:v>
      </x:c>
      <x:c r="S637" s="27" t="str"/>
    </x:row>
    <x:row r="638" ht="23" customHeight="1">
      <x:c r="A638" s="21" t="str">
        <x:v>严格基线调整</x:v>
      </x:c>
      <x:c r="B638" s="22" t="str">
        <x:v>四项原始熵权对照</x:v>
      </x:c>
      <x:c r="C638" s="22" t="str">
        <x:v>前20%</x:v>
      </x:c>
      <x:c r="D638" s="22" t="str">
        <x:v>严格进入</x:v>
      </x:c>
      <x:c r="E638" s="22" t="str">
        <x:v>2025秋:25A134</x:v>
      </x:c>
      <x:c r="F638" s="22" t="str">
        <x:v>s3</x:v>
      </x:c>
      <x:c r="G638" s="26" t="n">
        <x:v>7</x:v>
      </x:c>
      <x:c r="H638" s="25" t="n">
        <x:v>87.83880890767962</x:v>
      </x:c>
      <x:c r="I638" s="24" t="n">
        <x:v>1</x:v>
      </x:c>
      <x:c r="J638" s="24" t="n">
        <x:v>1</x:v>
      </x:c>
      <x:c r="K638" s="22" t="str">
        <x:v>是</x:v>
      </x:c>
      <x:c r="L638" s="22" t="n">
        <x:v>0.07666631065040001</x:v>
      </x:c>
      <x:c r="M638" s="22" t="n">
        <x:v>12.523107297087227</x:v>
      </x:c>
      <x:c r="N638" s="22" t="n">
        <x:v>12.634506254038858</x:v>
      </x:c>
      <x:c r="O638" s="22" t="n">
        <x:v>62.604529045903135</x:v>
      </x:c>
      <x:c r="P638" s="24" t="n">
        <x:v>4</x:v>
      </x:c>
      <x:c r="Q638" s="22" t="str">
        <x:v>["S0311"]</x:v>
      </x:c>
      <x:c r="R638" s="22" t="str">
        <x:v>evidence/student_evidence.jsonl；student_key=2025秋:25A134</x:v>
      </x:c>
      <x:c r="S638" s="27" t="str"/>
    </x:row>
    <x:row r="639" ht="23" customHeight="1">
      <x:c r="A639" s="21" t="str">
        <x:v>严格基线调整</x:v>
      </x:c>
      <x:c r="B639" s="22" t="str">
        <x:v>四项原始熵权对照</x:v>
      </x:c>
      <x:c r="C639" s="22" t="str">
        <x:v>前20%</x:v>
      </x:c>
      <x:c r="D639" s="22" t="str">
        <x:v>严格进入</x:v>
      </x:c>
      <x:c r="E639" s="22" t="str">
        <x:v>2025秋:258878</x:v>
      </x:c>
      <x:c r="F639" s="22" t="str">
        <x:v>s3</x:v>
      </x:c>
      <x:c r="G639" s="26" t="n">
        <x:v>8.5</x:v>
      </x:c>
      <x:c r="H639" s="25" t="n">
        <x:v>87.82617017185869</x:v>
      </x:c>
      <x:c r="I639" s="24" t="n">
        <x:v>1</x:v>
      </x:c>
      <x:c r="J639" s="24" t="n">
        <x:v>1</x:v>
      </x:c>
      <x:c r="K639" s="22" t="str">
        <x:v>是</x:v>
      </x:c>
      <x:c r="L639" s="22" t="n">
        <x:v>0.07666209940587464</x:v>
      </x:c>
      <x:c r="M639" s="22" t="n">
        <x:v>12.516818007898637</x:v>
      </x:c>
      <x:c r="N639" s="22" t="n">
        <x:v>12.628161018651058</x:v>
      </x:c>
      <x:c r="O639" s="22" t="n">
        <x:v>62.604529045903135</x:v>
      </x:c>
      <x:c r="P639" s="24" t="n">
        <x:v>4</x:v>
      </x:c>
      <x:c r="Q639" s="22" t="str">
        <x:v>["S0364"]</x:v>
      </x:c>
      <x:c r="R639" s="22" t="str">
        <x:v>evidence/student_evidence.jsonl；student_key=2025秋:258878</x:v>
      </x:c>
      <x:c r="S639" s="27" t="str"/>
    </x:row>
    <x:row r="640" ht="23" customHeight="1">
      <x:c r="A640" s="21" t="str">
        <x:v>严格基线调整</x:v>
      </x:c>
      <x:c r="B640" s="22" t="str">
        <x:v>四项原始熵权对照</x:v>
      </x:c>
      <x:c r="C640" s="22" t="str">
        <x:v>前20%</x:v>
      </x:c>
      <x:c r="D640" s="22" t="str">
        <x:v>严格进入</x:v>
      </x:c>
      <x:c r="E640" s="22" t="str">
        <x:v>2025秋:258888</x:v>
      </x:c>
      <x:c r="F640" s="22" t="str">
        <x:v>s3</x:v>
      </x:c>
      <x:c r="G640" s="26" t="n">
        <x:v>8.5</x:v>
      </x:c>
      <x:c r="H640" s="25" t="n">
        <x:v>87.82617017185869</x:v>
      </x:c>
      <x:c r="I640" s="24" t="n">
        <x:v>2</x:v>
      </x:c>
      <x:c r="J640" s="24" t="n">
        <x:v>1</x:v>
      </x:c>
      <x:c r="K640" s="22" t="str">
        <x:v>是</x:v>
      </x:c>
      <x:c r="L640" s="22" t="n">
        <x:v>0.07666209940587464</x:v>
      </x:c>
      <x:c r="M640" s="22" t="n">
        <x:v>12.516818007898637</x:v>
      </x:c>
      <x:c r="N640" s="22" t="n">
        <x:v>12.628161018651058</x:v>
      </x:c>
      <x:c r="O640" s="22" t="n">
        <x:v>62.604529045903135</x:v>
      </x:c>
      <x:c r="P640" s="24" t="n">
        <x:v>4</x:v>
      </x:c>
      <x:c r="Q640" s="22" t="str">
        <x:v>["S0190","S0365"]</x:v>
      </x:c>
      <x:c r="R640" s="22" t="str">
        <x:v>evidence/student_evidence.jsonl；student_key=2025秋:258888</x:v>
      </x:c>
      <x:c r="S640" s="27" t="str"/>
    </x:row>
    <x:row r="641" ht="23" customHeight="1">
      <x:c r="A641" s="21" t="str">
        <x:v>严格基线调整</x:v>
      </x:c>
      <x:c r="B641" s="22" t="str">
        <x:v>四项原始熵权对照</x:v>
      </x:c>
      <x:c r="C641" s="22" t="str">
        <x:v>前20%</x:v>
      </x:c>
      <x:c r="D641" s="22" t="str">
        <x:v>严格进入</x:v>
      </x:c>
      <x:c r="E641" s="22" t="str">
        <x:v>2025秋:258988</x:v>
      </x:c>
      <x:c r="F641" s="22" t="str">
        <x:v>s3</x:v>
      </x:c>
      <x:c r="G641" s="26" t="n">
        <x:v>10</x:v>
      </x:c>
      <x:c r="H641" s="25" t="n">
        <x:v>87.75493293974081</x:v>
      </x:c>
      <x:c r="I641" s="24" t="n">
        <x:v>1</x:v>
      </x:c>
      <x:c r="J641" s="24" t="n">
        <x:v>1</x:v>
      </x:c>
      <x:c r="K641" s="22" t="str">
        <x:v>是</x:v>
      </x:c>
      <x:c r="L641" s="22" t="n">
        <x:v>0.07663836306008742</x:v>
      </x:c>
      <x:c r="M641" s="22" t="n">
        <x:v>12.481368928170053</x:v>
      </x:c>
      <x:c r="N641" s="22" t="n">
        <x:v>12.592396602607533</x:v>
      </x:c>
      <x:c r="O641" s="22" t="n">
        <x:v>62.604529045903135</x:v>
      </x:c>
      <x:c r="P641" s="24" t="n">
        <x:v>4</x:v>
      </x:c>
      <x:c r="Q641" s="22" t="str">
        <x:v>["S0315"]</x:v>
      </x:c>
      <x:c r="R641" s="22" t="str">
        <x:v>evidence/student_evidence.jsonl；student_key=2025秋:258988</x:v>
      </x:c>
      <x:c r="S641" s="27" t="str"/>
    </x:row>
    <x:row r="642" ht="23" customHeight="1">
      <x:c r="A642" s="21" t="str">
        <x:v>严格基线调整</x:v>
      </x:c>
      <x:c r="B642" s="22" t="str">
        <x:v>四项原始熵权对照</x:v>
      </x:c>
      <x:c r="C642" s="22" t="str">
        <x:v>前20%</x:v>
      </x:c>
      <x:c r="D642" s="22" t="str">
        <x:v>严格进入</x:v>
      </x:c>
      <x:c r="E642" s="22" t="str">
        <x:v>2025秋:259044</x:v>
      </x:c>
      <x:c r="F642" s="22" t="str">
        <x:v>s3</x:v>
      </x:c>
      <x:c r="G642" s="26" t="n">
        <x:v>11</x:v>
      </x:c>
      <x:c r="H642" s="25" t="n">
        <x:v>87.7229343159233</x:v>
      </x:c>
      <x:c r="I642" s="24" t="n">
        <x:v>1</x:v>
      </x:c>
      <x:c r="J642" s="24" t="n">
        <x:v>1</x:v>
      </x:c>
      <x:c r="K642" s="22" t="str">
        <x:v>是</x:v>
      </x:c>
      <x:c r="L642" s="22" t="n">
        <x:v>0.07662770107369257</x:v>
      </x:c>
      <x:c r="M642" s="22" t="n">
        <x:v>12.465445769265807</x:v>
      </x:c>
      <x:c r="N642" s="22" t="n">
        <x:v>12.576331799680665</x:v>
      </x:c>
      <x:c r="O642" s="22" t="n">
        <x:v>62.604529045903135</x:v>
      </x:c>
      <x:c r="P642" s="24" t="n">
        <x:v>4</x:v>
      </x:c>
      <x:c r="Q642" s="22" t="str">
        <x:v>["S0074"]</x:v>
      </x:c>
      <x:c r="R642" s="22" t="str">
        <x:v>evidence/student_evidence.jsonl；student_key=2025秋:259044</x:v>
      </x:c>
      <x:c r="S642" s="27" t="str"/>
    </x:row>
    <x:row r="643" ht="23" customHeight="1">
      <x:c r="A643" s="21" t="str">
        <x:v>严格基线调整</x:v>
      </x:c>
      <x:c r="B643" s="22" t="str">
        <x:v>四项原始熵权对照</x:v>
      </x:c>
      <x:c r="C643" s="22" t="str">
        <x:v>前20%</x:v>
      </x:c>
      <x:c r="D643" s="22" t="str">
        <x:v>严格进入</x:v>
      </x:c>
      <x:c r="E643" s="22" t="str">
        <x:v>2025秋:258430</x:v>
      </x:c>
      <x:c r="F643" s="22" t="str">
        <x:v>s3</x:v>
      </x:c>
      <x:c r="G643" s="26" t="n">
        <x:v>12</x:v>
      </x:c>
      <x:c r="H643" s="25" t="n">
        <x:v>87.62572320621291</x:v>
      </x:c>
      <x:c r="I643" s="24" t="n">
        <x:v>1</x:v>
      </x:c>
      <x:c r="J643" s="24" t="n">
        <x:v>1</x:v>
      </x:c>
      <x:c r="K643" s="22" t="str">
        <x:v>是</x:v>
      </x:c>
      <x:c r="L643" s="22" t="n">
        <x:v>0.07617402546818912</x:v>
      </x:c>
      <x:c r="M643" s="22" t="n">
        <x:v>12.417281275180395</x:v>
      </x:c>
      <x:c r="N643" s="22" t="n">
        <x:v>12.527738859661193</x:v>
      </x:c>
      <x:c r="O643" s="22" t="n">
        <x:v>62.604529045903135</x:v>
      </x:c>
      <x:c r="P643" s="24" t="n">
        <x:v>4</x:v>
      </x:c>
      <x:c r="Q643" s="22" t="str">
        <x:v>["S0052"]</x:v>
      </x:c>
      <x:c r="R643" s="22" t="str">
        <x:v>evidence/student_evidence.jsonl；student_key=2025秋:258430</x:v>
      </x:c>
      <x:c r="S643" s="27" t="str"/>
    </x:row>
    <x:row r="644" ht="23" customHeight="1">
      <x:c r="A644" s="21" t="str">
        <x:v>严格基线调整</x:v>
      </x:c>
      <x:c r="B644" s="22" t="str">
        <x:v>四项原始熵权对照</x:v>
      </x:c>
      <x:c r="C644" s="22" t="str">
        <x:v>前20%</x:v>
      </x:c>
      <x:c r="D644" s="22" t="str">
        <x:v>严格进入</x:v>
      </x:c>
      <x:c r="E644" s="22" t="str">
        <x:v>2025秋:258858</x:v>
      </x:c>
      <x:c r="F644" s="22" t="str">
        <x:v>s3</x:v>
      </x:c>
      <x:c r="G644" s="26" t="n">
        <x:v>13</x:v>
      </x:c>
      <x:c r="H644" s="25" t="n">
        <x:v>86.64155857654687</x:v>
      </x:c>
      <x:c r="I644" s="24" t="n">
        <x:v>2</x:v>
      </x:c>
      <x:c r="J644" s="24" t="n">
        <x:v>2</x:v>
      </x:c>
      <x:c r="K644" s="22" t="str">
        <x:v>是</x:v>
      </x:c>
      <x:c r="L644" s="22" t="n">
        <x:v>0.07750218447877044</x:v>
      </x:c>
      <x:c r="M644" s="22" t="n">
        <x:v>11.770976290930506</x:v>
      </x:c>
      <x:c r="N644" s="22" t="n">
        <x:v>12.188551055234463</x:v>
      </x:c>
      <x:c r="O644" s="22" t="n">
        <x:v>62.604529045903135</x:v>
      </x:c>
      <x:c r="P644" s="24" t="n">
        <x:v>4</x:v>
      </x:c>
      <x:c r="Q644" s="22" t="str">
        <x:v>["S0103","S0232"]</x:v>
      </x:c>
      <x:c r="R644" s="22" t="str">
        <x:v>evidence/student_evidence.jsonl；student_key=2025秋:258858</x:v>
      </x:c>
      <x:c r="S644" s="27" t="str"/>
    </x:row>
    <x:row r="645" ht="23" customHeight="1">
      <x:c r="A645" s="21" t="str">
        <x:v>严格基线调整</x:v>
      </x:c>
      <x:c r="B645" s="22" t="str">
        <x:v>四项原始熵权对照</x:v>
      </x:c>
      <x:c r="C645" s="22" t="str">
        <x:v>前20%</x:v>
      </x:c>
      <x:c r="D645" s="22" t="str">
        <x:v>严格进入</x:v>
      </x:c>
      <x:c r="E645" s="22" t="str">
        <x:v>2025秋:259112</x:v>
      </x:c>
      <x:c r="F645" s="22" t="str">
        <x:v>s3</x:v>
      </x:c>
      <x:c r="G645" s="26" t="n">
        <x:v>14.5</x:v>
      </x:c>
      <x:c r="H645" s="25" t="n">
        <x:v>85.86745129640008</x:v>
      </x:c>
      <x:c r="I645" s="24" t="n">
        <x:v>1</x:v>
      </x:c>
      <x:c r="J645" s="24" t="n">
        <x:v>1</x:v>
      </x:c>
      <x:c r="K645" s="22" t="str">
        <x:v>是</x:v>
      </x:c>
      <x:c r="L645" s="22" t="n">
        <x:v>0.07600945152574756</x:v>
      </x:c>
      <x:c r="M645" s="22" t="n">
        <x:v>11.542120093371256</x:v>
      </x:c>
      <x:c r="N645" s="22" t="n">
        <x:v>11.644792705599938</x:v>
      </x:c>
      <x:c r="O645" s="22" t="n">
        <x:v>62.604529045903135</x:v>
      </x:c>
      <x:c r="P645" s="24" t="n">
        <x:v>4</x:v>
      </x:c>
      <x:c r="Q645" s="22" t="str">
        <x:v>["S0204"]</x:v>
      </x:c>
      <x:c r="R645" s="22" t="str">
        <x:v>evidence/student_evidence.jsonl；student_key=2025秋:259112</x:v>
      </x:c>
      <x:c r="S645" s="27" t="str"/>
    </x:row>
    <x:row r="646" ht="23" customHeight="1">
      <x:c r="A646" s="21" t="str">
        <x:v>严格基线调整</x:v>
      </x:c>
      <x:c r="B646" s="22" t="str">
        <x:v>四项原始熵权对照</x:v>
      </x:c>
      <x:c r="C646" s="22" t="str">
        <x:v>前20%</x:v>
      </x:c>
      <x:c r="D646" s="22" t="str">
        <x:v>严格进入</x:v>
      </x:c>
      <x:c r="E646" s="22" t="str">
        <x:v>2026春:268183</x:v>
      </x:c>
      <x:c r="F646" s="22" t="str">
        <x:v>s3</x:v>
      </x:c>
      <x:c r="G646" s="26" t="n">
        <x:v>14.5</x:v>
      </x:c>
      <x:c r="H646" s="25" t="n">
        <x:v>85.86745129640008</x:v>
      </x:c>
      <x:c r="I646" s="24" t="n">
        <x:v>1</x:v>
      </x:c>
      <x:c r="J646" s="24" t="n">
        <x:v>1</x:v>
      </x:c>
      <x:c r="K646" s="22" t="str">
        <x:v>是</x:v>
      </x:c>
      <x:c r="L646" s="22" t="n">
        <x:v>0.07600945152574756</x:v>
      </x:c>
      <x:c r="M646" s="22" t="n">
        <x:v>11.542120093371256</x:v>
      </x:c>
      <x:c r="N646" s="22" t="n">
        <x:v>11.644792705599938</x:v>
      </x:c>
      <x:c r="O646" s="22" t="n">
        <x:v>62.604529045903135</x:v>
      </x:c>
      <x:c r="P646" s="24" t="n">
        <x:v>4</x:v>
      </x:c>
      <x:c r="Q646" s="22" t="str">
        <x:v>["S1051"]</x:v>
      </x:c>
      <x:c r="R646" s="22" t="str">
        <x:v>evidence/student_evidence.jsonl；student_key=2026春:268183</x:v>
      </x:c>
      <x:c r="S646" s="27" t="str"/>
    </x:row>
    <x:row r="647" ht="23" customHeight="1">
      <x:c r="A647" s="21" t="str">
        <x:v>严格基线调整</x:v>
      </x:c>
      <x:c r="B647" s="22" t="str">
        <x:v>四项原始熵权对照</x:v>
      </x:c>
      <x:c r="C647" s="22" t="str">
        <x:v>前20%</x:v>
      </x:c>
      <x:c r="D647" s="22" t="str">
        <x:v>严格进入</x:v>
      </x:c>
      <x:c r="E647" s="22" t="str">
        <x:v>2025秋:258428</x:v>
      </x:c>
      <x:c r="F647" s="22" t="str">
        <x:v>s3</x:v>
      </x:c>
      <x:c r="G647" s="26" t="n">
        <x:v>17.5</x:v>
      </x:c>
      <x:c r="H647" s="25" t="n">
        <x:v>85.85098357480848</x:v>
      </x:c>
      <x:c r="I647" s="24" t="n">
        <x:v>1</x:v>
      </x:c>
      <x:c r="J647" s="24" t="n">
        <x:v>1</x:v>
      </x:c>
      <x:c r="K647" s="22" t="str">
        <x:v>是</x:v>
      </x:c>
      <x:c r="L647" s="22" t="n">
        <x:v>0.07600396445778598</x:v>
      </x:c>
      <x:c r="M647" s="22" t="n">
        <x:v>11.5339254238383</x:v>
      </x:c>
      <x:c r="N647" s="22" t="n">
        <x:v>11.636525140609258</x:v>
      </x:c>
      <x:c r="O647" s="22" t="n">
        <x:v>62.604529045903135</x:v>
      </x:c>
      <x:c r="P647" s="24" t="n">
        <x:v>4</x:v>
      </x:c>
      <x:c r="Q647" s="22" t="str">
        <x:v>["S0096"]</x:v>
      </x:c>
      <x:c r="R647" s="22" t="str">
        <x:v>evidence/student_evidence.jsonl；student_key=2025秋:258428</x:v>
      </x:c>
      <x:c r="S647" s="27" t="str"/>
    </x:row>
    <x:row r="648" ht="23" customHeight="1">
      <x:c r="A648" s="21" t="str">
        <x:v>严格基线调整</x:v>
      </x:c>
      <x:c r="B648" s="22" t="str">
        <x:v>四项原始熵权对照</x:v>
      </x:c>
      <x:c r="C648" s="22" t="str">
        <x:v>前20%</x:v>
      </x:c>
      <x:c r="D648" s="22" t="str">
        <x:v>严格进入</x:v>
      </x:c>
      <x:c r="E648" s="22" t="str">
        <x:v>2025秋:258922</x:v>
      </x:c>
      <x:c r="F648" s="22" t="str">
        <x:v>s3</x:v>
      </x:c>
      <x:c r="G648" s="26" t="n">
        <x:v>17.5</x:v>
      </x:c>
      <x:c r="H648" s="25" t="n">
        <x:v>85.85098357480848</x:v>
      </x:c>
      <x:c r="I648" s="24" t="n">
        <x:v>1</x:v>
      </x:c>
      <x:c r="J648" s="24" t="n">
        <x:v>1</x:v>
      </x:c>
      <x:c r="K648" s="22" t="str">
        <x:v>是</x:v>
      </x:c>
      <x:c r="L648" s="22" t="n">
        <x:v>0.07600396445778598</x:v>
      </x:c>
      <x:c r="M648" s="22" t="n">
        <x:v>11.5339254238383</x:v>
      </x:c>
      <x:c r="N648" s="22" t="n">
        <x:v>11.636525140609258</x:v>
      </x:c>
      <x:c r="O648" s="22" t="n">
        <x:v>62.604529045903135</x:v>
      </x:c>
      <x:c r="P648" s="24" t="n">
        <x:v>4</x:v>
      </x:c>
      <x:c r="Q648" s="22" t="str">
        <x:v>["S0351"]</x:v>
      </x:c>
      <x:c r="R648" s="22" t="str">
        <x:v>evidence/student_evidence.jsonl；student_key=2025秋:258922</x:v>
      </x:c>
      <x:c r="S648" s="27" t="str"/>
    </x:row>
    <x:row r="649" ht="23" customHeight="1">
      <x:c r="A649" s="21" t="str">
        <x:v>严格基线调整</x:v>
      </x:c>
      <x:c r="B649" s="22" t="str">
        <x:v>四项原始熵权对照</x:v>
      </x:c>
      <x:c r="C649" s="22" t="str">
        <x:v>前20%</x:v>
      </x:c>
      <x:c r="D649" s="22" t="str">
        <x:v>严格进入</x:v>
      </x:c>
      <x:c r="E649" s="22" t="str">
        <x:v>2025秋:259895</x:v>
      </x:c>
      <x:c r="F649" s="22" t="str">
        <x:v>s3</x:v>
      </x:c>
      <x:c r="G649" s="26" t="n">
        <x:v>17.5</x:v>
      </x:c>
      <x:c r="H649" s="25" t="n">
        <x:v>85.85098357480848</x:v>
      </x:c>
      <x:c r="I649" s="24" t="n">
        <x:v>1</x:v>
      </x:c>
      <x:c r="J649" s="24" t="n">
        <x:v>1</x:v>
      </x:c>
      <x:c r="K649" s="22" t="str">
        <x:v>是</x:v>
      </x:c>
      <x:c r="L649" s="22" t="n">
        <x:v>0.07600396445778598</x:v>
      </x:c>
      <x:c r="M649" s="22" t="n">
        <x:v>11.5339254238383</x:v>
      </x:c>
      <x:c r="N649" s="22" t="n">
        <x:v>11.636525140609258</x:v>
      </x:c>
      <x:c r="O649" s="22" t="n">
        <x:v>62.604529045903135</x:v>
      </x:c>
      <x:c r="P649" s="24" t="n">
        <x:v>4</x:v>
      </x:c>
      <x:c r="Q649" s="22" t="str">
        <x:v>["S0407"]</x:v>
      </x:c>
      <x:c r="R649" s="22" t="str">
        <x:v>evidence/student_evidence.jsonl；student_key=2025秋:259895</x:v>
      </x:c>
      <x:c r="S649" s="27" t="str"/>
    </x:row>
    <x:row r="650" ht="23" customHeight="1">
      <x:c r="A650" s="21" t="str">
        <x:v>严格基线调整</x:v>
      </x:c>
      <x:c r="B650" s="22" t="str">
        <x:v>四项原始熵权对照</x:v>
      </x:c>
      <x:c r="C650" s="22" t="str">
        <x:v>前20%</x:v>
      </x:c>
      <x:c r="D650" s="22" t="str">
        <x:v>严格进入</x:v>
      </x:c>
      <x:c r="E650" s="22" t="str">
        <x:v>2026春:259443</x:v>
      </x:c>
      <x:c r="F650" s="22" t="str">
        <x:v>s3</x:v>
      </x:c>
      <x:c r="G650" s="26" t="n">
        <x:v>17.5</x:v>
      </x:c>
      <x:c r="H650" s="25" t="n">
        <x:v>85.85098357480848</x:v>
      </x:c>
      <x:c r="I650" s="24" t="n">
        <x:v>1</x:v>
      </x:c>
      <x:c r="J650" s="24" t="n">
        <x:v>1</x:v>
      </x:c>
      <x:c r="K650" s="22" t="str">
        <x:v>是</x:v>
      </x:c>
      <x:c r="L650" s="22" t="n">
        <x:v>0.07600396445778598</x:v>
      </x:c>
      <x:c r="M650" s="22" t="n">
        <x:v>11.5339254238383</x:v>
      </x:c>
      <x:c r="N650" s="22" t="n">
        <x:v>11.636525140609258</x:v>
      </x:c>
      <x:c r="O650" s="22" t="n">
        <x:v>62.604529045903135</x:v>
      </x:c>
      <x:c r="P650" s="24" t="n">
        <x:v>4</x:v>
      </x:c>
      <x:c r="Q650" s="22" t="str">
        <x:v>["S0850"]</x:v>
      </x:c>
      <x:c r="R650" s="22" t="str">
        <x:v>evidence/student_evidence.jsonl；student_key=2026春:259443</x:v>
      </x:c>
      <x:c r="S650" s="27" t="str"/>
    </x:row>
    <x:row r="651" ht="23" customHeight="1">
      <x:c r="A651" s="21" t="str">
        <x:v>严格基线调整</x:v>
      </x:c>
      <x:c r="B651" s="22" t="str">
        <x:v>四项原始熵权对照</x:v>
      </x:c>
      <x:c r="C651" s="22" t="str">
        <x:v>前20%</x:v>
      </x:c>
      <x:c r="D651" s="22" t="str">
        <x:v>严格进入</x:v>
      </x:c>
      <x:c r="E651" s="22" t="str">
        <x:v>2025秋:25P025</x:v>
      </x:c>
      <x:c r="F651" s="22" t="str">
        <x:v>s3</x:v>
      </x:c>
      <x:c r="G651" s="26" t="n">
        <x:v>20</x:v>
      </x:c>
      <x:c r="H651" s="25" t="n">
        <x:v>85.82880725482002</x:v>
      </x:c>
      <x:c r="I651" s="24" t="n">
        <x:v>1</x:v>
      </x:c>
      <x:c r="J651" s="24" t="n">
        <x:v>1</x:v>
      </x:c>
      <x:c r="K651" s="22" t="str">
        <x:v>是</x:v>
      </x:c>
      <x:c r="L651" s="22" t="n">
        <x:v>0.07599657527682141</x:v>
      </x:c>
      <x:c r="M651" s="22" t="n">
        <x:v>11.522890040907413</x:v>
      </x:c>
      <x:c r="N651" s="22" t="n">
        <x:v>11.625391592732651</x:v>
      </x:c>
      <x:c r="O651" s="22" t="n">
        <x:v>62.604529045903135</x:v>
      </x:c>
      <x:c r="P651" s="24" t="n">
        <x:v>4</x:v>
      </x:c>
      <x:c r="Q651" s="22" t="str">
        <x:v>["S0130"]</x:v>
      </x:c>
      <x:c r="R651" s="22" t="str">
        <x:v>evidence/student_evidence.jsonl；student_key=2025秋:25P025</x:v>
      </x:c>
      <x:c r="S651" s="27" t="str"/>
    </x:row>
    <x:row r="652" ht="23" customHeight="1">
      <x:c r="A652" s="21" t="str">
        <x:v>严格基线调整</x:v>
      </x:c>
      <x:c r="B652" s="22" t="str">
        <x:v>四项原始熵权对照</x:v>
      </x:c>
      <x:c r="C652" s="22" t="str">
        <x:v>前20%</x:v>
      </x:c>
      <x:c r="D652" s="22" t="str">
        <x:v>严格进入</x:v>
      </x:c>
      <x:c r="E652" s="22" t="str">
        <x:v>2025秋:259043</x:v>
      </x:c>
      <x:c r="F652" s="22" t="str">
        <x:v>s3</x:v>
      </x:c>
      <x:c r="G652" s="26" t="n">
        <x:v>21</x:v>
      </x:c>
      <x:c r="H652" s="25" t="n">
        <x:v>85.57986069853627</x:v>
      </x:c>
      <x:c r="I652" s="24" t="n">
        <x:v>1</x:v>
      </x:c>
      <x:c r="J652" s="24" t="n">
        <x:v>1</x:v>
      </x:c>
      <x:c r="K652" s="22" t="str">
        <x:v>是</x:v>
      </x:c>
      <x:c r="L652" s="22" t="n">
        <x:v>0.07591362593464718</x:v>
      </x:c>
      <x:c r="M652" s="22" t="n">
        <x:v>11.399009226626832</x:v>
      </x:c>
      <x:c r="N652" s="22" t="n">
        <x:v>11.500408800071643</x:v>
      </x:c>
      <x:c r="O652" s="22" t="n">
        <x:v>62.604529045903135</x:v>
      </x:c>
      <x:c r="P652" s="24" t="n">
        <x:v>4</x:v>
      </x:c>
      <x:c r="Q652" s="22" t="str">
        <x:v>["S0066"]</x:v>
      </x:c>
      <x:c r="R652" s="22" t="str">
        <x:v>evidence/student_evidence.jsonl；student_key=2025秋:259043</x:v>
      </x:c>
      <x:c r="S652" s="27" t="str"/>
    </x:row>
    <x:row r="653" ht="23" customHeight="1">
      <x:c r="A653" s="21" t="str">
        <x:v>严格基线调整</x:v>
      </x:c>
      <x:c r="B653" s="22" t="str">
        <x:v>四项原始熵权对照</x:v>
      </x:c>
      <x:c r="C653" s="22" t="str">
        <x:v>前20%</x:v>
      </x:c>
      <x:c r="D653" s="22" t="str">
        <x:v>严格进入</x:v>
      </x:c>
      <x:c r="E653" s="22" t="str">
        <x:v>2025秋:25A148</x:v>
      </x:c>
      <x:c r="F653" s="22" t="str">
        <x:v>s3</x:v>
      </x:c>
      <x:c r="G653" s="26" t="n">
        <x:v>22.5</x:v>
      </x:c>
      <x:c r="H653" s="25" t="n">
        <x:v>85.5107209284388</x:v>
      </x:c>
      <x:c r="I653" s="24" t="n">
        <x:v>1</x:v>
      </x:c>
      <x:c r="J653" s="24" t="n">
        <x:v>1</x:v>
      </x:c>
      <x:c r="K653" s="22" t="str">
        <x:v>是</x:v>
      </x:c>
      <x:c r="L653" s="22" t="n">
        <x:v>0.07589058846615084</x:v>
      </x:c>
      <x:c r="M653" s="22" t="n">
        <x:v>11.36460388619271</x:v>
      </x:c>
      <x:c r="N653" s="22" t="n">
        <x:v>11.465697407876803</x:v>
      </x:c>
      <x:c r="O653" s="22" t="n">
        <x:v>62.604529045903135</x:v>
      </x:c>
      <x:c r="P653" s="24" t="n">
        <x:v>4</x:v>
      </x:c>
      <x:c r="Q653" s="22" t="str">
        <x:v>["S0067"]</x:v>
      </x:c>
      <x:c r="R653" s="22" t="str">
        <x:v>evidence/student_evidence.jsonl；student_key=2025秋:25A148</x:v>
      </x:c>
      <x:c r="S653" s="27" t="str"/>
    </x:row>
    <x:row r="654" ht="23" customHeight="1">
      <x:c r="A654" s="21" t="str">
        <x:v>严格基线调整</x:v>
      </x:c>
      <x:c r="B654" s="22" t="str">
        <x:v>四项原始熵权对照</x:v>
      </x:c>
      <x:c r="C654" s="22" t="str">
        <x:v>前20%</x:v>
      </x:c>
      <x:c r="D654" s="22" t="str">
        <x:v>严格进入</x:v>
      </x:c>
      <x:c r="E654" s="22" t="str">
        <x:v>2026春:268184</x:v>
      </x:c>
      <x:c r="F654" s="22" t="str">
        <x:v>s3</x:v>
      </x:c>
      <x:c r="G654" s="26" t="n">
        <x:v>22.5</x:v>
      </x:c>
      <x:c r="H654" s="25" t="n">
        <x:v>85.5107209284388</x:v>
      </x:c>
      <x:c r="I654" s="24" t="n">
        <x:v>1</x:v>
      </x:c>
      <x:c r="J654" s="24" t="n">
        <x:v>1</x:v>
      </x:c>
      <x:c r="K654" s="22" t="str">
        <x:v>是</x:v>
      </x:c>
      <x:c r="L654" s="22" t="n">
        <x:v>0.07589058846615084</x:v>
      </x:c>
      <x:c r="M654" s="22" t="n">
        <x:v>11.36460388619271</x:v>
      </x:c>
      <x:c r="N654" s="22" t="n">
        <x:v>11.465697407876803</x:v>
      </x:c>
      <x:c r="O654" s="22" t="n">
        <x:v>62.604529045903135</x:v>
      </x:c>
      <x:c r="P654" s="24" t="n">
        <x:v>4</x:v>
      </x:c>
      <x:c r="Q654" s="22" t="str">
        <x:v>["S1054"]</x:v>
      </x:c>
      <x:c r="R654" s="22" t="str">
        <x:v>evidence/student_evidence.jsonl；student_key=2026春:268184</x:v>
      </x:c>
      <x:c r="S654" s="27" t="str"/>
    </x:row>
    <x:row r="655" ht="23" customHeight="1">
      <x:c r="A655" s="21" t="str">
        <x:v>严格基线调整</x:v>
      </x:c>
      <x:c r="B655" s="22" t="str">
        <x:v>四项原始熵权对照</x:v>
      </x:c>
      <x:c r="C655" s="22" t="str">
        <x:v>前20%</x:v>
      </x:c>
      <x:c r="D655" s="22" t="str">
        <x:v>严格进入</x:v>
      </x:c>
      <x:c r="E655" s="22" t="str">
        <x:v>2025秋:259016</x:v>
      </x:c>
      <x:c r="F655" s="22" t="str">
        <x:v>s3</x:v>
      </x:c>
      <x:c r="G655" s="26" t="n">
        <x:v>24.5</x:v>
      </x:c>
      <x:c r="H655" s="25" t="n">
        <x:v>85.45732869650877</x:v>
      </x:c>
      <x:c r="I655" s="24" t="n">
        <x:v>1</x:v>
      </x:c>
      <x:c r="J655" s="24" t="n">
        <x:v>1</x:v>
      </x:c>
      <x:c r="K655" s="22" t="str">
        <x:v>是</x:v>
      </x:c>
      <x:c r="L655" s="22" t="n">
        <x:v>0.07559597727015395</x:v>
      </x:c>
      <x:c r="M655" s="22" t="n">
        <x:v>11.338172635059886</x:v>
      </x:c>
      <x:c r="N655" s="22" t="n">
        <x:v>11.439031038275592</x:v>
      </x:c>
      <x:c r="O655" s="22" t="n">
        <x:v>62.604529045903135</x:v>
      </x:c>
      <x:c r="P655" s="24" t="n">
        <x:v>4</x:v>
      </x:c>
      <x:c r="Q655" s="22" t="str">
        <x:v>["S0203"]</x:v>
      </x:c>
      <x:c r="R655" s="22" t="str">
        <x:v>evidence/student_evidence.jsonl；student_key=2025秋:259016</x:v>
      </x:c>
      <x:c r="S655" s="27" t="str"/>
    </x:row>
    <x:row r="656" ht="23" customHeight="1">
      <x:c r="A656" s="21" t="str">
        <x:v>严格基线调整</x:v>
      </x:c>
      <x:c r="B656" s="22" t="str">
        <x:v>四项原始熵权对照</x:v>
      </x:c>
      <x:c r="C656" s="22" t="str">
        <x:v>前20%</x:v>
      </x:c>
      <x:c r="D656" s="22" t="str">
        <x:v>严格进入</x:v>
      </x:c>
      <x:c r="E656" s="22" t="str">
        <x:v>2025秋:259024</x:v>
      </x:c>
      <x:c r="F656" s="22" t="str">
        <x:v>s3</x:v>
      </x:c>
      <x:c r="G656" s="26" t="n">
        <x:v>24.5</x:v>
      </x:c>
      <x:c r="H656" s="25" t="n">
        <x:v>85.45732869650877</x:v>
      </x:c>
      <x:c r="I656" s="24" t="n">
        <x:v>1</x:v>
      </x:c>
      <x:c r="J656" s="24" t="n">
        <x:v>1</x:v>
      </x:c>
      <x:c r="K656" s="22" t="str">
        <x:v>是</x:v>
      </x:c>
      <x:c r="L656" s="22" t="n">
        <x:v>0.07559597727015395</x:v>
      </x:c>
      <x:c r="M656" s="22" t="n">
        <x:v>11.338172635059886</x:v>
      </x:c>
      <x:c r="N656" s="22" t="n">
        <x:v>11.439031038275592</x:v>
      </x:c>
      <x:c r="O656" s="22" t="n">
        <x:v>62.604529045903135</x:v>
      </x:c>
      <x:c r="P656" s="24" t="n">
        <x:v>4</x:v>
      </x:c>
      <x:c r="Q656" s="22" t="str">
        <x:v>["S0359"]</x:v>
      </x:c>
      <x:c r="R656" s="22" t="str">
        <x:v>evidence/student_evidence.jsonl；student_key=2025秋:259024</x:v>
      </x:c>
      <x:c r="S656" s="27" t="str"/>
    </x:row>
    <x:row r="657" ht="23" customHeight="1">
      <x:c r="A657" s="21" t="str">
        <x:v>严格基线调整</x:v>
      </x:c>
      <x:c r="B657" s="22" t="str">
        <x:v>四项原始熵权对照</x:v>
      </x:c>
      <x:c r="C657" s="22" t="str">
        <x:v>前20%</x:v>
      </x:c>
      <x:c r="D657" s="22" t="str">
        <x:v>严格进入</x:v>
      </x:c>
      <x:c r="E657" s="22" t="str">
        <x:v>2025秋:240957</x:v>
      </x:c>
      <x:c r="F657" s="22" t="str">
        <x:v>s3</x:v>
      </x:c>
      <x:c r="G657" s="26" t="n">
        <x:v>27</x:v>
      </x:c>
      <x:c r="H657" s="25" t="n">
        <x:v>85.42980132874818</x:v>
      </x:c>
      <x:c r="I657" s="24" t="n">
        <x:v>1</x:v>
      </x:c>
      <x:c r="J657" s="24" t="n">
        <x:v>1</x:v>
      </x:c>
      <x:c r="K657" s="22" t="str">
        <x:v>是</x:v>
      </x:c>
      <x:c r="L657" s="22" t="n">
        <x:v>0.07586362594189046</x:v>
      </x:c>
      <x:c r="M657" s="22" t="n">
        <x:v>11.324336665586905</x:v>
      </x:c>
      <x:c r="N657" s="22" t="n">
        <x:v>11.42507199131624</x:v>
      </x:c>
      <x:c r="O657" s="22" t="n">
        <x:v>62.604529045903135</x:v>
      </x:c>
      <x:c r="P657" s="24" t="n">
        <x:v>4</x:v>
      </x:c>
      <x:c r="Q657" s="22" t="str">
        <x:v>["S0440"]</x:v>
      </x:c>
      <x:c r="R657" s="22" t="str">
        <x:v>evidence/student_evidence.jsonl；student_key=2025秋:240957</x:v>
      </x:c>
      <x:c r="S657" s="27" t="str"/>
    </x:row>
    <x:row r="658" ht="23" customHeight="1">
      <x:c r="A658" s="21" t="str">
        <x:v>严格基线调整</x:v>
      </x:c>
      <x:c r="B658" s="22" t="str">
        <x:v>四项原始熵权对照</x:v>
      </x:c>
      <x:c r="C658" s="22" t="str">
        <x:v>前20%</x:v>
      </x:c>
      <x:c r="D658" s="22" t="str">
        <x:v>严格进入</x:v>
      </x:c>
      <x:c r="E658" s="22" t="str">
        <x:v>2025秋:259425</x:v>
      </x:c>
      <x:c r="F658" s="22" t="str">
        <x:v>s3</x:v>
      </x:c>
      <x:c r="G658" s="26" t="n">
        <x:v>27</x:v>
      </x:c>
      <x:c r="H658" s="25" t="n">
        <x:v>85.42980132874818</x:v>
      </x:c>
      <x:c r="I658" s="24" t="n">
        <x:v>1</x:v>
      </x:c>
      <x:c r="J658" s="24" t="n">
        <x:v>1</x:v>
      </x:c>
      <x:c r="K658" s="22" t="str">
        <x:v>是</x:v>
      </x:c>
      <x:c r="L658" s="22" t="n">
        <x:v>0.07586362594189046</x:v>
      </x:c>
      <x:c r="M658" s="22" t="n">
        <x:v>11.324336665586905</x:v>
      </x:c>
      <x:c r="N658" s="22" t="n">
        <x:v>11.42507199131624</x:v>
      </x:c>
      <x:c r="O658" s="22" t="n">
        <x:v>62.604529045903135</x:v>
      </x:c>
      <x:c r="P658" s="24" t="n">
        <x:v>4</x:v>
      </x:c>
      <x:c r="Q658" s="22" t="str">
        <x:v>["S0037"]</x:v>
      </x:c>
      <x:c r="R658" s="22" t="str">
        <x:v>evidence/student_evidence.jsonl；student_key=2025秋:259425</x:v>
      </x:c>
      <x:c r="S658" s="27" t="str"/>
    </x:row>
    <x:row r="659" ht="23" customHeight="1">
      <x:c r="A659" s="21" t="str">
        <x:v>严格基线调整</x:v>
      </x:c>
      <x:c r="B659" s="22" t="str">
        <x:v>四项原始熵权对照</x:v>
      </x:c>
      <x:c r="C659" s="22" t="str">
        <x:v>前20%</x:v>
      </x:c>
      <x:c r="D659" s="22" t="str">
        <x:v>严格进入</x:v>
      </x:c>
      <x:c r="E659" s="22" t="str">
        <x:v>2026春:268502</x:v>
      </x:c>
      <x:c r="F659" s="22" t="str">
        <x:v>s3</x:v>
      </x:c>
      <x:c r="G659" s="26" t="n">
        <x:v>27</x:v>
      </x:c>
      <x:c r="H659" s="25" t="n">
        <x:v>85.42980132874818</x:v>
      </x:c>
      <x:c r="I659" s="24" t="n">
        <x:v>1</x:v>
      </x:c>
      <x:c r="J659" s="24" t="n">
        <x:v>1</x:v>
      </x:c>
      <x:c r="K659" s="22" t="str">
        <x:v>是</x:v>
      </x:c>
      <x:c r="L659" s="22" t="n">
        <x:v>0.07586362594189046</x:v>
      </x:c>
      <x:c r="M659" s="22" t="n">
        <x:v>11.324336665586905</x:v>
      </x:c>
      <x:c r="N659" s="22" t="n">
        <x:v>11.42507199131624</x:v>
      </x:c>
      <x:c r="O659" s="22" t="n">
        <x:v>62.604529045903135</x:v>
      </x:c>
      <x:c r="P659" s="24" t="n">
        <x:v>4</x:v>
      </x:c>
      <x:c r="Q659" s="22" t="str">
        <x:v>["S1220"]</x:v>
      </x:c>
      <x:c r="R659" s="22" t="str">
        <x:v>evidence/student_evidence.jsonl；student_key=2026春:268502</x:v>
      </x:c>
      <x:c r="S659" s="27" t="str"/>
    </x:row>
    <x:row r="660" ht="48" customHeight="1">
      <x:c r="A660" s="21" t="str">
        <x:v>严格基线调整</x:v>
      </x:c>
      <x:c r="B660" s="22" t="str">
        <x:v>四项原始熵权对照</x:v>
      </x:c>
      <x:c r="C660" s="22" t="str">
        <x:v>前20%</x:v>
      </x:c>
      <x:c r="D660" s="22" t="str">
        <x:v>边界同分</x:v>
      </x:c>
      <x:c r="E660" s="22" t="str">
        <x:v>2025秋:258431</x:v>
      </x:c>
      <x:c r="F660" s="22" t="str">
        <x:v>s3</x:v>
      </x:c>
      <x:c r="G660" s="26" t="n">
        <x:v>30</x:v>
      </x:c>
      <x:c r="H660" s="25" t="n">
        <x:v>85.42662330725162</x:v>
      </x:c>
      <x:c r="I660" s="24" t="n">
        <x:v>2</x:v>
      </x:c>
      <x:c r="J660" s="24" t="n">
        <x:v>1</x:v>
      </x:c>
      <x:c r="K660" s="22" t="str">
        <x:v>是</x:v>
      </x:c>
      <x:c r="L660" s="22" t="n">
        <x:v>0.07586256702066457</x:v>
      </x:c>
      <x:c r="M660" s="22" t="n">
        <x:v>11.32275521816031</x:v>
      </x:c>
      <x:c r="N660" s="22" t="n">
        <x:v>11.423476476167503</x:v>
      </x:c>
      <x:c r="O660" s="22" t="n">
        <x:v>62.604529045903135</x:v>
      </x:c>
      <x:c r="P660" s="24" t="n">
        <x:v>2</x:v>
      </x:c>
      <x:c r="Q660" s="22" t="str">
        <x:v>["S0444","S0667"]</x:v>
      </x:c>
      <x:c r="R660" s="22" t="str">
        <x:v>evidence/student_evidence.jsonl；student_key=2025秋:258431</x:v>
      </x:c>
      <x:c r="S660" s="27" t="str">
        <x:v>同一锚点起止1条：未形成独立重复测量。</x:v>
      </x:c>
    </x:row>
    <x:row r="661" ht="23" customHeight="1">
      <x:c r="A661" s="21" t="str">
        <x:v>严格基线调整</x:v>
      </x:c>
      <x:c r="B661" s="22" t="str">
        <x:v>四项原始熵权对照</x:v>
      </x:c>
      <x:c r="C661" s="22" t="str">
        <x:v>前20%</x:v>
      </x:c>
      <x:c r="D661" s="22" t="str">
        <x:v>边界同分</x:v>
      </x:c>
      <x:c r="E661" s="22" t="str">
        <x:v>2025秋:259326</x:v>
      </x:c>
      <x:c r="F661" s="22" t="str">
        <x:v>s3</x:v>
      </x:c>
      <x:c r="G661" s="26" t="n">
        <x:v>30</x:v>
      </x:c>
      <x:c r="H661" s="25" t="n">
        <x:v>85.42662330725162</x:v>
      </x:c>
      <x:c r="I661" s="24" t="n">
        <x:v>1</x:v>
      </x:c>
      <x:c r="J661" s="24" t="n">
        <x:v>1</x:v>
      </x:c>
      <x:c r="K661" s="22" t="str">
        <x:v>是</x:v>
      </x:c>
      <x:c r="L661" s="22" t="n">
        <x:v>0.07586256702066457</x:v>
      </x:c>
      <x:c r="M661" s="22" t="n">
        <x:v>11.32275521816031</x:v>
      </x:c>
      <x:c r="N661" s="22" t="n">
        <x:v>11.423476476167503</x:v>
      </x:c>
      <x:c r="O661" s="22" t="n">
        <x:v>62.604529045903135</x:v>
      </x:c>
      <x:c r="P661" s="24" t="n">
        <x:v>2</x:v>
      </x:c>
      <x:c r="Q661" s="22" t="str">
        <x:v>["S0496"]</x:v>
      </x:c>
      <x:c r="R661" s="22" t="str">
        <x:v>evidence/student_evidence.jsonl；student_key=2025秋:259326</x:v>
      </x:c>
      <x:c r="S661" s="27" t="str"/>
    </x:row>
    <x:row r="662" ht="23" customHeight="1">
      <x:c r="A662" s="21" t="str">
        <x:v>严格基线调整</x:v>
      </x:c>
      <x:c r="B662" s="22" t="str">
        <x:v>四项原始熵权对照</x:v>
      </x:c>
      <x:c r="C662" s="22" t="str">
        <x:v>前20%</x:v>
      </x:c>
      <x:c r="D662" s="22" t="str">
        <x:v>边界同分</x:v>
      </x:c>
      <x:c r="E662" s="22" t="str">
        <x:v>2026春:268174</x:v>
      </x:c>
      <x:c r="F662" s="22" t="str">
        <x:v>s3</x:v>
      </x:c>
      <x:c r="G662" s="26" t="n">
        <x:v>30</x:v>
      </x:c>
      <x:c r="H662" s="25" t="n">
        <x:v>85.42662330725162</x:v>
      </x:c>
      <x:c r="I662" s="24" t="n">
        <x:v>1</x:v>
      </x:c>
      <x:c r="J662" s="24" t="n">
        <x:v>1</x:v>
      </x:c>
      <x:c r="K662" s="22" t="str">
        <x:v>是</x:v>
      </x:c>
      <x:c r="L662" s="22" t="n">
        <x:v>0.07586256702066457</x:v>
      </x:c>
      <x:c r="M662" s="22" t="n">
        <x:v>11.32275521816031</x:v>
      </x:c>
      <x:c r="N662" s="22" t="n">
        <x:v>11.423476476167503</x:v>
      </x:c>
      <x:c r="O662" s="22" t="n">
        <x:v>62.604529045903135</x:v>
      </x:c>
      <x:c r="P662" s="24" t="n">
        <x:v>2</x:v>
      </x:c>
      <x:c r="Q662" s="22" t="str">
        <x:v>["S1044"]</x:v>
      </x:c>
      <x:c r="R662" s="22" t="str">
        <x:v>evidence/student_evidence.jsonl；student_key=2026春:268174</x:v>
      </x:c>
      <x:c r="S662" s="27" t="str"/>
    </x:row>
    <x:row r="663" ht="23" customHeight="1">
      <x:c r="A663" s="21" t="str">
        <x:v>严格基线调整</x:v>
      </x:c>
      <x:c r="B663" s="22" t="str">
        <x:v>四项原始熵权对照</x:v>
      </x:c>
      <x:c r="C663" s="22" t="str">
        <x:v>后20%</x:v>
      </x:c>
      <x:c r="D663" s="22" t="str">
        <x:v>边界同分</x:v>
      </x:c>
      <x:c r="E663" s="22" t="str">
        <x:v>2026春:250695</x:v>
      </x:c>
      <x:c r="F663" s="22" t="str">
        <x:v>s6</x:v>
      </x:c>
      <x:c r="G663" s="26" t="n">
        <x:v>117</x:v>
      </x:c>
      <x:c r="H663" s="25" t="n">
        <x:v>51.15494920851054</x:v>
      </x:c>
      <x:c r="I663" s="24" t="n">
        <x:v>1</x:v>
      </x:c>
      <x:c r="J663" s="24" t="n">
        <x:v>1</x:v>
      </x:c>
      <x:c r="K663" s="22" t="str">
        <x:v>是</x:v>
      </x:c>
      <x:c r="L663" s="22" t="n">
        <x:v>0.07479620995766421</x:v>
      </x:c>
      <x:c r="M663" s="22" t="n">
        <x:v>9.845155582282706</x:v>
      </x:c>
      <x:c r="N663" s="22" t="n">
        <x:v>9.932732893318594</x:v>
      </x:c>
      <x:c r="O663" s="22" t="n">
        <x:v>31.302264522951567</x:v>
      </x:c>
      <x:c r="P663" s="24" t="n">
        <x:v>4</x:v>
      </x:c>
      <x:c r="Q663" s="22" t="str">
        <x:v>["S0818"]</x:v>
      </x:c>
      <x:c r="R663" s="22" t="str">
        <x:v>evidence/student_evidence.jsonl；student_key=2026春:250695</x:v>
      </x:c>
      <x:c r="S663" s="27" t="str"/>
    </x:row>
    <x:row r="664" ht="23" customHeight="1">
      <x:c r="A664" s="21" t="str">
        <x:v>严格基线调整</x:v>
      </x:c>
      <x:c r="B664" s="22" t="str">
        <x:v>四项原始熵权对照</x:v>
      </x:c>
      <x:c r="C664" s="22" t="str">
        <x:v>后20%</x:v>
      </x:c>
      <x:c r="D664" s="22" t="str">
        <x:v>严格进入</x:v>
      </x:c>
      <x:c r="E664" s="22" t="str">
        <x:v>2025秋:259958</x:v>
      </x:c>
      <x:c r="F664" s="22" t="str">
        <x:v>s3</x:v>
      </x:c>
      <x:c r="G664" s="26" t="n">
        <x:v>118</x:v>
      </x:c>
      <x:c r="H664" s="25" t="n">
        <x:v>49.152896042138416</x:v>
      </x:c>
      <x:c r="I664" s="24" t="n">
        <x:v>1</x:v>
      </x:c>
      <x:c r="J664" s="24" t="n">
        <x:v>1</x:v>
      </x:c>
      <x:c r="K664" s="22" t="str">
        <x:v>是</x:v>
      </x:c>
      <x:c r="L664" s="22" t="n">
        <x:v>0.07431894856985821</x:v>
      </x:c>
      <x:c r="M664" s="22" t="n">
        <x:v>8.848799160381116</x:v>
      </x:c>
      <x:c r="N664" s="22" t="n">
        <x:v>8.927513410235878</x:v>
      </x:c>
      <x:c r="O664" s="22" t="n">
        <x:v>31.302264522951567</x:v>
      </x:c>
      <x:c r="P664" s="24" t="n">
        <x:v>4</x:v>
      </x:c>
      <x:c r="Q664" s="22" t="str">
        <x:v>["S0183"]</x:v>
      </x:c>
      <x:c r="R664" s="22" t="str">
        <x:v>evidence/student_evidence.jsonl；student_key=2025秋:259958</x:v>
      </x:c>
      <x:c r="S664" s="27" t="str"/>
    </x:row>
    <x:row r="665" ht="23" customHeight="1">
      <x:c r="A665" s="21" t="str">
        <x:v>严格基线调整</x:v>
      </x:c>
      <x:c r="B665" s="22" t="str">
        <x:v>四项原始熵权对照</x:v>
      </x:c>
      <x:c r="C665" s="22" t="str">
        <x:v>后20%</x:v>
      </x:c>
      <x:c r="D665" s="22" t="str">
        <x:v>严格进入</x:v>
      </x:c>
      <x:c r="E665" s="22" t="str">
        <x:v>2026春:268115</x:v>
      </x:c>
      <x:c r="F665" s="22" t="str">
        <x:v>s3</x:v>
      </x:c>
      <x:c r="G665" s="26" t="n">
        <x:v>119</x:v>
      </x:c>
      <x:c r="H665" s="25" t="n">
        <x:v>48.2882661472666</x:v>
      </x:c>
      <x:c r="I665" s="24" t="n">
        <x:v>1</x:v>
      </x:c>
      <x:c r="J665" s="24" t="n">
        <x:v>1</x:v>
      </x:c>
      <x:c r="K665" s="22" t="str">
        <x:v>是</x:v>
      </x:c>
      <x:c r="L665" s="22" t="n">
        <x:v>0.07600396445778598</x:v>
      </x:c>
      <x:c r="M665" s="22" t="n">
        <x:v>11.5339254238383</x:v>
      </x:c>
      <x:c r="N665" s="22" t="n">
        <x:v>11.636525140609258</x:v>
      </x:c>
      <x:c r="O665" s="22" t="n">
        <x:v>25.041811618361255</x:v>
      </x:c>
      <x:c r="P665" s="24" t="n">
        <x:v>1</x:v>
      </x:c>
      <x:c r="Q665" s="22" t="str">
        <x:v>["S0897"]</x:v>
      </x:c>
      <x:c r="R665" s="22" t="str">
        <x:v>evidence/student_evidence.jsonl；student_key=2026春:268115</x:v>
      </x:c>
      <x:c r="S665" s="27" t="str"/>
    </x:row>
    <x:row r="666" ht="48" customHeight="1">
      <x:c r="A666" s="21" t="str">
        <x:v>严格基线调整</x:v>
      </x:c>
      <x:c r="B666" s="22" t="str">
        <x:v>四项原始熵权对照</x:v>
      </x:c>
      <x:c r="C666" s="22" t="str">
        <x:v>后20%</x:v>
      </x:c>
      <x:c r="D666" s="22" t="str">
        <x:v>严格进入</x:v>
      </x:c>
      <x:c r="E666" s="22" t="str">
        <x:v>2025秋:25A171</x:v>
      </x:c>
      <x:c r="F666" s="22" t="str">
        <x:v>s3</x:v>
      </x:c>
      <x:c r="G666" s="26" t="n">
        <x:v>120</x:v>
      </x:c>
      <x:c r="H666" s="25" t="n">
        <x:v>48.24945786534259</x:v>
      </x:c>
      <x:c r="I666" s="24" t="n">
        <x:v>1</x:v>
      </x:c>
      <x:c r="J666" s="24" t="n">
        <x:v>1</x:v>
      </x:c>
      <x:c r="K666" s="22" t="str">
        <x:v>是</x:v>
      </x:c>
      <x:c r="L666" s="22" t="n">
        <x:v>0.07402166730511243</x:v>
      </x:c>
      <x:c r="M666" s="22" t="n">
        <x:v>8.399228285300364</x:v>
      </x:c>
      <x:c r="N666" s="22" t="n">
        <x:v>8.473943389785552</x:v>
      </x:c>
      <x:c r="O666" s="22" t="n">
        <x:v>31.302264522951567</x:v>
      </x:c>
      <x:c r="P666" s="24" t="n">
        <x:v>4</x:v>
      </x:c>
      <x:c r="Q666" s="22" t="str">
        <x:v>["S0258"]</x:v>
      </x:c>
      <x:c r="R666" s="22" t="str">
        <x:v>evidence/student_evidence.jsonl；student_key=2025秋:25A171</x:v>
      </x:c>
      <x:c r="S666" s="27" t="str">
        <x:v>同一锚点起止1条：未形成独立重复测量。</x:v>
      </x:c>
    </x:row>
    <x:row r="667" ht="23" customHeight="1">
      <x:c r="A667" s="21" t="str">
        <x:v>严格基线调整</x:v>
      </x:c>
      <x:c r="B667" s="22" t="str">
        <x:v>四项原始熵权对照</x:v>
      </x:c>
      <x:c r="C667" s="22" t="str">
        <x:v>后20%</x:v>
      </x:c>
      <x:c r="D667" s="22" t="str">
        <x:v>严格进入</x:v>
      </x:c>
      <x:c r="E667" s="22" t="str">
        <x:v>2025秋:258892</x:v>
      </x:c>
      <x:c r="F667" s="22" t="str">
        <x:v>s3</x:v>
      </x:c>
      <x:c r="G667" s="26" t="n">
        <x:v>121</x:v>
      </x:c>
      <x:c r="H667" s="25" t="n">
        <x:v>48.22872466971619</x:v>
      </x:c>
      <x:c r="I667" s="24" t="n">
        <x:v>2</x:v>
      </x:c>
      <x:c r="J667" s="24" t="n">
        <x:v>2</x:v>
      </x:c>
      <x:c r="K667" s="22" t="str">
        <x:v>是</x:v>
      </x:c>
      <x:c r="L667" s="22" t="n">
        <x:v>0.07401614027286911</x:v>
      </x:c>
      <x:c r="M667" s="22" t="n">
        <x:v>8.388910342491698</x:v>
      </x:c>
      <x:c r="N667" s="22" t="n">
        <x:v>8.463533664000066</x:v>
      </x:c>
      <x:c r="O667" s="22" t="n">
        <x:v>31.302264522951567</x:v>
      </x:c>
      <x:c r="P667" s="24" t="n">
        <x:v>4</x:v>
      </x:c>
      <x:c r="Q667" s="22" t="str">
        <x:v>["S0095","S0473"]</x:v>
      </x:c>
      <x:c r="R667" s="22" t="str">
        <x:v>evidence/student_evidence.jsonl；student_key=2025秋:258892</x:v>
      </x:c>
      <x:c r="S667" s="27" t="str"/>
    </x:row>
    <x:row r="668" ht="23" customHeight="1">
      <x:c r="A668" s="21" t="str">
        <x:v>严格基线调整</x:v>
      </x:c>
      <x:c r="B668" s="22" t="str">
        <x:v>四项原始熵权对照</x:v>
      </x:c>
      <x:c r="C668" s="22" t="str">
        <x:v>后20%</x:v>
      </x:c>
      <x:c r="D668" s="22" t="str">
        <x:v>严格进入</x:v>
      </x:c>
      <x:c r="E668" s="22" t="str">
        <x:v>2026春:268154</x:v>
      </x:c>
      <x:c r="F668" s="22" t="str">
        <x:v>s3</x:v>
      </x:c>
      <x:c r="G668" s="26" t="n">
        <x:v>122</x:v>
      </x:c>
      <x:c r="H668" s="25" t="n">
        <x:v>47.94800350089692</x:v>
      </x:c>
      <x:c r="I668" s="24" t="n">
        <x:v>1</x:v>
      </x:c>
      <x:c r="J668" s="24" t="n">
        <x:v>1</x:v>
      </x:c>
      <x:c r="K668" s="22" t="str">
        <x:v>是</x:v>
      </x:c>
      <x:c r="L668" s="22" t="n">
        <x:v>0.07589058846615084</x:v>
      </x:c>
      <x:c r="M668" s="22" t="n">
        <x:v>11.36460388619271</x:v>
      </x:c>
      <x:c r="N668" s="22" t="n">
        <x:v>11.465697407876803</x:v>
      </x:c>
      <x:c r="O668" s="22" t="n">
        <x:v>25.041811618361255</x:v>
      </x:c>
      <x:c r="P668" s="24" t="n">
        <x:v>1</x:v>
      </x:c>
      <x:c r="Q668" s="22" t="str">
        <x:v>["S1009"]</x:v>
      </x:c>
      <x:c r="R668" s="22" t="str">
        <x:v>evidence/student_evidence.jsonl；student_key=2026春:268154</x:v>
      </x:c>
      <x:c r="S668" s="27" t="str"/>
    </x:row>
    <x:row r="669" ht="48" customHeight="1">
      <x:c r="A669" s="21" t="str">
        <x:v>严格基线调整</x:v>
      </x:c>
      <x:c r="B669" s="22" t="str">
        <x:v>四项原始熵权对照</x:v>
      </x:c>
      <x:c r="C669" s="22" t="str">
        <x:v>后20%</x:v>
      </x:c>
      <x:c r="D669" s="22" t="str">
        <x:v>严格进入</x:v>
      </x:c>
      <x:c r="E669" s="22" t="str">
        <x:v>2025秋:258274</x:v>
      </x:c>
      <x:c r="F669" s="22" t="str">
        <x:v>s3</x:v>
      </x:c>
      <x:c r="G669" s="26" t="n">
        <x:v>123.5</x:v>
      </x:c>
      <x:c r="H669" s="25" t="n">
        <x:v>47.803867022290056</x:v>
      </x:c>
      <x:c r="I669" s="24" t="n">
        <x:v>1</x:v>
      </x:c>
      <x:c r="J669" s="24" t="n">
        <x:v>1</x:v>
      </x:c>
      <x:c r="K669" s="22" t="str">
        <x:v>是</x:v>
      </x:c>
      <x:c r="L669" s="22" t="n">
        <x:v>0.07375657028906588</x:v>
      </x:c>
      <x:c r="M669" s="22" t="n">
        <x:v>8.177551372725294</x:v>
      </x:c>
      <x:c r="N669" s="22" t="n">
        <x:v>8.250294556324132</x:v>
      </x:c>
      <x:c r="O669" s="22" t="n">
        <x:v>31.302264522951567</x:v>
      </x:c>
      <x:c r="P669" s="24" t="n">
        <x:v>4</x:v>
      </x:c>
      <x:c r="Q669" s="22" t="str">
        <x:v>["S0275"]</x:v>
      </x:c>
      <x:c r="R669" s="22" t="str">
        <x:v>evidence/student_evidence.jsonl；student_key=2025秋:258274</x:v>
      </x:c>
      <x:c r="S669" s="27" t="str">
        <x:v>同一锚点起止1条：未形成独立重复测量。</x:v>
      </x:c>
    </x:row>
    <x:row r="670" ht="23" customHeight="1">
      <x:c r="A670" s="21" t="str">
        <x:v>严格基线调整</x:v>
      </x:c>
      <x:c r="B670" s="22" t="str">
        <x:v>四项原始熵权对照</x:v>
      </x:c>
      <x:c r="C670" s="22" t="str">
        <x:v>后20%</x:v>
      </x:c>
      <x:c r="D670" s="22" t="str">
        <x:v>严格进入</x:v>
      </x:c>
      <x:c r="E670" s="22" t="str">
        <x:v>2025秋:259315</x:v>
      </x:c>
      <x:c r="F670" s="22" t="str">
        <x:v>s3</x:v>
      </x:c>
      <x:c r="G670" s="26" t="n">
        <x:v>123.5</x:v>
      </x:c>
      <x:c r="H670" s="25" t="n">
        <x:v>47.803867022290056</x:v>
      </x:c>
      <x:c r="I670" s="24" t="n">
        <x:v>1</x:v>
      </x:c>
      <x:c r="J670" s="24" t="n">
        <x:v>1</x:v>
      </x:c>
      <x:c r="K670" s="22" t="str">
        <x:v>是</x:v>
      </x:c>
      <x:c r="L670" s="22" t="n">
        <x:v>0.07375657028906588</x:v>
      </x:c>
      <x:c r="M670" s="22" t="n">
        <x:v>8.177551372725294</x:v>
      </x:c>
      <x:c r="N670" s="22" t="n">
        <x:v>8.250294556324132</x:v>
      </x:c>
      <x:c r="O670" s="22" t="n">
        <x:v>31.302264522951567</x:v>
      </x:c>
      <x:c r="P670" s="24" t="n">
        <x:v>4</x:v>
      </x:c>
      <x:c r="Q670" s="22" t="str">
        <x:v>["S0405"]</x:v>
      </x:c>
      <x:c r="R670" s="22" t="str">
        <x:v>evidence/student_evidence.jsonl；student_key=2025秋:259315</x:v>
      </x:c>
      <x:c r="S670" s="27" t="str"/>
    </x:row>
    <x:row r="671" ht="23" customHeight="1">
      <x:c r="A671" s="21" t="str">
        <x:v>严格基线调整</x:v>
      </x:c>
      <x:c r="B671" s="22" t="str">
        <x:v>四项原始熵权对照</x:v>
      </x:c>
      <x:c r="C671" s="22" t="str">
        <x:v>后20%</x:v>
      </x:c>
      <x:c r="D671" s="22" t="str">
        <x:v>严格进入</x:v>
      </x:c>
      <x:c r="E671" s="22" t="str">
        <x:v>2025秋:259422</x:v>
      </x:c>
      <x:c r="F671" s="22" t="str">
        <x:v>s3</x:v>
      </x:c>
      <x:c r="G671" s="26" t="n">
        <x:v>125</x:v>
      </x:c>
      <x:c r="H671" s="25" t="n">
        <x:v>47.45141746935596</x:v>
      </x:c>
      <x:c r="I671" s="24" t="n">
        <x:v>1</x:v>
      </x:c>
      <x:c r="J671" s="24" t="n">
        <x:v>1</x:v>
      </x:c>
      <x:c r="K671" s="22" t="str">
        <x:v>是</x:v>
      </x:c>
      <x:c r="L671" s="22" t="n">
        <x:v>0.07363913360304818</x:v>
      </x:c>
      <x:c r="M671" s="22" t="n">
        <x:v>8.002165385218262</x:v>
      </x:c>
      <x:c r="N671" s="22" t="n">
        <x:v>8.073348427583083</x:v>
      </x:c>
      <x:c r="O671" s="22" t="n">
        <x:v>31.302264522951567</x:v>
      </x:c>
      <x:c r="P671" s="24" t="n">
        <x:v>4</x:v>
      </x:c>
      <x:c r="Q671" s="22" t="str">
        <x:v>["S0421"]</x:v>
      </x:c>
      <x:c r="R671" s="22" t="str">
        <x:v>evidence/student_evidence.jsonl；student_key=2025秋:259422</x:v>
      </x:c>
      <x:c r="S671" s="27" t="str"/>
    </x:row>
    <x:row r="672" ht="23" customHeight="1">
      <x:c r="A672" s="21" t="str">
        <x:v>严格基线调整</x:v>
      </x:c>
      <x:c r="B672" s="22" t="str">
        <x:v>四项原始熵权对照</x:v>
      </x:c>
      <x:c r="C672" s="22" t="str">
        <x:v>后20%</x:v>
      </x:c>
      <x:c r="D672" s="22" t="str">
        <x:v>严格进入</x:v>
      </x:c>
      <x:c r="E672" s="22" t="str">
        <x:v>2025秋:258912</x:v>
      </x:c>
      <x:c r="F672" s="22" t="str">
        <x:v>s3</x:v>
      </x:c>
      <x:c r="G672" s="26" t="n">
        <x:v>129.5</x:v>
      </x:c>
      <x:c r="H672" s="25" t="n">
        <x:v>47.45088915858805</x:v>
      </x:c>
      <x:c r="I672" s="24" t="n">
        <x:v>1</x:v>
      </x:c>
      <x:c r="J672" s="24" t="n">
        <x:v>1</x:v>
      </x:c>
      <x:c r="K672" s="22" t="str">
        <x:v>是</x:v>
      </x:c>
      <x:c r="L672" s="22" t="n">
        <x:v>0.07363895756915835</x:v>
      </x:c>
      <x:c r="M672" s="22" t="n">
        <x:v>8.001902487152512</x:v>
      </x:c>
      <x:c r="N672" s="22" t="n">
        <x:v>8.07308319091481</x:v>
      </x:c>
      <x:c r="O672" s="22" t="n">
        <x:v>31.302264522951567</x:v>
      </x:c>
      <x:c r="P672" s="24" t="n">
        <x:v>4</x:v>
      </x:c>
      <x:c r="Q672" s="22" t="str">
        <x:v>["S0092"]</x:v>
      </x:c>
      <x:c r="R672" s="22" t="str">
        <x:v>evidence/student_evidence.jsonl；student_key=2025秋:258912</x:v>
      </x:c>
      <x:c r="S672" s="27" t="str"/>
    </x:row>
    <x:row r="673" ht="48" customHeight="1">
      <x:c r="A673" s="21" t="str">
        <x:v>严格基线调整</x:v>
      </x:c>
      <x:c r="B673" s="22" t="str">
        <x:v>四项原始熵权对照</x:v>
      </x:c>
      <x:c r="C673" s="22" t="str">
        <x:v>后20%</x:v>
      </x:c>
      <x:c r="D673" s="22" t="str">
        <x:v>严格进入</x:v>
      </x:c>
      <x:c r="E673" s="22" t="str">
        <x:v>2025秋:258923</x:v>
      </x:c>
      <x:c r="F673" s="22" t="str">
        <x:v>s3</x:v>
      </x:c>
      <x:c r="G673" s="26" t="n">
        <x:v>129.5</x:v>
      </x:c>
      <x:c r="H673" s="25" t="n">
        <x:v>47.45088915858805</x:v>
      </x:c>
      <x:c r="I673" s="24" t="n">
        <x:v>1</x:v>
      </x:c>
      <x:c r="J673" s="24" t="n">
        <x:v>1</x:v>
      </x:c>
      <x:c r="K673" s="22" t="str">
        <x:v>是</x:v>
      </x:c>
      <x:c r="L673" s="22" t="n">
        <x:v>0.07363895756915835</x:v>
      </x:c>
      <x:c r="M673" s="22" t="n">
        <x:v>8.001902487152512</x:v>
      </x:c>
      <x:c r="N673" s="22" t="n">
        <x:v>8.07308319091481</x:v>
      </x:c>
      <x:c r="O673" s="22" t="n">
        <x:v>31.302264522951567</x:v>
      </x:c>
      <x:c r="P673" s="24" t="n">
        <x:v>4</x:v>
      </x:c>
      <x:c r="Q673" s="22" t="str">
        <x:v>["S0120"]</x:v>
      </x:c>
      <x:c r="R673" s="22" t="str">
        <x:v>evidence/student_evidence.jsonl；student_key=2025秋:258923</x:v>
      </x:c>
      <x:c r="S673" s="27" t="str">
        <x:v>同一锚点起止1条：未形成独立重复测量。</x:v>
      </x:c>
    </x:row>
    <x:row r="674" ht="23" customHeight="1">
      <x:c r="A674" s="21" t="str">
        <x:v>严格基线调整</x:v>
      </x:c>
      <x:c r="B674" s="22" t="str">
        <x:v>四项原始熵权对照</x:v>
      </x:c>
      <x:c r="C674" s="22" t="str">
        <x:v>后20%</x:v>
      </x:c>
      <x:c r="D674" s="22" t="str">
        <x:v>严格进入</x:v>
      </x:c>
      <x:c r="E674" s="22" t="str">
        <x:v>2025秋:259059</x:v>
      </x:c>
      <x:c r="F674" s="22" t="str">
        <x:v>s3</x:v>
      </x:c>
      <x:c r="G674" s="26" t="n">
        <x:v>129.5</x:v>
      </x:c>
      <x:c r="H674" s="25" t="n">
        <x:v>47.45088915858805</x:v>
      </x:c>
      <x:c r="I674" s="24" t="n">
        <x:v>1</x:v>
      </x:c>
      <x:c r="J674" s="24" t="n">
        <x:v>1</x:v>
      </x:c>
      <x:c r="K674" s="22" t="str">
        <x:v>是</x:v>
      </x:c>
      <x:c r="L674" s="22" t="n">
        <x:v>0.07363895756915835</x:v>
      </x:c>
      <x:c r="M674" s="22" t="n">
        <x:v>8.001902487152512</x:v>
      </x:c>
      <x:c r="N674" s="22" t="n">
        <x:v>8.07308319091481</x:v>
      </x:c>
      <x:c r="O674" s="22" t="n">
        <x:v>31.302264522951567</x:v>
      </x:c>
      <x:c r="P674" s="24" t="n">
        <x:v>4</x:v>
      </x:c>
      <x:c r="Q674" s="22" t="str">
        <x:v>["S0426"]</x:v>
      </x:c>
      <x:c r="R674" s="22" t="str">
        <x:v>evidence/student_evidence.jsonl；student_key=2025秋:259059</x:v>
      </x:c>
      <x:c r="S674" s="27" t="str"/>
    </x:row>
    <x:row r="675" ht="23" customHeight="1">
      <x:c r="A675" s="21" t="str">
        <x:v>严格基线调整</x:v>
      </x:c>
      <x:c r="B675" s="22" t="str">
        <x:v>四项原始熵权对照</x:v>
      </x:c>
      <x:c r="C675" s="22" t="str">
        <x:v>后20%</x:v>
      </x:c>
      <x:c r="D675" s="22" t="str">
        <x:v>严格进入</x:v>
      </x:c>
      <x:c r="E675" s="22" t="str">
        <x:v>2025秋:259106</x:v>
      </x:c>
      <x:c r="F675" s="22" t="str">
        <x:v>s3</x:v>
      </x:c>
      <x:c r="G675" s="26" t="n">
        <x:v>129.5</x:v>
      </x:c>
      <x:c r="H675" s="25" t="n">
        <x:v>47.45088915858805</x:v>
      </x:c>
      <x:c r="I675" s="24" t="n">
        <x:v>1</x:v>
      </x:c>
      <x:c r="J675" s="24" t="n">
        <x:v>1</x:v>
      </x:c>
      <x:c r="K675" s="22" t="str">
        <x:v>是</x:v>
      </x:c>
      <x:c r="L675" s="22" t="n">
        <x:v>0.07363895756915835</x:v>
      </x:c>
      <x:c r="M675" s="22" t="n">
        <x:v>8.001902487152512</x:v>
      </x:c>
      <x:c r="N675" s="22" t="n">
        <x:v>8.07308319091481</x:v>
      </x:c>
      <x:c r="O675" s="22" t="n">
        <x:v>31.302264522951567</x:v>
      </x:c>
      <x:c r="P675" s="24" t="n">
        <x:v>4</x:v>
      </x:c>
      <x:c r="Q675" s="22" t="str">
        <x:v>["S0005"]</x:v>
      </x:c>
      <x:c r="R675" s="22" t="str">
        <x:v>evidence/student_evidence.jsonl；student_key=2025秋:259106</x:v>
      </x:c>
      <x:c r="S675" s="27" t="str"/>
    </x:row>
    <x:row r="676" ht="48" customHeight="1">
      <x:c r="A676" s="21" t="str">
        <x:v>严格基线调整</x:v>
      </x:c>
      <x:c r="B676" s="22" t="str">
        <x:v>四项原始熵权对照</x:v>
      </x:c>
      <x:c r="C676" s="22" t="str">
        <x:v>后20%</x:v>
      </x:c>
      <x:c r="D676" s="22" t="str">
        <x:v>严格进入</x:v>
      </x:c>
      <x:c r="E676" s="22" t="str">
        <x:v>2025秋:259346</x:v>
      </x:c>
      <x:c r="F676" s="22" t="str">
        <x:v>s3</x:v>
      </x:c>
      <x:c r="G676" s="26" t="n">
        <x:v>129.5</x:v>
      </x:c>
      <x:c r="H676" s="25" t="n">
        <x:v>47.45088915858805</x:v>
      </x:c>
      <x:c r="I676" s="24" t="n">
        <x:v>1</x:v>
      </x:c>
      <x:c r="J676" s="24" t="n">
        <x:v>1</x:v>
      </x:c>
      <x:c r="K676" s="22" t="str">
        <x:v>是</x:v>
      </x:c>
      <x:c r="L676" s="22" t="n">
        <x:v>0.07363895756915835</x:v>
      </x:c>
      <x:c r="M676" s="22" t="n">
        <x:v>8.001902487152512</x:v>
      </x:c>
      <x:c r="N676" s="22" t="n">
        <x:v>8.07308319091481</x:v>
      </x:c>
      <x:c r="O676" s="22" t="n">
        <x:v>31.302264522951567</x:v>
      </x:c>
      <x:c r="P676" s="24" t="n">
        <x:v>4</x:v>
      </x:c>
      <x:c r="Q676" s="22" t="str">
        <x:v>["S0672"]</x:v>
      </x:c>
      <x:c r="R676" s="22" t="str">
        <x:v>evidence/student_evidence.jsonl；student_key=2025秋:259346</x:v>
      </x:c>
      <x:c r="S676" s="27" t="str">
        <x:v>同一锚点起止1条：未形成独立重复测量。</x:v>
      </x:c>
    </x:row>
    <x:row r="677" ht="23" customHeight="1">
      <x:c r="A677" s="21" t="str">
        <x:v>严格基线调整</x:v>
      </x:c>
      <x:c r="B677" s="22" t="str">
        <x:v>四项原始熵权对照</x:v>
      </x:c>
      <x:c r="C677" s="22" t="str">
        <x:v>后20%</x:v>
      </x:c>
      <x:c r="D677" s="22" t="str">
        <x:v>严格进入</x:v>
      </x:c>
      <x:c r="E677" s="22" t="str">
        <x:v>2026春:258955</x:v>
      </x:c>
      <x:c r="F677" s="22" t="str">
        <x:v>s3</x:v>
      </x:c>
      <x:c r="G677" s="26" t="n">
        <x:v>129.5</x:v>
      </x:c>
      <x:c r="H677" s="25" t="n">
        <x:v>47.45088915858805</x:v>
      </x:c>
      <x:c r="I677" s="24" t="n">
        <x:v>1</x:v>
      </x:c>
      <x:c r="J677" s="24" t="n">
        <x:v>1</x:v>
      </x:c>
      <x:c r="K677" s="22" t="str">
        <x:v>是</x:v>
      </x:c>
      <x:c r="L677" s="22" t="n">
        <x:v>0.07363895756915835</x:v>
      </x:c>
      <x:c r="M677" s="22" t="n">
        <x:v>8.001902487152512</x:v>
      </x:c>
      <x:c r="N677" s="22" t="n">
        <x:v>8.07308319091481</x:v>
      </x:c>
      <x:c r="O677" s="22" t="n">
        <x:v>31.302264522951567</x:v>
      </x:c>
      <x:c r="P677" s="24" t="n">
        <x:v>4</x:v>
      </x:c>
      <x:c r="Q677" s="22" t="str">
        <x:v>["S0838"]</x:v>
      </x:c>
      <x:c r="R677" s="22" t="str">
        <x:v>evidence/student_evidence.jsonl；student_key=2026春:258955</x:v>
      </x:c>
      <x:c r="S677" s="27" t="str"/>
    </x:row>
    <x:row r="678" ht="23" customHeight="1">
      <x:c r="A678" s="21" t="str">
        <x:v>严格基线调整</x:v>
      </x:c>
      <x:c r="B678" s="22" t="str">
        <x:v>四项原始熵权对照</x:v>
      </x:c>
      <x:c r="C678" s="22" t="str">
        <x:v>后20%</x:v>
      </x:c>
      <x:c r="D678" s="22" t="str">
        <x:v>严格进入</x:v>
      </x:c>
      <x:c r="E678" s="22" t="str">
        <x:v>2026春:268176</x:v>
      </x:c>
      <x:c r="F678" s="22" t="str">
        <x:v>s3</x:v>
      </x:c>
      <x:c r="G678" s="26" t="n">
        <x:v>129.5</x:v>
      </x:c>
      <x:c r="H678" s="25" t="n">
        <x:v>47.45088915858805</x:v>
      </x:c>
      <x:c r="I678" s="24" t="n">
        <x:v>1</x:v>
      </x:c>
      <x:c r="J678" s="24" t="n">
        <x:v>1</x:v>
      </x:c>
      <x:c r="K678" s="22" t="str">
        <x:v>是</x:v>
      </x:c>
      <x:c r="L678" s="22" t="n">
        <x:v>0.07363895756915835</x:v>
      </x:c>
      <x:c r="M678" s="22" t="n">
        <x:v>8.001902487152512</x:v>
      </x:c>
      <x:c r="N678" s="22" t="n">
        <x:v>8.07308319091481</x:v>
      </x:c>
      <x:c r="O678" s="22" t="n">
        <x:v>31.302264522951567</x:v>
      </x:c>
      <x:c r="P678" s="24" t="n">
        <x:v>4</x:v>
      </x:c>
      <x:c r="Q678" s="22" t="str">
        <x:v>["S1047"]</x:v>
      </x:c>
      <x:c r="R678" s="22" t="str">
        <x:v>evidence/student_evidence.jsonl；student_key=2026春:268176</x:v>
      </x:c>
      <x:c r="S678" s="27" t="str"/>
    </x:row>
    <x:row r="679" ht="23" customHeight="1">
      <x:c r="A679" s="21" t="str">
        <x:v>严格基线调整</x:v>
      </x:c>
      <x:c r="B679" s="22" t="str">
        <x:v>四项原始熵权对照</x:v>
      </x:c>
      <x:c r="C679" s="22" t="str">
        <x:v>后20%</x:v>
      </x:c>
      <x:c r="D679" s="22" t="str">
        <x:v>严格进入</x:v>
      </x:c>
      <x:c r="E679" s="22" t="str">
        <x:v>2026春:268538</x:v>
      </x:c>
      <x:c r="F679" s="22" t="str">
        <x:v>s3</x:v>
      </x:c>
      <x:c r="G679" s="26" t="n">
        <x:v>129.5</x:v>
      </x:c>
      <x:c r="H679" s="25" t="n">
        <x:v>47.45088915858805</x:v>
      </x:c>
      <x:c r="I679" s="24" t="n">
        <x:v>1</x:v>
      </x:c>
      <x:c r="J679" s="24" t="n">
        <x:v>1</x:v>
      </x:c>
      <x:c r="K679" s="22" t="str">
        <x:v>是</x:v>
      </x:c>
      <x:c r="L679" s="22" t="n">
        <x:v>0.07363895756915835</x:v>
      </x:c>
      <x:c r="M679" s="22" t="n">
        <x:v>8.001902487152512</x:v>
      </x:c>
      <x:c r="N679" s="22" t="n">
        <x:v>8.07308319091481</x:v>
      </x:c>
      <x:c r="O679" s="22" t="n">
        <x:v>31.302264522951567</x:v>
      </x:c>
      <x:c r="P679" s="24" t="n">
        <x:v>4</x:v>
      </x:c>
      <x:c r="Q679" s="22" t="str">
        <x:v>["S1276"]</x:v>
      </x:c>
      <x:c r="R679" s="22" t="str">
        <x:v>evidence/student_evidence.jsonl；student_key=2026春:268538</x:v>
      </x:c>
      <x:c r="S679" s="27" t="str"/>
    </x:row>
    <x:row r="680" ht="48" customHeight="1">
      <x:c r="A680" s="21" t="str">
        <x:v>严格基线调整</x:v>
      </x:c>
      <x:c r="B680" s="22" t="str">
        <x:v>四项原始熵权对照</x:v>
      </x:c>
      <x:c r="C680" s="22" t="str">
        <x:v>后20%</x:v>
      </x:c>
      <x:c r="D680" s="22" t="str">
        <x:v>严格进入</x:v>
      </x:c>
      <x:c r="E680" s="22" t="str">
        <x:v>2026春:250845</x:v>
      </x:c>
      <x:c r="F680" s="22" t="str">
        <x:v>s6</x:v>
      </x:c>
      <x:c r="G680" s="26" t="n">
        <x:v>134</x:v>
      </x:c>
      <x:c r="H680" s="25" t="n">
        <x:v>47.06186888830266</x:v>
      </x:c>
      <x:c r="I680" s="24" t="n">
        <x:v>1</x:v>
      </x:c>
      <x:c r="J680" s="24" t="n">
        <x:v>1</x:v>
      </x:c>
      <x:c r="K680" s="22" t="str">
        <x:v>是</x:v>
      </x:c>
      <x:c r="L680" s="22" t="n">
        <x:v>0.07350933546875929</x:v>
      </x:c>
      <x:c r="M680" s="22" t="n">
        <x:v>7.8083181750254</x:v>
      </x:c>
      <x:c r="N680" s="22" t="n">
        <x:v>7.877776854856932</x:v>
      </x:c>
      <x:c r="O680" s="22" t="n">
        <x:v>31.302264522951567</x:v>
      </x:c>
      <x:c r="P680" s="24" t="n">
        <x:v>4</x:v>
      </x:c>
      <x:c r="Q680" s="22" t="str">
        <x:v>["S0825"]</x:v>
      </x:c>
      <x:c r="R680" s="22" t="str">
        <x:v>evidence/student_evidence.jsonl；student_key=2026春:250845</x:v>
      </x:c>
      <x:c r="S680" s="27" t="str">
        <x:v>同一锚点起止1条：未形成独立重复测量。</x:v>
      </x:c>
    </x:row>
    <x:row r="681" ht="23" customHeight="1">
      <x:c r="A681" s="21" t="str">
        <x:v>严格基线调整</x:v>
      </x:c>
      <x:c r="B681" s="22" t="str">
        <x:v>四项原始熵权对照</x:v>
      </x:c>
      <x:c r="C681" s="22" t="str">
        <x:v>后20%</x:v>
      </x:c>
      <x:c r="D681" s="22" t="str">
        <x:v>严格进入</x:v>
      </x:c>
      <x:c r="E681" s="22" t="str">
        <x:v>2025秋:259336</x:v>
      </x:c>
      <x:c r="F681" s="22" t="str">
        <x:v>s3</x:v>
      </x:c>
      <x:c r="G681" s="26" t="n">
        <x:v>135</x:v>
      </x:c>
      <x:c r="H681" s="25" t="n">
        <x:v>44.13109859913132</x:v>
      </x:c>
      <x:c r="I681" s="24" t="n">
        <x:v>1</x:v>
      </x:c>
      <x:c r="J681" s="24" t="n">
        <x:v>1</x:v>
      </x:c>
      <x:c r="K681" s="22" t="str">
        <x:v>是</x:v>
      </x:c>
      <x:c r="L681" s="22" t="n">
        <x:v>0.07600945152574756</x:v>
      </x:c>
      <x:c r="M681" s="22" t="n">
        <x:v>11.542120093371256</x:v>
      </x:c>
      <x:c r="N681" s="22" t="n">
        <x:v>11.644792705599938</x:v>
      </x:c>
      <x:c r="O681" s="22" t="n">
        <x:v>20.868176348634375</x:v>
      </x:c>
      <x:c r="P681" s="24" t="n">
        <x:v>2</x:v>
      </x:c>
      <x:c r="Q681" s="22" t="str">
        <x:v>["S0286"]</x:v>
      </x:c>
      <x:c r="R681" s="22" t="str">
        <x:v>evidence/student_evidence.jsonl；student_key=2025秋:259336</x:v>
      </x:c>
      <x:c r="S681" s="27" t="str"/>
    </x:row>
    <x:row r="682" ht="23" customHeight="1">
      <x:c r="A682" s="21" t="str">
        <x:v>严格基线调整</x:v>
      </x:c>
      <x:c r="B682" s="22" t="str">
        <x:v>四项原始熵权对照</x:v>
      </x:c>
      <x:c r="C682" s="22" t="str">
        <x:v>后20%</x:v>
      </x:c>
      <x:c r="D682" s="22" t="str">
        <x:v>严格进入</x:v>
      </x:c>
      <x:c r="E682" s="22" t="str">
        <x:v>2026春:268194</x:v>
      </x:c>
      <x:c r="F682" s="22" t="str">
        <x:v>s3</x:v>
      </x:c>
      <x:c r="G682" s="26" t="n">
        <x:v>136</x:v>
      </x:c>
      <x:c r="H682" s="25" t="n">
        <x:v>44.11463087753972</x:v>
      </x:c>
      <x:c r="I682" s="24" t="n">
        <x:v>1</x:v>
      </x:c>
      <x:c r="J682" s="24" t="n">
        <x:v>1</x:v>
      </x:c>
      <x:c r="K682" s="22" t="str">
        <x:v>是</x:v>
      </x:c>
      <x:c r="L682" s="22" t="n">
        <x:v>0.07600396445778598</x:v>
      </x:c>
      <x:c r="M682" s="22" t="n">
        <x:v>11.5339254238383</x:v>
      </x:c>
      <x:c r="N682" s="22" t="n">
        <x:v>11.636525140609258</x:v>
      </x:c>
      <x:c r="O682" s="22" t="n">
        <x:v>20.868176348634375</x:v>
      </x:c>
      <x:c r="P682" s="24" t="n">
        <x:v>4</x:v>
      </x:c>
      <x:c r="Q682" s="22" t="str">
        <x:v>["S1067"]</x:v>
      </x:c>
      <x:c r="R682" s="22" t="str">
        <x:v>evidence/student_evidence.jsonl；student_key=2026春:268194</x:v>
      </x:c>
      <x:c r="S682" s="27" t="str"/>
    </x:row>
    <x:row r="683" ht="23" customHeight="1">
      <x:c r="A683" s="21" t="str">
        <x:v>严格基线调整</x:v>
      </x:c>
      <x:c r="B683" s="22" t="str">
        <x:v>四项原始熵权对照</x:v>
      </x:c>
      <x:c r="C683" s="22" t="str">
        <x:v>后20%</x:v>
      </x:c>
      <x:c r="D683" s="22" t="str">
        <x:v>严格进入</x:v>
      </x:c>
      <x:c r="E683" s="22" t="str">
        <x:v>2025秋:258939</x:v>
      </x:c>
      <x:c r="F683" s="22" t="str">
        <x:v>s3</x:v>
      </x:c>
      <x:c r="G683" s="26" t="n">
        <x:v>137</x:v>
      </x:c>
      <x:c r="H683" s="25" t="n">
        <x:v>44.06053353985219</x:v>
      </x:c>
      <x:c r="I683" s="24" t="n">
        <x:v>1</x:v>
      </x:c>
      <x:c r="J683" s="24" t="n">
        <x:v>1</x:v>
      </x:c>
      <x:c r="K683" s="22" t="str">
        <x:v>是</x:v>
      </x:c>
      <x:c r="L683" s="22" t="n">
        <x:v>0.07568649614188218</x:v>
      </x:c>
      <x:c r="M683" s="22" t="n">
        <x:v>11.507154558899321</x:v>
      </x:c>
      <x:c r="N683" s="22" t="n">
        <x:v>11.60951613617661</x:v>
      </x:c>
      <x:c r="O683" s="22" t="n">
        <x:v>20.868176348634375</x:v>
      </x:c>
      <x:c r="P683" s="24" t="n">
        <x:v>4</x:v>
      </x:c>
      <x:c r="Q683" s="22" t="str">
        <x:v>["S0367"]</x:v>
      </x:c>
      <x:c r="R683" s="22" t="str">
        <x:v>evidence/student_evidence.jsonl；student_key=2025秋:258939</x:v>
      </x:c>
      <x:c r="S683" s="27" t="str"/>
    </x:row>
    <x:row r="684" ht="23" customHeight="1">
      <x:c r="A684" s="21" t="str">
        <x:v>严格基线调整</x:v>
      </x:c>
      <x:c r="B684" s="22" t="str">
        <x:v>四项原始熵权对照</x:v>
      </x:c>
      <x:c r="C684" s="22" t="str">
        <x:v>后20%</x:v>
      </x:c>
      <x:c r="D684" s="22" t="str">
        <x:v>严格进入</x:v>
      </x:c>
      <x:c r="E684" s="22" t="str">
        <x:v>2026春:268126</x:v>
      </x:c>
      <x:c r="F684" s="22" t="str">
        <x:v>s3</x:v>
      </x:c>
      <x:c r="G684" s="26" t="n">
        <x:v>138</x:v>
      </x:c>
      <x:c r="H684" s="25" t="n">
        <x:v>43.879762497921334</x:v>
      </x:c>
      <x:c r="I684" s="24" t="n">
        <x:v>1</x:v>
      </x:c>
      <x:c r="J684" s="24" t="n">
        <x:v>1</x:v>
      </x:c>
      <x:c r="K684" s="22" t="str">
        <x:v>是</x:v>
      </x:c>
      <x:c r="L684" s="22" t="n">
        <x:v>0.07592570598384804</x:v>
      </x:c>
      <x:c r="M684" s="22" t="n">
        <x:v>11.417050193466679</x:v>
      </x:c>
      <x:c r="N684" s="22" t="n">
        <x:v>11.51861024983643</x:v>
      </x:c>
      <x:c r="O684" s="22" t="n">
        <x:v>20.868176348634375</x:v>
      </x:c>
      <x:c r="P684" s="24" t="n">
        <x:v>4</x:v>
      </x:c>
      <x:c r="Q684" s="22" t="str">
        <x:v>["S0931"]</x:v>
      </x:c>
      <x:c r="R684" s="22" t="str">
        <x:v>evidence/student_evidence.jsonl；student_key=2026春:268126</x:v>
      </x:c>
      <x:c r="S684" s="27" t="str"/>
    </x:row>
    <x:row r="685" ht="23" customHeight="1">
      <x:c r="A685" s="21" t="str">
        <x:v>严格基线调整</x:v>
      </x:c>
      <x:c r="B685" s="22" t="str">
        <x:v>四项原始熵权对照</x:v>
      </x:c>
      <x:c r="C685" s="22" t="str">
        <x:v>后20%</x:v>
      </x:c>
      <x:c r="D685" s="22" t="str">
        <x:v>严格进入</x:v>
      </x:c>
      <x:c r="E685" s="22" t="str">
        <x:v>2026春:268162</x:v>
      </x:c>
      <x:c r="F685" s="22" t="str">
        <x:v>s3</x:v>
      </x:c>
      <x:c r="G685" s="26" t="n">
        <x:v>139</x:v>
      </x:c>
      <x:c r="H685" s="25" t="n">
        <x:v>43.774368231170044</x:v>
      </x:c>
      <x:c r="I685" s="24" t="n">
        <x:v>1</x:v>
      </x:c>
      <x:c r="J685" s="24" t="n">
        <x:v>1</x:v>
      </x:c>
      <x:c r="K685" s="22" t="str">
        <x:v>是</x:v>
      </x:c>
      <x:c r="L685" s="22" t="n">
        <x:v>0.07589058846615084</x:v>
      </x:c>
      <x:c r="M685" s="22" t="n">
        <x:v>11.36460388619271</x:v>
      </x:c>
      <x:c r="N685" s="22" t="n">
        <x:v>11.465697407876803</x:v>
      </x:c>
      <x:c r="O685" s="22" t="n">
        <x:v>20.868176348634375</x:v>
      </x:c>
      <x:c r="P685" s="24" t="n">
        <x:v>4</x:v>
      </x:c>
      <x:c r="Q685" s="22" t="str">
        <x:v>["S1027"]</x:v>
      </x:c>
      <x:c r="R685" s="22" t="str">
        <x:v>evidence/student_evidence.jsonl；student_key=2026春:268162</x:v>
      </x:c>
      <x:c r="S685" s="27" t="str"/>
    </x:row>
    <x:row r="686" ht="23" customHeight="1">
      <x:c r="A686" s="21" t="str">
        <x:v>严格基线调整</x:v>
      </x:c>
      <x:c r="B686" s="22" t="str">
        <x:v>四项原始熵权对照</x:v>
      </x:c>
      <x:c r="C686" s="22" t="str">
        <x:v>后20%</x:v>
      </x:c>
      <x:c r="D686" s="22" t="str">
        <x:v>严格进入</x:v>
      </x:c>
      <x:c r="E686" s="22" t="str">
        <x:v>2026春:268144</x:v>
      </x:c>
      <x:c r="F686" s="22" t="str">
        <x:v>s3</x:v>
      </x:c>
      <x:c r="G686" s="26" t="n">
        <x:v>140</x:v>
      </x:c>
      <x:c r="H686" s="25" t="n">
        <x:v>43.69027060998285</x:v>
      </x:c>
      <x:c r="I686" s="24" t="n">
        <x:v>1</x:v>
      </x:c>
      <x:c r="J686" s="24" t="n">
        <x:v>1</x:v>
      </x:c>
      <x:c r="K686" s="22" t="str">
        <x:v>是</x:v>
      </x:c>
      <x:c r="L686" s="22" t="n">
        <x:v>0.07586256702066457</x:v>
      </x:c>
      <x:c r="M686" s="22" t="n">
        <x:v>11.32275521816031</x:v>
      </x:c>
      <x:c r="N686" s="22" t="n">
        <x:v>11.423476476167503</x:v>
      </x:c>
      <x:c r="O686" s="22" t="n">
        <x:v>20.868176348634375</x:v>
      </x:c>
      <x:c r="P686" s="24" t="n">
        <x:v>4</x:v>
      </x:c>
      <x:c r="Q686" s="22" t="str">
        <x:v>["S0983"]</x:v>
      </x:c>
      <x:c r="R686" s="22" t="str">
        <x:v>evidence/student_evidence.jsonl；student_key=2026春:268144</x:v>
      </x:c>
      <x:c r="S686" s="27" t="str"/>
    </x:row>
    <x:row r="687" ht="23" customHeight="1">
      <x:c r="A687" s="21" t="str">
        <x:v>严格基线调整</x:v>
      </x:c>
      <x:c r="B687" s="22" t="str">
        <x:v>四项原始熵权对照</x:v>
      </x:c>
      <x:c r="C687" s="22" t="str">
        <x:v>后20%</x:v>
      </x:c>
      <x:c r="D687" s="22" t="str">
        <x:v>严格进入</x:v>
      </x:c>
      <x:c r="E687" s="22" t="str">
        <x:v>2025秋:258990</x:v>
      </x:c>
      <x:c r="F687" s="22" t="str">
        <x:v>s3</x:v>
      </x:c>
      <x:c r="G687" s="26" t="n">
        <x:v>141</x:v>
      </x:c>
      <x:c r="H687" s="25" t="n">
        <x:v>43.582018844863555</x:v>
      </x:c>
      <x:c r="I687" s="24" t="n">
        <x:v>1</x:v>
      </x:c>
      <x:c r="J687" s="24" t="n">
        <x:v>1</x:v>
      </x:c>
      <x:c r="K687" s="22" t="str">
        <x:v>是</x:v>
      </x:c>
      <x:c r="L687" s="22" t="n">
        <x:v>0.07582649738049807</x:v>
      </x:c>
      <x:c r="M687" s="22" t="n">
        <x:v>11.26888696221624</x:v>
      </x:c>
      <x:c r="N687" s="22" t="n">
        <x:v>11.369129036632442</x:v>
      </x:c>
      <x:c r="O687" s="22" t="n">
        <x:v>20.868176348634375</x:v>
      </x:c>
      <x:c r="P687" s="24" t="n">
        <x:v>4</x:v>
      </x:c>
      <x:c r="Q687" s="22" t="str">
        <x:v>["S0491"]</x:v>
      </x:c>
      <x:c r="R687" s="22" t="str">
        <x:v>evidence/student_evidence.jsonl；student_key=2025秋:258990</x:v>
      </x:c>
      <x:c r="S687" s="27" t="str"/>
    </x:row>
    <x:row r="688" ht="23" customHeight="1">
      <x:c r="A688" s="21" t="str">
        <x:v>严格基线调整</x:v>
      </x:c>
      <x:c r="B688" s="22" t="str">
        <x:v>四项原始熵权对照</x:v>
      </x:c>
      <x:c r="C688" s="22" t="str">
        <x:v>后20%</x:v>
      </x:c>
      <x:c r="D688" s="22" t="str">
        <x:v>严格进入</x:v>
      </x:c>
      <x:c r="E688" s="22" t="str">
        <x:v>2026春:268498</x:v>
      </x:c>
      <x:c r="F688" s="22" t="str">
        <x:v>s3</x:v>
      </x:c>
      <x:c r="G688" s="26" t="n">
        <x:v>142</x:v>
      </x:c>
      <x:c r="H688" s="25" t="n">
        <x:v>43.56049271706388</x:v>
      </x:c>
      <x:c r="I688" s="24" t="n">
        <x:v>1</x:v>
      </x:c>
      <x:c r="J688" s="24" t="n">
        <x:v>1</x:v>
      </x:c>
      <x:c r="K688" s="22" t="str">
        <x:v>是</x:v>
      </x:c>
      <x:c r="L688" s="22" t="n">
        <x:v>0.07442866371115867</x:v>
      </x:c>
      <x:c r="M688" s="22" t="n">
        <x:v>9.181290259847465</x:v>
      </x:c>
      <x:c r="N688" s="22" t="n">
        <x:v>9.262962175144002</x:v>
      </x:c>
      <x:c r="O688" s="22" t="n">
        <x:v>25.041811618361255</x:v>
      </x:c>
      <x:c r="P688" s="24" t="n">
        <x:v>4</x:v>
      </x:c>
      <x:c r="Q688" s="22" t="str">
        <x:v>["S1207"]</x:v>
      </x:c>
      <x:c r="R688" s="22" t="str">
        <x:v>evidence/student_evidence.jsonl；student_key=2026春:268498</x:v>
      </x:c>
      <x:c r="S688" s="27" t="str"/>
    </x:row>
    <x:row r="689" ht="23" customHeight="1">
      <x:c r="A689" s="21" t="str">
        <x:v>严格基线调整</x:v>
      </x:c>
      <x:c r="B689" s="22" t="str">
        <x:v>四项原始熵权对照</x:v>
      </x:c>
      <x:c r="C689" s="22" t="str">
        <x:v>后20%</x:v>
      </x:c>
      <x:c r="D689" s="22" t="str">
        <x:v>严格进入</x:v>
      </x:c>
      <x:c r="E689" s="22" t="str">
        <x:v>2026春:268130</x:v>
      </x:c>
      <x:c r="F689" s="22" t="str">
        <x:v>s3</x:v>
      </x:c>
      <x:c r="G689" s="26" t="n">
        <x:v>143</x:v>
      </x:c>
      <x:c r="H689" s="25" t="n">
        <x:v>40.12829459372468</x:v>
      </x:c>
      <x:c r="I689" s="24" t="n">
        <x:v>1</x:v>
      </x:c>
      <x:c r="J689" s="24" t="n">
        <x:v>1</x:v>
      </x:c>
      <x:c r="K689" s="22" t="str">
        <x:v>是</x:v>
      </x:c>
      <x:c r="L689" s="22" t="n">
        <x:v>0.07467571160960917</x:v>
      </x:c>
      <x:c r="M689" s="22" t="n">
        <x:v>9.550244298832764</x:v>
      </x:c>
      <x:c r="N689" s="22" t="n">
        <x:v>9.635198234647934</x:v>
      </x:c>
      <x:c r="O689" s="22" t="n">
        <x:v>20.868176348634375</x:v>
      </x:c>
      <x:c r="P689" s="24" t="n">
        <x:v>4</x:v>
      </x:c>
      <x:c r="Q689" s="22" t="str">
        <x:v>["S0938"]</x:v>
      </x:c>
      <x:c r="R689" s="22" t="str">
        <x:v>evidence/student_evidence.jsonl；student_key=2026春:268130</x:v>
      </x:c>
      <x:c r="S689" s="27" t="str"/>
    </x:row>
    <x:row r="690" ht="23" customHeight="1">
      <x:c r="A690" s="21" t="str">
        <x:v>严格基线调整</x:v>
      </x:c>
      <x:c r="B690" s="22" t="str">
        <x:v>四项原始熵权对照</x:v>
      </x:c>
      <x:c r="C690" s="22" t="str">
        <x:v>后20%</x:v>
      </x:c>
      <x:c r="D690" s="22" t="str">
        <x:v>严格进入</x:v>
      </x:c>
      <x:c r="E690" s="22" t="str">
        <x:v>2026春:268135</x:v>
      </x:c>
      <x:c r="F690" s="22" t="str">
        <x:v>s3</x:v>
      </x:c>
      <x:c r="G690" s="26" t="n">
        <x:v>144</x:v>
      </x:c>
      <x:c r="H690" s="25" t="n">
        <x:v>38.11159012681563</x:v>
      </x:c>
      <x:c r="I690" s="24" t="n">
        <x:v>1</x:v>
      </x:c>
      <x:c r="J690" s="24" t="n">
        <x:v>1</x:v>
      </x:c>
      <x:c r="K690" s="22" t="str">
        <x:v>是</x:v>
      </x:c>
      <x:c r="L690" s="22" t="n">
        <x:v>0.07574206926563244</x:v>
      </x:c>
      <x:c r="M690" s="22" t="n">
        <x:v>11.142797672734462</x:v>
      </x:c>
      <x:c r="N690" s="22" t="n">
        <x:v>11.241918123339751</x:v>
      </x:c>
      <x:c r="O690" s="22" t="n">
        <x:v>15.651132261475784</x:v>
      </x:c>
      <x:c r="P690" s="24" t="n">
        <x:v>4</x:v>
      </x:c>
      <x:c r="Q690" s="22" t="str">
        <x:v>["S0948"]</x:v>
      </x:c>
      <x:c r="R690" s="22" t="str">
        <x:v>evidence/student_evidence.jsonl；student_key=2026春:268135</x:v>
      </x:c>
      <x:c r="S690" s="27" t="str"/>
    </x:row>
    <x:row r="691" ht="23" customHeight="1">
      <x:c r="A691" s="21" t="str">
        <x:v>严格基线调整</x:v>
      </x:c>
      <x:c r="B691" s="22" t="str">
        <x:v>四项原始熵权对照</x:v>
      </x:c>
      <x:c r="C691" s="22" t="str">
        <x:v>后20%</x:v>
      </x:c>
      <x:c r="D691" s="22" t="str">
        <x:v>严格进入</x:v>
      </x:c>
      <x:c r="E691" s="22" t="str">
        <x:v>2026春:268133</x:v>
      </x:c>
      <x:c r="F691" s="22" t="str">
        <x:v>s3</x:v>
      </x:c>
      <x:c r="G691" s="26" t="n">
        <x:v>145</x:v>
      </x:c>
      <x:c r="H691" s="25" t="n">
        <x:v>34.228564410595865</x:v>
      </x:c>
      <x:c r="I691" s="24" t="n">
        <x:v>1</x:v>
      </x:c>
      <x:c r="J691" s="24" t="n">
        <x:v>1</x:v>
      </x:c>
      <x:c r="K691" s="22" t="str">
        <x:v>是</x:v>
      </x:c>
      <x:c r="L691" s="22" t="n">
        <x:v>0.07444823964366772</x:v>
      </x:c>
      <x:c r="M691" s="22" t="n">
        <x:v>9.210525964386623</x:v>
      </x:c>
      <x:c r="N691" s="22" t="n">
        <x:v>9.292457945089787</x:v>
      </x:c>
      <x:c r="O691" s="22" t="n">
        <x:v>15.651132261475784</x:v>
      </x:c>
      <x:c r="P691" s="24" t="n">
        <x:v>4</x:v>
      </x:c>
      <x:c r="Q691" s="22" t="str">
        <x:v>["S0944"]</x:v>
      </x:c>
      <x:c r="R691" s="22" t="str">
        <x:v>evidence/student_evidence.jsonl；student_key=2026春:268133</x:v>
      </x:c>
      <x:c r="S691" s="27" t="str"/>
    </x:row>
    <x:row r="692" ht="23" customHeight="1">
      <x:c r="A692" s="21" t="str">
        <x:v>严格基线调整</x:v>
      </x:c>
      <x:c r="B692" s="22" t="str">
        <x:v>四项原始熵权对照</x:v>
      </x:c>
      <x:c r="C692" s="22" t="str">
        <x:v>后20%</x:v>
      </x:c>
      <x:c r="D692" s="22" t="str">
        <x:v>严格进入</x:v>
      </x:c>
      <x:c r="E692" s="22" t="str">
        <x:v>2026春:250868</x:v>
      </x:c>
      <x:c r="F692" s="22" t="str">
        <x:v>s3</x:v>
      </x:c>
      <x:c r="G692" s="26" t="n">
        <x:v>146</x:v>
      </x:c>
      <x:c r="H692" s="25" t="n">
        <x:v>34.09606790578395</x:v>
      </x:c>
      <x:c r="I692" s="24" t="n">
        <x:v>1</x:v>
      </x:c>
      <x:c r="J692" s="24" t="n">
        <x:v>1</x:v>
      </x:c>
      <x:c r="K692" s="22" t="str">
        <x:v>是</x:v>
      </x:c>
      <x:c r="L692" s="22" t="n">
        <x:v>0.07440409162218634</x:v>
      </x:c>
      <x:c r="M692" s="22" t="n">
        <x:v>9.144593038258007</x:v>
      </x:c>
      <x:c r="N692" s="22" t="n">
        <x:v>9.22593851442797</x:v>
      </x:c>
      <x:c r="O692" s="22" t="n">
        <x:v>15.651132261475784</x:v>
      </x:c>
      <x:c r="P692" s="24" t="n">
        <x:v>4</x:v>
      </x:c>
      <x:c r="Q692" s="22" t="str">
        <x:v>["S0828"]</x:v>
      </x:c>
      <x:c r="R692" s="22" t="str">
        <x:v>evidence/student_evidence.jsonl；student_key=2026春:250868</x:v>
      </x:c>
      <x:c r="S692" s="27" t="str"/>
    </x:row>
  </x:sheetData>
  <x:pageMargins left="0.7" right="0.7" top="0.75" bottom="0.75" header="0.3" footer="0.3"/>
  <x:tableParts count="1">
    <x:tablePart xmlns:r="http://schemas.openxmlformats.org/officeDocument/2006/relationships" r:id="Re6742834126f4a2f"/>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2" hidden="0" customWidth="1"/>
    <x:col min="3" max="3" width="28" hidden="0" customWidth="1"/>
    <x:col min="4" max="4" width="11" hidden="0" customWidth="1"/>
    <x:col min="5" max="5" width="16" hidden="0" customWidth="1"/>
    <x:col min="6" max="6" width="16" hidden="0" customWidth="1"/>
    <x:col min="7" max="7" width="14" hidden="0" customWidth="1"/>
    <x:col min="8" max="8" width="14" hidden="0" customWidth="1"/>
    <x:col min="9" max="9" width="12" hidden="0" customWidth="1"/>
    <x:col min="10" max="10" width="12" hidden="0" customWidth="1"/>
    <x:col min="11" max="11" width="12" hidden="0" customWidth="1"/>
    <x:col min="12" max="12" width="19" hidden="0" customWidth="1"/>
    <x:col min="13" max="13" width="19" hidden="0" customWidth="1"/>
    <x:col min="14" max="14" width="65" hidden="0" customWidth="1"/>
    <x:col min="15" max="15" width="65" hidden="0" customWidth="1"/>
    <x:col min="16" max="16" width="75" hidden="0" customWidth="1"/>
    <x:col min="17" max="17" width="52" hidden="0" customWidth="1"/>
  </x:cols>
  <x:sheetData>
    <x:row r="1">
      <x:c r="A1" s="1"/>
      <x:c r="B1" s="1"/>
      <x:c r="C1" s="1"/>
      <x:c r="D1" s="1"/>
      <x:c r="E1" s="1"/>
      <x:c r="F1" s="1"/>
      <x:c r="G1" s="1"/>
      <x:c r="H1" s="1"/>
      <x:c r="I1" s="1"/>
      <x:c r="J1" s="1"/>
      <x:c r="K1" s="1"/>
      <x:c r="L1" s="1"/>
      <x:c r="M1" s="1"/>
      <x:c r="N1" s="1"/>
      <x:c r="O1" s="1"/>
    </x:row>
    <x:row r="2">
      <x:c r="A2" s="2" t="str">
        <x:v>有效before / after证据</x:v>
      </x:c>
      <x:c r="B2" s="1"/>
      <x:c r="C2" s="1"/>
      <x:c r="D2" s="1"/>
      <x:c r="E2" s="1"/>
      <x:c r="F2" s="1"/>
      <x:c r="G2" s="1"/>
      <x:c r="H2" s="1"/>
      <x:c r="I2" s="1"/>
      <x:c r="J2" s="1"/>
      <x:c r="K2" s="1"/>
      <x:c r="L2" s="1"/>
      <x:c r="M2" s="1"/>
      <x:c r="N2" s="1"/>
      <x:c r="O2" s="1"/>
    </x:row>
    <x:row r="3">
      <x:c r="A3" s="3" t="str">
        <x:v>来源：evidence/valid_dialogues.jsonl。摘录来自学生证据回合；完整原文按JSONL行号和对话ID定位。</x:v>
      </x:c>
      <x:c r="B3" s="1"/>
      <x:c r="C3" s="1"/>
      <x:c r="D3" s="1"/>
      <x:c r="E3" s="1"/>
      <x:c r="F3" s="1"/>
      <x:c r="G3" s="1"/>
      <x:c r="H3" s="1"/>
      <x:c r="I3" s="1"/>
      <x:c r="J3" s="1"/>
      <x:c r="K3" s="1"/>
      <x:c r="L3" s="1"/>
      <x:c r="M3" s="1"/>
      <x:c r="N3" s="1"/>
      <x:c r="O3" s="1"/>
    </x:row>
    <x:row r="5" ht="42" customHeight="1">
      <x:c r="A5" s="9" t="str">
        <x:v>学生ID</x:v>
      </x:c>
      <x:c r="B5" s="9" t="str">
        <x:v>对话ID</x:v>
      </x:c>
      <x:c r="C5" s="9" t="str">
        <x:v>概念分析单元</x:v>
      </x:c>
      <x:c r="D5" s="9" t="str">
        <x:v>量尺</x:v>
      </x:c>
      <x:c r="E5" s="9" t="str">
        <x:v>before模块</x:v>
      </x:c>
      <x:c r="F5" s="9" t="str">
        <x:v>after模块</x:v>
      </x:c>
      <x:c r="G5" s="9" t="str">
        <x:v>before标签</x:v>
      </x:c>
      <x:c r="H5" s="9" t="str">
        <x:v>after标签</x:v>
      </x:c>
      <x:c r="I5" s="9" t="str">
        <x:v>before分</x:v>
      </x:c>
      <x:c r="J5" s="9" t="str">
        <x:v>after分</x:v>
      </x:c>
      <x:c r="K5" s="9" t="str">
        <x:v>观察差</x:v>
      </x:c>
      <x:c r="L5" s="9" t="str">
        <x:v>before回合JSON</x:v>
      </x:c>
      <x:c r="M5" s="9" t="str">
        <x:v>after回合JSON</x:v>
      </x:c>
      <x:c r="N5" s="9" t="str">
        <x:v>before摘录</x:v>
      </x:c>
      <x:c r="O5" s="9" t="str">
        <x:v>after摘录</x:v>
      </x:c>
      <x:c r="P5" s="9" t="str">
        <x:v>完整对话ID</x:v>
      </x:c>
      <x:c r="Q5" s="9" t="str">
        <x:v>JSONL定位</x:v>
      </x:c>
    </x:row>
    <x:row r="6" ht="85" customHeight="1">
      <x:c r="A6" s="21" t="str">
        <x:v>2025秋:240957</x:v>
      </x:c>
      <x:c r="B6" s="22" t="str">
        <x:v>S0440</x:v>
      </x:c>
      <x:c r="C6" s="22" t="str">
        <x:v>概率统计与随机过程</x:v>
      </x:c>
      <x:c r="D6" s="22" t="str">
        <x:v>s3</x:v>
      </x:c>
      <x:c r="E6" s="22" t="str">
        <x:v>topic-04</x:v>
      </x:c>
      <x:c r="F6" s="22" t="str">
        <x:v>topic-04</x:v>
      </x:c>
      <x:c r="G6" s="22" t="str">
        <x:v>中</x:v>
      </x:c>
      <x:c r="H6" s="22" t="str">
        <x:v>高</x:v>
      </x:c>
      <x:c r="I6" s="22" t="n">
        <x:v>2.1909774436090226</x:v>
      </x:c>
      <x:c r="J6" s="22" t="n">
        <x:v>3.9827956989247313</x:v>
      </x:c>
      <x:c r="K6" s="22" t="n">
        <x:v>1.7918182553157087</x:v>
      </x:c>
      <x:c r="L6" s="22" t="str">
        <x:v>[3]</x:v>
      </x:c>
      <x:c r="M6" s="22" t="str">
        <x:v>[13]</x:v>
      </x:c>
      <x:c r="N6" s="28" t="str">
        <x:v>多次实验去平均，降低实验的偶然误差</x:v>
      </x:c>
      <x:c r="O6" s="28" t="str">
        <x:v>跑实验的时候就对有随机性的地方做蒙特卡洛就行了，如果全部都做蒙特卡洛，反而会大大加大运算量</x:v>
      </x:c>
      <x:c r="P6" s="22" t="str">
        <x:v>2025秋:2025秋-数学模型-问答记录导出20260502导出_已标注_已更新.xlsx:问答记录:452</x:v>
      </x:c>
      <x:c r="Q6" s="22" t="str">
        <x:v>evidence/valid_dialogues.jsonl:1</x:v>
      </x:c>
    </x:row>
    <x:row r="7" ht="85" customHeight="1">
      <x:c r="A7" s="21" t="str">
        <x:v>2025秋:252265</x:v>
      </x:c>
      <x:c r="B7" s="22" t="str">
        <x:v>S0248</x:v>
      </x:c>
      <x:c r="C7" s="22" t="str">
        <x:v>机器学习与人工智能</x:v>
      </x:c>
      <x:c r="D7" s="22" t="str">
        <x:v>s3</x:v>
      </x:c>
      <x:c r="E7" s="22" t="str">
        <x:v>topic-06</x:v>
      </x:c>
      <x:c r="F7" s="22" t="str">
        <x:v>topic-06</x:v>
      </x:c>
      <x:c r="G7" s="22" t="str">
        <x:v>中</x:v>
      </x:c>
      <x:c r="H7" s="22" t="str">
        <x:v>高</x:v>
      </x:c>
      <x:c r="I7" s="22" t="n">
        <x:v>2.282051282051282</x:v>
      </x:c>
      <x:c r="J7" s="22" t="n">
        <x:v>3.905597014925373</x:v>
      </x:c>
      <x:c r="K7" s="22" t="n">
        <x:v>1.6235457328740912</x:v>
      </x:c>
      <x:c r="L7" s="22" t="str">
        <x:v>[3]</x:v>
      </x:c>
      <x:c r="M7" s="22" t="str">
        <x:v>[13]</x:v>
      </x:c>
      <x:c r="N7" s="28" t="str">
        <x:v>使用卷积核在数据上活动，来进行局部区域的点击运算，从而提取局部特征</x:v>
      </x:c>
      <x:c r="O7" s="28" t="str">
        <x:v>为了突破CNN的固有局限，当前创新的核心思路是赋予模型更强大的全局理解能力与动态适应性：例如引入</x:v>
      </x:c>
      <x:c r="P7" s="22" t="str">
        <x:v>2025秋:2025秋-数学模型-问答记录导出20260502导出_已标注_已更新.xlsx:问答记录:254</x:v>
      </x:c>
      <x:c r="Q7" s="22" t="str">
        <x:v>evidence/valid_dialogues.jsonl:2</x:v>
      </x:c>
    </x:row>
    <x:row r="8" ht="85" customHeight="1">
      <x:c r="A8" s="21" t="str">
        <x:v>2025秋:257174</x:v>
      </x:c>
      <x:c r="B8" s="22" t="str">
        <x:v>S0475</x:v>
      </x:c>
      <x:c r="C8" s="22" t="str">
        <x:v>优化与运筹</x:v>
      </x:c>
      <x:c r="D8" s="22" t="str">
        <x:v>s3</x:v>
      </x:c>
      <x:c r="E8" s="22" t="str">
        <x:v>topic-01</x:v>
      </x:c>
      <x:c r="F8" s="22" t="str">
        <x:v>topic-01</x:v>
      </x:c>
      <x:c r="G8" s="22" t="str">
        <x:v>中</x:v>
      </x:c>
      <x:c r="H8" s="22" t="str">
        <x:v>高</x:v>
      </x:c>
      <x:c r="I8" s="22" t="n">
        <x:v>2.040922619047619</x:v>
      </x:c>
      <x:c r="J8" s="22" t="n">
        <x:v>3.9503444998812065</x:v>
      </x:c>
      <x:c r="K8" s="22" t="n">
        <x:v>1.9094218808335874</x:v>
      </x:c>
      <x:c r="L8" s="22" t="str">
        <x:v>[3]</x:v>
      </x:c>
      <x:c r="M8" s="22" t="str">
        <x:v>[11]</x:v>
      </x:c>
      <x:c r="N8" s="28" t="str">
        <x:v>粒子会根据这两个信息来调整自己的飞行方向和速度，逐步逼近最优解</x:v>
      </x:c>
      <x:c r="O8" s="28" t="str">
        <x:v>针对神经网络权重优化这种高维、多峰、有噪声的复杂问题，我会采用分层策略：  参数策略设计： 惯性权重自适应方案：  采用非线性递减策略：初期保持较高惯性（w≈0.9）进行广泛探索，中期缓慢下降，后期维持在中等水平（w≈0.6-0.7）以持续探索并抵抗噪声干扰。  非对称学习因子：  初期：c1=2.5，c2=1.5 →…</x:v>
      </x:c>
      <x:c r="P8" s="22" t="str">
        <x:v>2025秋:2025秋-数学模型-问答记录导出20260502导出_已标注_已更新.xlsx:问答记录:487</x:v>
      </x:c>
      <x:c r="Q8" s="22" t="str">
        <x:v>evidence/valid_dialogues.jsonl:3</x:v>
      </x:c>
    </x:row>
    <x:row r="9" ht="85" customHeight="1">
      <x:c r="A9" s="21" t="str">
        <x:v>2025秋:258268</x:v>
      </x:c>
      <x:c r="B9" s="22" t="str">
        <x:v>S0259</x:v>
      </x:c>
      <x:c r="C9" s="22" t="str">
        <x:v>图论与网络</x:v>
      </x:c>
      <x:c r="D9" s="22" t="str">
        <x:v>s3</x:v>
      </x:c>
      <x:c r="E9" s="22" t="str">
        <x:v>topic-02</x:v>
      </x:c>
      <x:c r="F9" s="22" t="str">
        <x:v>topic-02</x:v>
      </x:c>
      <x:c r="G9" s="22" t="str">
        <x:v>低</x:v>
      </x:c>
      <x:c r="H9" s="22" t="str">
        <x:v>低</x:v>
      </x:c>
      <x:c r="I9" s="22" t="n">
        <x:v>1.2777777777777777</x:v>
      </x:c>
      <x:c r="J9" s="22" t="n">
        <x:v>1.2777777777777777</x:v>
      </x:c>
      <x:c r="K9" s="22" t="n">
        <x:v>0</x:v>
      </x:c>
      <x:c r="L9" s="22" t="str">
        <x:v>[3]</x:v>
      </x:c>
      <x:c r="M9" s="22" t="str">
        <x:v>[3]</x:v>
      </x:c>
      <x:c r="N9" s="28" t="str">
        <x:v>出发点，目的地和中间可能的路径</x:v>
      </x:c>
      <x:c r="O9" s="28" t="str">
        <x:v>出发点，目的地和中间可能的路径</x:v>
      </x:c>
      <x:c r="P9" s="22" t="str">
        <x:v>2025秋:2025秋-数学模型-问答记录导出20260502导出_已标注_已更新.xlsx:问答记录:267</x:v>
      </x:c>
      <x:c r="Q9" s="22" t="str">
        <x:v>evidence/valid_dialogues.jsonl:4</x:v>
      </x:c>
    </x:row>
    <x:row r="10" ht="85" customHeight="1">
      <x:c r="A10" s="21" t="str">
        <x:v>2025秋:258269</x:v>
      </x:c>
      <x:c r="B10" s="22" t="str">
        <x:v>S0297</x:v>
      </x:c>
      <x:c r="C10" s="22" t="str">
        <x:v>图论与网络</x:v>
      </x:c>
      <x:c r="D10" s="22" t="str">
        <x:v>s3</x:v>
      </x:c>
      <x:c r="E10" s="22" t="str">
        <x:v>topic-02</x:v>
      </x:c>
      <x:c r="F10" s="22" t="str">
        <x:v>topic-02</x:v>
      </x:c>
      <x:c r="G10" s="22" t="str">
        <x:v>高</x:v>
      </x:c>
      <x:c r="H10" s="22" t="str">
        <x:v>高</x:v>
      </x:c>
      <x:c r="I10" s="22" t="n">
        <x:v>3.7629670942554374</x:v>
      </x:c>
      <x:c r="J10" s="22" t="n">
        <x:v>3.7629670942554374</x:v>
      </x:c>
      <x:c r="K10" s="22" t="n">
        <x:v>0</x:v>
      </x:c>
      <x:c r="L10" s="22" t="str">
        <x:v>[3]</x:v>
      </x:c>
      <x:c r="M10" s="22" t="str">
        <x:v>[3]</x:v>
      </x:c>
      <x:c r="N10" s="28" t="str">
        <x:v>若只有 4 条边，6 个顶点无法全部连通（最多连接 5 个顶点）；若有 6 条边，连通的 6 个顶点必然存在环</x:v>
      </x:c>
      <x:c r="O10" s="28" t="str">
        <x:v>若只有 4 条边，6 个顶点无法全部连通（最多连接 5 个顶点）；若有 6 条边，连通的 6 个顶点必然存在环</x:v>
      </x:c>
      <x:c r="P10" s="22" t="str">
        <x:v>2025秋:2025秋-数学模型-问答记录导出20260502导出_已标注_已更新.xlsx:问答记录:305</x:v>
      </x:c>
      <x:c r="Q10" s="22" t="str">
        <x:v>evidence/valid_dialogues.jsonl:5</x:v>
      </x:c>
    </x:row>
    <x:row r="11" ht="85" customHeight="1">
      <x:c r="A11" s="21" t="str">
        <x:v>2025秋:258274</x:v>
      </x:c>
      <x:c r="B11" s="22" t="str">
        <x:v>S0275</x:v>
      </x:c>
      <x:c r="C11" s="22" t="str">
        <x:v>机器学习与人工智能</x:v>
      </x:c>
      <x:c r="D11" s="22" t="str">
        <x:v>s3</x:v>
      </x:c>
      <x:c r="E11" s="22" t="str">
        <x:v>topic-06</x:v>
      </x:c>
      <x:c r="F11" s="22" t="str">
        <x:v>topic-06</x:v>
      </x:c>
      <x:c r="G11" s="22" t="str">
        <x:v>低</x:v>
      </x:c>
      <x:c r="H11" s="22" t="str">
        <x:v>低</x:v>
      </x:c>
      <x:c r="I11" s="22" t="n">
        <x:v>1.4338028169014085</x:v>
      </x:c>
      <x:c r="J11" s="22" t="n">
        <x:v>1.4338028169014085</x:v>
      </x:c>
      <x:c r="K11" s="22" t="n">
        <x:v>0</x:v>
      </x:c>
      <x:c r="L11" s="22" t="str">
        <x:v>[3]</x:v>
      </x:c>
      <x:c r="M11" s="22" t="str">
        <x:v>[3]</x:v>
      </x:c>
      <x:c r="N11" s="28" t="str">
        <x:v>是一种有监督的机器学习算法，核心是寻找最优超平面</x:v>
      </x:c>
      <x:c r="O11" s="28" t="str">
        <x:v>支持向量机是一种有监督的机器学习算法，核心是寻找最优超平面</x:v>
      </x:c>
      <x:c r="P11" s="22" t="str">
        <x:v>2025秋:2025秋-数学模型-问答记录导出20260502导出_已标注_已更新.xlsx:问答记录:283</x:v>
      </x:c>
      <x:c r="Q11" s="22" t="str">
        <x:v>evidence/valid_dialogues.jsonl:6</x:v>
      </x:c>
    </x:row>
    <x:row r="12" ht="85" customHeight="1">
      <x:c r="A12" s="21" t="str">
        <x:v>2025秋:258425</x:v>
      </x:c>
      <x:c r="B12" s="22" t="str">
        <x:v>S0319</x:v>
      </x:c>
      <x:c r="C12" s="22" t="str">
        <x:v>微分方程与动态系统</x:v>
      </x:c>
      <x:c r="D12" s="22" t="str">
        <x:v>s3</x:v>
      </x:c>
      <x:c r="E12" s="22" t="str">
        <x:v>topic-03</x:v>
      </x:c>
      <x:c r="F12" s="22" t="str">
        <x:v>topic-03</x:v>
      </x:c>
      <x:c r="G12" s="22" t="str">
        <x:v>低</x:v>
      </x:c>
      <x:c r="H12" s="22" t="str">
        <x:v>低</x:v>
      </x:c>
      <x:c r="I12" s="22" t="n">
        <x:v>1.548148148148148</x:v>
      </x:c>
      <x:c r="J12" s="22" t="n">
        <x:v>1.548148148148148</x:v>
      </x:c>
      <x:c r="K12" s="22" t="n">
        <x:v>0</x:v>
      </x:c>
      <x:c r="L12" s="22" t="str">
        <x:v>[3]</x:v>
      </x:c>
      <x:c r="M12" s="22" t="str">
        <x:v>[3]</x:v>
      </x:c>
      <x:c r="N12" s="28" t="str">
        <x:v>易感者 S：还没感染、但有可能被传染的人；
2）感染者 I：已经感染、并且可能把病传给别人的人；
3）康复/免疫者 R：已经感染过并恢复了，短期内不再被感染（或者不再传播）的人。</x:v>
      </x:c>
      <x:c r="O12" s="28" t="str">
        <x:v>1）易感者 S：还没感染、但有可能被传染的人；
2）感染者 I：已经感染、并且可能把病传给别人的人；
3）康复/免疫者 R：已经感染过并恢复了，短期内不再被感染（或者不再传播）的人。</x:v>
      </x:c>
      <x:c r="P12" s="22" t="str">
        <x:v>2025秋:2025秋-数学模型-问答记录导出20260502导出_已标注_已更新.xlsx:问答记录:327</x:v>
      </x:c>
      <x:c r="Q12" s="22" t="str">
        <x:v>evidence/valid_dialogues.jsonl:7</x:v>
      </x:c>
    </x:row>
    <x:row r="13" ht="85" customHeight="1">
      <x:c r="A13" s="21" t="str">
        <x:v>2025秋:258428</x:v>
      </x:c>
      <x:c r="B13" s="22" t="str">
        <x:v>S0096</x:v>
      </x:c>
      <x:c r="C13" s="22" t="str">
        <x:v>优化与运筹</x:v>
      </x:c>
      <x:c r="D13" s="22" t="str">
        <x:v>s3</x:v>
      </x:c>
      <x:c r="E13" s="22" t="str">
        <x:v>topic-01</x:v>
      </x:c>
      <x:c r="F13" s="22" t="str">
        <x:v>topic-01</x:v>
      </x:c>
      <x:c r="G13" s="22" t="str">
        <x:v>中</x:v>
      </x:c>
      <x:c r="H13" s="22" t="str">
        <x:v>高</x:v>
      </x:c>
      <x:c r="I13" s="22" t="n">
        <x:v>2.051719238420006</x:v>
      </x:c>
      <x:c r="J13" s="22" t="n">
        <x:v>3.95672131147541</x:v>
      </x:c>
      <x:c r="K13" s="22" t="n">
        <x:v>1.905002073055404</x:v>
      </x:c>
      <x:c r="L13" s="22" t="str">
        <x:v>[3]</x:v>
      </x:c>
      <x:c r="M13" s="22" t="str">
        <x:v>[13]</x:v>
      </x:c>
      <x:c r="N13" s="28" t="str">
        <x:v>自己之前找到的离奶茶店最近的位置和所有朋友里目前找到的离奶茶店最近的位置</x:v>
      </x:c>
      <x:c r="O13" s="28" t="str">
        <x:v>通过“个体更新→全局导航切换→全群方向同步” 三步连锁反应，触发整个群体从旧局部最优区域向新更优区域集体迁移</x:v>
      </x:c>
      <x:c r="P13" s="22" t="str">
        <x:v>2025秋:2025秋-数学模型-问答记录导出20260502导出_已标注_已更新.xlsx:问答记录:99</x:v>
      </x:c>
      <x:c r="Q13" s="22" t="str">
        <x:v>evidence/valid_dialogues.jsonl:8</x:v>
      </x:c>
    </x:row>
    <x:row r="14" ht="85" customHeight="1">
      <x:c r="A14" s="21" t="str">
        <x:v>2025秋:258430</x:v>
      </x:c>
      <x:c r="B14" s="22" t="str">
        <x:v>S0052</x:v>
      </x:c>
      <x:c r="C14" s="22" t="str">
        <x:v>数据处理与可视化</x:v>
      </x:c>
      <x:c r="D14" s="22" t="str">
        <x:v>s3</x:v>
      </x:c>
      <x:c r="E14" s="22" t="str">
        <x:v>topic-07</x:v>
      </x:c>
      <x:c r="F14" s="22" t="str">
        <x:v>topic-07</x:v>
      </x:c>
      <x:c r="G14" s="22" t="str">
        <x:v>低</x:v>
      </x:c>
      <x:c r="H14" s="22" t="str">
        <x:v>高</x:v>
      </x:c>
      <x:c r="I14" s="22" t="n">
        <x:v>1.4389140271493213</x:v>
      </x:c>
      <x:c r="J14" s="22" t="n">
        <x:v>3.593855376545523</x:v>
      </x:c>
      <x:c r="K14" s="22" t="n">
        <x:v>2.1549413493962017</x:v>
      </x:c>
      <x:c r="L14" s="22" t="str">
        <x:v>[3]</x:v>
      </x:c>
      <x:c r="M14" s="22" t="str">
        <x:v>[11]</x:v>
      </x:c>
      <x:c r="N14" s="28" t="str">
        <x:v>我会选直方图。</x:v>
      </x:c>
      <x:c r="O14" s="28" t="str">
        <x:v>先用箱线图把差异定位出来，再用直方图追查差异从哪里来</x:v>
      </x:c>
      <x:c r="P14" s="22" t="str">
        <x:v>2025秋:2025秋-数学模型-问答记录导出20260502导出_已标注_已更新.xlsx:问答记录:54</x:v>
      </x:c>
      <x:c r="Q14" s="22" t="str">
        <x:v>evidence/valid_dialogues.jsonl:9</x:v>
      </x:c>
    </x:row>
    <x:row r="15" ht="85" customHeight="1">
      <x:c r="A15" s="21" t="str">
        <x:v>2025秋:258431</x:v>
      </x:c>
      <x:c r="B15" s="22" t="str">
        <x:v>S0444</x:v>
      </x:c>
      <x:c r="C15" s="22" t="str">
        <x:v>优化与运筹</x:v>
      </x:c>
      <x:c r="D15" s="22" t="str">
        <x:v>s3</x:v>
      </x:c>
      <x:c r="E15" s="22" t="str">
        <x:v>topic-01</x:v>
      </x:c>
      <x:c r="F15" s="22" t="str">
        <x:v>topic-01</x:v>
      </x:c>
      <x:c r="G15" s="22" t="str">
        <x:v>中</x:v>
      </x:c>
      <x:c r="H15" s="22" t="str">
        <x:v>高</x:v>
      </x:c>
      <x:c r="I15" s="22" t="n">
        <x:v>2.1268939393939394</x:v>
      </x:c>
      <x:c r="J15" s="22" t="n">
        <x:v>3.918001033057851</x:v>
      </x:c>
      <x:c r="K15" s="22" t="n">
        <x:v>1.7911070936639115</x:v>
      </x:c>
      <x:c r="L15" s="22" t="str">
        <x:v>[3]</x:v>
      </x:c>
      <x:c r="M15" s="22" t="str">
        <x:v>[17]</x:v>
      </x:c>
      <x:c r="N15" s="28" t="str">
        <x:v>在解决可行解数量特别大时比较有用，他通过随机变异杂交可以快速全局搜索最优解</x:v>
      </x:c>
      <x:c r="O15" s="28" t="str">
        <x:v>我觉遗传算法全局搜索能力强，相比梯度下降，遗传算法仅需要能计算适应度，不依赖梯度、连续性、凸性等</x:v>
      </x:c>
      <x:c r="P15" s="22" t="str">
        <x:v>2025秋:2025秋-数学模型-问答记录导出20260502导出_已标注_已更新.xlsx:问答记录:456</x:v>
      </x:c>
      <x:c r="Q15" s="22" t="str">
        <x:v>evidence/valid_dialogues.jsonl:10</x:v>
      </x:c>
    </x:row>
    <x:row r="16" ht="85" customHeight="1">
      <x:c r="A16" s="21" t="str">
        <x:v>2025秋:258431</x:v>
      </x:c>
      <x:c r="B16" s="22" t="str">
        <x:v>S0667</x:v>
      </x:c>
      <x:c r="C16" s="22" t="str">
        <x:v>优化与运筹</x:v>
      </x:c>
      <x:c r="D16" s="22" t="str">
        <x:v>s3</x:v>
      </x:c>
      <x:c r="E16" s="22" t="str">
        <x:v>topic-01</x:v>
      </x:c>
      <x:c r="F16" s="22" t="str">
        <x:v>topic-01</x:v>
      </x:c>
      <x:c r="G16" s="22" t="str">
        <x:v>高</x:v>
      </x:c>
      <x:c r="H16" s="22" t="str">
        <x:v>高</x:v>
      </x:c>
      <x:c r="I16" s="22" t="n">
        <x:v>3.918001033057851</x:v>
      </x:c>
      <x:c r="J16" s="22" t="n">
        <x:v>3.918001033057851</x:v>
      </x:c>
      <x:c r="K16" s="22" t="n">
        <x:v>0</x:v>
      </x:c>
      <x:c r="L16" s="22" t="str">
        <x:v>[3]</x:v>
      </x:c>
      <x:c r="M16" s="22" t="str">
        <x:v>[3]</x:v>
      </x:c>
      <x:c r="N16" s="28" t="str">
        <x:v>为确保最终恰好选择3个中心，我会在遗传操作中结合修复策略，即当交叉或变异产生的个体不满足数量约束时，自动调整其编码直至合法</x:v>
      </x:c>
      <x:c r="O16" s="28" t="str">
        <x:v>每个基因位代表一个候选地址，取值为1表示在此处建设物流中心，为0则表示不建设</x:v>
      </x:c>
      <x:c r="P16" s="22" t="str">
        <x:v>2025秋:2025秋-数学模型-问答记录导出20260502导出_已标注_已更新.xlsx:问答记录:688</x:v>
      </x:c>
      <x:c r="Q16" s="22" t="str">
        <x:v>evidence/valid_dialogues.jsonl:11</x:v>
      </x:c>
    </x:row>
    <x:row r="17" ht="85" customHeight="1">
      <x:c r="A17" s="21" t="str">
        <x:v>2025秋:258439</x:v>
      </x:c>
      <x:c r="B17" s="22" t="str">
        <x:v>S0280</x:v>
      </x:c>
      <x:c r="C17" s="22" t="str">
        <x:v>数学建模综合与案例</x:v>
      </x:c>
      <x:c r="D17" s="22" t="str">
        <x:v>s6</x:v>
      </x:c>
      <x:c r="E17" s="22" t="str">
        <x:v>topic-09</x:v>
      </x:c>
      <x:c r="F17" s="22" t="str">
        <x:v>topic-09</x:v>
      </x:c>
      <x:c r="G17" s="22" t="str">
        <x:v>L6</x:v>
      </x:c>
      <x:c r="H17" s="22" t="str">
        <x:v>L6</x:v>
      </x:c>
      <x:c r="I17" s="22" t="n">
        <x:v>6</x:v>
      </x:c>
      <x:c r="J17" s="22" t="n">
        <x:v>6</x:v>
      </x:c>
      <x:c r="K17" s="22" t="n">
        <x:v>0</x:v>
      </x:c>
      <x:c r="L17" s="22" t="str">
        <x:v>[3]</x:v>
      </x:c>
      <x:c r="M17" s="22" t="str">
        <x:v>[3]</x:v>
      </x:c>
      <x:c r="N17" s="28" t="str">
        <x:v>例如可以用函数表示“需求量=学生总数×出勤率×就餐比例”，或者再加上天气等变量的修正项。这个过程本质上是把“经验判断”变成“可表达、可计算”的形式。
明确假设与边界条件
我以前容易忽略假设，以为写出公式就行。但在这个例子里我发现：如果不说明“出勤率估计来自历史数据”“天气只通过一个系数影响就餐比例”“不考虑突发事件”…</x:v>
      </x:c>
      <x:c r="O17" s="28" t="str">
        <x:v>模型不是一次成型，而是要验证与迭代</x:v>
      </x:c>
      <x:c r="P17" s="22" t="str">
        <x:v>2025秋:2025秋-数学模型-问答记录导出20260502导出_已标注_已更新.xlsx:问答记录:288</x:v>
      </x:c>
      <x:c r="Q17" s="22" t="str">
        <x:v>evidence/valid_dialogues.jsonl:12</x:v>
      </x:c>
    </x:row>
    <x:row r="18" ht="85" customHeight="1">
      <x:c r="A18" s="21" t="str">
        <x:v>2025秋:258440</x:v>
      </x:c>
      <x:c r="B18" s="22" t="str">
        <x:v>S0666</x:v>
      </x:c>
      <x:c r="C18" s="22" t="str">
        <x:v>机器学习与人工智能</x:v>
      </x:c>
      <x:c r="D18" s="22" t="str">
        <x:v>s3</x:v>
      </x:c>
      <x:c r="E18" s="22" t="str">
        <x:v>topic-06</x:v>
      </x:c>
      <x:c r="F18" s="22" t="str">
        <x:v>topic-06</x:v>
      </x:c>
      <x:c r="G18" s="22" t="str">
        <x:v>高</x:v>
      </x:c>
      <x:c r="H18" s="22" t="str">
        <x:v>高</x:v>
      </x:c>
      <x:c r="I18" s="22" t="n">
        <x:v>3.8822412155745485</x:v>
      </x:c>
      <x:c r="J18" s="22" t="n">
        <x:v>3.8822412155745485</x:v>
      </x:c>
      <x:c r="K18" s="22" t="n">
        <x:v>0</x:v>
      </x:c>
      <x:c r="L18" s="22" t="str">
        <x:v>[3]</x:v>
      </x:c>
      <x:c r="M18" s="22" t="str">
        <x:v>[7]</x:v>
      </x:c>
      <x:c r="N18" s="28" t="str">
        <x:v>概念漂移检测则是打破传统机器学习独立同分布假设的关键，能及时发现数据分布或目标概念的随时间变化，触发模型精准自适应</x:v>
      </x:c>
      <x:c r="O18" s="28" t="str">
        <x:v>在时间序列预测中，如何量化"遗忘"的最优程度？是否存在一个理论上的最优遗忘率？
这也是个好问题啊，在时间序列预测中，量化 “遗忘” 最优程度需结合时间序列的核心特性（时序依赖性、趋势性、周期性、噪声水平）与任务目标（预测精度、实时性、稳定性），构建多维度量化指标体系：从预测效果维度，可采用预测误差（MAE、RMSE）…</x:v>
      </x:c>
      <x:c r="P18" s="22" t="str">
        <x:v>2025秋:2025秋-数学模型-问答记录导出20260502导出_已标注_已更新.xlsx:问答记录:687</x:v>
      </x:c>
      <x:c r="Q18" s="22" t="str">
        <x:v>evidence/valid_dialogues.jsonl:13</x:v>
      </x:c>
    </x:row>
    <x:row r="19" ht="85" customHeight="1">
      <x:c r="A19" s="21" t="str">
        <x:v>2025秋:258440</x:v>
      </x:c>
      <x:c r="B19" s="22" t="str">
        <x:v>S0350</x:v>
      </x:c>
      <x:c r="C19" s="22" t="str">
        <x:v>图论与网络</x:v>
      </x:c>
      <x:c r="D19" s="22" t="str">
        <x:v>s3</x:v>
      </x:c>
      <x:c r="E19" s="22" t="str">
        <x:v>topic-02</x:v>
      </x:c>
      <x:c r="F19" s="22" t="str">
        <x:v>topic-02</x:v>
      </x:c>
      <x:c r="G19" s="22" t="str">
        <x:v>中</x:v>
      </x:c>
      <x:c r="H19" s="22" t="str">
        <x:v>中</x:v>
      </x:c>
      <x:c r="I19" s="22" t="n">
        <x:v>2.0806100217864927</x:v>
      </x:c>
      <x:c r="J19" s="22" t="n">
        <x:v>2.0806100217864927</x:v>
      </x:c>
      <x:c r="K19" s="22" t="n">
        <x:v>0</x:v>
      </x:c>
      <x:c r="L19" s="22" t="str">
        <x:v>[3]</x:v>
      </x:c>
      <x:c r="M19" s="22" t="str">
        <x:v>[7]</x:v>
      </x:c>
      <x:c r="N19" s="28" t="str">
        <x:v>走到没路可走（所有相邻的地方都去过了），就退回到上一个还有其他路没试的岔路口</x:v>
      </x:c>
      <x:c r="O19" s="28" t="str">
        <x:v>其实核心原因特简单：无向图的边是 “双向通道”，不像有向图是 “单向单行道”—— 这种双向性直接</x:v>
      </x:c>
      <x:c r="P19" s="22" t="str">
        <x:v>2025秋:2025秋-数学模型-问答记录导出20260502导出_已标注_已更新.xlsx:问答记录:359</x:v>
      </x:c>
      <x:c r="Q19" s="22" t="str">
        <x:v>evidence/valid_dialogues.jsonl:14</x:v>
      </x:c>
    </x:row>
    <x:row r="20" ht="85" customHeight="1">
      <x:c r="A20" s="21" t="str">
        <x:v>2025秋:258504</x:v>
      </x:c>
      <x:c r="B20" s="22" t="str">
        <x:v>S0508</x:v>
      </x:c>
      <x:c r="C20" s="22" t="str">
        <x:v>数学建模综合与案例</x:v>
      </x:c>
      <x:c r="D20" s="22" t="str">
        <x:v>s6</x:v>
      </x:c>
      <x:c r="E20" s="22" t="str">
        <x:v>topic-09</x:v>
      </x:c>
      <x:c r="F20" s="22" t="str">
        <x:v>topic-09</x:v>
      </x:c>
      <x:c r="G20" s="22" t="str">
        <x:v>L2</x:v>
      </x:c>
      <x:c r="H20" s="22" t="str">
        <x:v>L4</x:v>
      </x:c>
      <x:c r="I20" s="22" t="n">
        <x:v>2</x:v>
      </x:c>
      <x:c r="J20" s="22" t="n">
        <x:v>4</x:v>
      </x:c>
      <x:c r="K20" s="22" t="n">
        <x:v>2</x:v>
      </x:c>
      <x:c r="L20" s="22" t="str">
        <x:v>[3]</x:v>
      </x:c>
      <x:c r="M20" s="22" t="str">
        <x:v>[11]</x:v>
      </x:c>
      <x:c r="N20" s="28" t="str">
        <x:v>基因在传递过程中分离，然后在结合时随机组合。</x:v>
      </x:c>
      <x:c r="O20" s="28" t="str">
        <x:v>在自然杂交中，Aa 与 Aa 的交配会持续产生大约25%的 aa 后代，使得隐性等位基因 a 能够长期隐藏在群体中。</x:v>
      </x:c>
      <x:c r="P20" s="22" t="str">
        <x:v>2025秋:2025秋-数学模型-问答记录导出20260502导出_已标注_已更新.xlsx:问答记录:520</x:v>
      </x:c>
      <x:c r="Q20" s="22" t="str">
        <x:v>evidence/valid_dialogues.jsonl:15</x:v>
      </x:c>
    </x:row>
    <x:row r="21" ht="85" customHeight="1">
      <x:c r="A21" s="21" t="str">
        <x:v>2025秋:258524</x:v>
      </x:c>
      <x:c r="B21" s="22" t="str">
        <x:v>S0041</x:v>
      </x:c>
      <x:c r="C21" s="22" t="str">
        <x:v>数学基础</x:v>
      </x:c>
      <x:c r="D21" s="22" t="str">
        <x:v>s6</x:v>
      </x:c>
      <x:c r="E21" s="22" t="str">
        <x:v>topic-10</x:v>
      </x:c>
      <x:c r="F21" s="22" t="str">
        <x:v>topic-10</x:v>
      </x:c>
      <x:c r="G21" s="22" t="str">
        <x:v>L1</x:v>
      </x:c>
      <x:c r="H21" s="22" t="str">
        <x:v>L5</x:v>
      </x:c>
      <x:c r="I21" s="22" t="n">
        <x:v>1</x:v>
      </x:c>
      <x:c r="J21" s="22" t="n">
        <x:v>5</x:v>
      </x:c>
      <x:c r="K21" s="22" t="n">
        <x:v>4</x:v>
      </x:c>
      <x:c r="L21" s="22" t="str">
        <x:v>[3]</x:v>
      </x:c>
      <x:c r="M21" s="22" t="str">
        <x:v>[11]</x:v>
      </x:c>
      <x:c r="N21" s="28" t="str">
        <x:v>长得漂亮</x:v>
      </x:c>
      <x:c r="O21" s="28" t="str">
        <x:v>根据任务重要性给不同条件不同权重，或允许“整体还不错”算一定程度满足，适合评价类场景</x:v>
      </x:c>
      <x:c r="P21" s="22" t="str">
        <x:v>2025秋:2025秋-数学模型-问答记录导出20260502导出_已标注_已更新.xlsx:问答记录:43</x:v>
      </x:c>
      <x:c r="Q21" s="22" t="str">
        <x:v>evidence/valid_dialogues.jsonl:16</x:v>
      </x:c>
    </x:row>
    <x:row r="22" ht="85" customHeight="1">
      <x:c r="A22" s="21" t="str">
        <x:v>2025秋:258526</x:v>
      </x:c>
      <x:c r="B22" s="22" t="str">
        <x:v>S0300</x:v>
      </x:c>
      <x:c r="C22" s="22" t="str">
        <x:v>机器学习与人工智能</x:v>
      </x:c>
      <x:c r="D22" s="22" t="str">
        <x:v>s3</x:v>
      </x:c>
      <x:c r="E22" s="22" t="str">
        <x:v>topic-06</x:v>
      </x:c>
      <x:c r="F22" s="22" t="str">
        <x:v>topic-06</x:v>
      </x:c>
      <x:c r="G22" s="22" t="str">
        <x:v>中</x:v>
      </x:c>
      <x:c r="H22" s="22" t="str">
        <x:v>高</x:v>
      </x:c>
      <x:c r="I22" s="22" t="n">
        <x:v>2.277888844462215</x:v>
      </x:c>
      <x:c r="J22" s="22" t="n">
        <x:v>3.922043891254504</x:v>
      </x:c>
      <x:c r="K22" s="22" t="n">
        <x:v>1.6441550467922887</x:v>
      </x:c>
      <x:c r="L22" s="22" t="str">
        <x:v>[3]</x:v>
      </x:c>
      <x:c r="M22" s="22" t="str">
        <x:v>[11]</x:v>
      </x:c>
      <x:c r="N22" s="28" t="str">
        <x:v>仅对超出ε带的样本计算损失；同时通过最小化模型复杂度</x:v>
      </x:c>
      <x:c r="O22" s="28" t="str">
        <x:v>支持向量回归的局限性主要体现在：对大规模数据集计算效率较低（核矩阵存储与计算开销大）、核函数与超</x:v>
      </x:c>
      <x:c r="P22" s="22" t="str">
        <x:v>2025秋:2025秋-数学模型-问答记录导出20260502导出_已标注_已更新.xlsx:问答记录:308</x:v>
      </x:c>
      <x:c r="Q22" s="22" t="str">
        <x:v>evidence/valid_dialogues.jsonl:17</x:v>
      </x:c>
    </x:row>
    <x:row r="23" ht="85" customHeight="1">
      <x:c r="A23" s="21" t="str">
        <x:v>2025秋:258540</x:v>
      </x:c>
      <x:c r="B23" s="22" t="str">
        <x:v>S0042</x:v>
      </x:c>
      <x:c r="C23" s="22" t="str">
        <x:v>优化与运筹</x:v>
      </x:c>
      <x:c r="D23" s="22" t="str">
        <x:v>s3</x:v>
      </x:c>
      <x:c r="E23" s="22" t="str">
        <x:v>topic-01</x:v>
      </x:c>
      <x:c r="F23" s="22" t="str">
        <x:v>topic-01</x:v>
      </x:c>
      <x:c r="G23" s="22" t="str">
        <x:v>低</x:v>
      </x:c>
      <x:c r="H23" s="22" t="str">
        <x:v>中</x:v>
      </x:c>
      <x:c r="I23" s="22" t="n">
        <x:v>1.4780701754385965</x:v>
      </x:c>
      <x:c r="J23" s="22" t="n">
        <x:v>2.0141467727674622</x:v>
      </x:c>
      <x:c r="K23" s="22" t="n">
        <x:v>0.5360765973288657</x:v>
      </x:c>
      <x:c r="L23" s="22" t="str">
        <x:v>[3]</x:v>
      </x:c>
      <x:c r="M23" s="22" t="str">
        <x:v>[5]</x:v>
      </x:c>
      <x:c r="N23" s="28" t="str">
        <x:v>目标函数或约束条件中至少有一个是决策变量的非线性函数的问题。</x:v>
      </x:c>
      <x:c r="O23" s="28" t="str">
        <x:v>你费尽力气爬上了一个小山头（局部最优解），以为到顶了，但抬头一看，远处还有一座更高的山峰（全局最优解）。</x:v>
      </x:c>
      <x:c r="P23" s="22" t="str">
        <x:v>2025秋:2025秋-数学模型-问答记录导出20260502导出_已标注_已更新.xlsx:问答记录:44</x:v>
      </x:c>
      <x:c r="Q23" s="22" t="str">
        <x:v>evidence/valid_dialogues.jsonl:18</x:v>
      </x:c>
    </x:row>
    <x:row r="24" ht="85" customHeight="1">
      <x:c r="A24" s="21" t="str">
        <x:v>2025秋:258755</x:v>
      </x:c>
      <x:c r="B24" s="22" t="str">
        <x:v>S0263</x:v>
      </x:c>
      <x:c r="C24" s="22" t="str">
        <x:v>概率统计与随机过程</x:v>
      </x:c>
      <x:c r="D24" s="22" t="str">
        <x:v>s3</x:v>
      </x:c>
      <x:c r="E24" s="22" t="str">
        <x:v>topic-04</x:v>
      </x:c>
      <x:c r="F24" s="22" t="str">
        <x:v>topic-04</x:v>
      </x:c>
      <x:c r="G24" s="22" t="str">
        <x:v>中</x:v>
      </x:c>
      <x:c r="H24" s="22" t="str">
        <x:v>高</x:v>
      </x:c>
      <x:c r="I24" s="22" t="n">
        <x:v>2.05982905982906</x:v>
      </x:c>
      <x:c r="J24" s="22" t="n">
        <x:v>3.8109393579072535</x:v>
      </x:c>
      <x:c r="K24" s="22" t="n">
        <x:v>1.7511102980781934</x:v>
      </x:c>
      <x:c r="L24" s="22" t="str">
        <x:v>[3]</x:v>
      </x:c>
      <x:c r="M24" s="22" t="str">
        <x:v>[5]</x:v>
      </x:c>
      <x:c r="N24" s="28" t="str">
        <x:v>总体分布未知或不满足参数检验的分布假设；数据类型为顺序尺度（等级数据）；数据存在严重的离群值</x:v>
      </x:c>
      <x:c r="O24" s="28" t="str">
        <x:v>非参数检验通过放弃对具体数值的推断，转而依赖数据的序结构和经验分布函数来补偿理论框架的缺失。用数</x:v>
      </x:c>
      <x:c r="P24" s="22" t="str">
        <x:v>2025秋:2025秋-数学模型-问答记录导出20260502导出_已标注_已更新.xlsx:问答记录:271</x:v>
      </x:c>
      <x:c r="Q24" s="22" t="str">
        <x:v>evidence/valid_dialogues.jsonl:19</x:v>
      </x:c>
    </x:row>
    <x:row r="25" ht="85" customHeight="1">
      <x:c r="A25" s="21" t="str">
        <x:v>2025秋:258858</x:v>
      </x:c>
      <x:c r="B25" s="22" t="str">
        <x:v>S0232</x:v>
      </x:c>
      <x:c r="C25" s="22" t="str">
        <x:v>优化与运筹</x:v>
      </x:c>
      <x:c r="D25" s="22" t="str">
        <x:v>s3</x:v>
      </x:c>
      <x:c r="E25" s="22" t="str">
        <x:v>topic-01</x:v>
      </x:c>
      <x:c r="F25" s="22" t="str">
        <x:v>topic-01</x:v>
      </x:c>
      <x:c r="G25" s="22" t="str">
        <x:v>中</x:v>
      </x:c>
      <x:c r="H25" s="22" t="str">
        <x:v>高</x:v>
      </x:c>
      <x:c r="I25" s="22" t="n">
        <x:v>2.0141467727674622</x:v>
      </x:c>
      <x:c r="J25" s="22" t="n">
        <x:v>3.9131968948482707</x:v>
      </x:c>
      <x:c r="K25" s="22" t="n">
        <x:v>1.8990501220808085</x:v>
      </x:c>
      <x:c r="L25" s="22" t="str">
        <x:v>[3]</x:v>
      </x:c>
      <x:c r="M25" s="22" t="str">
        <x:v>[13]</x:v>
      </x:c>
      <x:c r="N25" s="28" t="str">
        <x:v>在满足所有ATM机现金需求的前提下，找到一条最优的运钞车行驶路线，使得完成所有ATM机的现金补充任务后，车辆行驶的总距离或总时间最短。</x:v>
      </x:c>
      <x:c r="O25" s="28" t="str">
        <x:v>将路径优化与大数据分析和机器学习相结合。系统不应只知道“去哪”，更应知道“何时去”和“带多少”。</x:v>
      </x:c>
      <x:c r="P25" s="22" t="str">
        <x:v>2025秋:2025秋-数学模型-问答记录导出20260502导出_已标注_已更新.xlsx:问答记录:237</x:v>
      </x:c>
      <x:c r="Q25" s="22" t="str">
        <x:v>evidence/valid_dialogues.jsonl:20</x:v>
      </x:c>
    </x:row>
    <x:row r="26" ht="85" customHeight="1">
      <x:c r="A26" s="21" t="str">
        <x:v>2025秋:258858</x:v>
      </x:c>
      <x:c r="B26" s="22" t="str">
        <x:v>S0103</x:v>
      </x:c>
      <x:c r="C26" s="22" t="str">
        <x:v>微分方程与动态系统</x:v>
      </x:c>
      <x:c r="D26" s="22" t="str">
        <x:v>s3</x:v>
      </x:c>
      <x:c r="E26" s="22" t="str">
        <x:v>topic-03</x:v>
      </x:c>
      <x:c r="F26" s="22" t="str">
        <x:v>topic-03</x:v>
      </x:c>
      <x:c r="G26" s="22" t="str">
        <x:v>低</x:v>
      </x:c>
      <x:c r="H26" s="22" t="str">
        <x:v>高</x:v>
      </x:c>
      <x:c r="I26" s="22" t="n">
        <x:v>1.521825396825397</x:v>
      </x:c>
      <x:c r="J26" s="22" t="n">
        <x:v>3.5076400679117143</x:v>
      </x:c>
      <x:c r="K26" s="22" t="n">
        <x:v>1.9858146710863174</x:v>
      </x:c>
      <x:c r="L26" s="22" t="str">
        <x:v>[3]</x:v>
      </x:c>
      <x:c r="M26" s="22" t="str">
        <x:v>[13]</x:v>
      </x:c>
      <x:c r="N26" s="28" t="str">
        <x:v>出生率+迁入人口率等于死亡率的时候</x:v>
      </x:c>
      <x:c r="O26" s="28" t="str">
        <x:v>可以继续求他的二阶/高阶展开项</x:v>
      </x:c>
      <x:c r="P26" s="22" t="str">
        <x:v>2025秋:2025秋-数学模型-问答记录导出20260502导出_已标注_已更新.xlsx:问答记录:106</x:v>
      </x:c>
      <x:c r="Q26" s="22" t="str">
        <x:v>evidence/valid_dialogues.jsonl:21</x:v>
      </x:c>
    </x:row>
    <x:row r="27" ht="85" customHeight="1">
      <x:c r="A27" s="21" t="str">
        <x:v>2025秋:258859</x:v>
      </x:c>
      <x:c r="B27" s="22" t="str">
        <x:v>S0091</x:v>
      </x:c>
      <x:c r="C27" s="22" t="str">
        <x:v>数值计算与科学计算</x:v>
      </x:c>
      <x:c r="D27" s="22" t="str">
        <x:v>s3</x:v>
      </x:c>
      <x:c r="E27" s="22" t="str">
        <x:v>topic-05</x:v>
      </x:c>
      <x:c r="F27" s="22" t="str">
        <x:v>topic-05</x:v>
      </x:c>
      <x:c r="G27" s="22" t="str">
        <x:v>中</x:v>
      </x:c>
      <x:c r="H27" s="22" t="str">
        <x:v>高</x:v>
      </x:c>
      <x:c r="I27" s="22" t="n">
        <x:v>2.0957854406130267</x:v>
      </x:c>
      <x:c r="J27" s="22" t="n">
        <x:v>2.8145035792094615</x:v>
      </x:c>
      <x:c r="K27" s="22" t="n">
        <x:v>0.7187181385964347</x:v>
      </x:c>
      <x:c r="L27" s="22" t="str">
        <x:v>[3]</x:v>
      </x:c>
      <x:c r="M27" s="22" t="str">
        <x:v>[7]</x:v>
      </x:c>
      <x:c r="N27" s="28" t="str">
        <x:v>所有平行于主对角线的线上元素都一样，比如主对角线全是 a₀，相邻的副对角线全是 a₁，只需存第一行和第一列就能还原整个矩阵</x:v>
      </x:c>
      <x:c r="O27" s="28" t="str">
        <x:v>修正 Yule-Walker 方程核心用于解决 “数据少、有噪声” 场景下的自回归（AR）模型参数估计问题</x:v>
      </x:c>
      <x:c r="P27" s="22" t="str">
        <x:v>2025秋:2025秋-数学模型-问答记录导出20260502导出_已标注_已更新.xlsx:问答记录:94</x:v>
      </x:c>
      <x:c r="Q27" s="22" t="str">
        <x:v>evidence/valid_dialogues.jsonl:22</x:v>
      </x:c>
    </x:row>
    <x:row r="28" ht="85" customHeight="1">
      <x:c r="A28" s="21" t="str">
        <x:v>2025秋:258862</x:v>
      </x:c>
      <x:c r="B28" s="22" t="str">
        <x:v>S0151</x:v>
      </x:c>
      <x:c r="C28" s="22" t="str">
        <x:v>优化与运筹</x:v>
      </x:c>
      <x:c r="D28" s="22" t="str">
        <x:v>s3</x:v>
      </x:c>
      <x:c r="E28" s="22" t="str">
        <x:v>topic-01</x:v>
      </x:c>
      <x:c r="F28" s="22" t="str">
        <x:v>topic-01</x:v>
      </x:c>
      <x:c r="G28" s="22" t="str">
        <x:v>高</x:v>
      </x:c>
      <x:c r="H28" s="22" t="str">
        <x:v>高</x:v>
      </x:c>
      <x:c r="I28" s="22" t="n">
        <x:v>3.9131968948482707</x:v>
      </x:c>
      <x:c r="J28" s="22" t="n">
        <x:v>3.9131968948482707</x:v>
      </x:c>
      <x:c r="K28" s="22" t="n">
        <x:v>0</x:v>
      </x:c>
      <x:c r="L28" s="22" t="str">
        <x:v>[3]</x:v>
      </x:c>
      <x:c r="M28" s="22" t="str">
        <x:v>[5]</x:v>
      </x:c>
      <x:c r="N28" s="28" t="str">
        <x:v>每次选择距离当前位置最近的未访问客户点作为下一站。这种方法能快速生成一个可行的初始解，虽不一定最优，但效率极高，适合实际场景中对实时性和可操作性的要求。</x:v>
      </x:c>
      <x:c r="O28" s="28" t="str">
        <x:v>直接将A连接到C，B连接到D，同时把原先A到B之间经过的点、C到D之间经过的点的顺序反转，重新拼接成一条完整环路。</x:v>
      </x:c>
      <x:c r="P28" s="22" t="str">
        <x:v>2025秋:2025秋-数学模型-问答记录导出20260502导出_已标注_已更新.xlsx:问答记录:154</x:v>
      </x:c>
      <x:c r="Q28" s="22" t="str">
        <x:v>evidence/valid_dialogues.jsonl:23</x:v>
      </x:c>
    </x:row>
    <x:row r="29" ht="85" customHeight="1">
      <x:c r="A29" s="21" t="str">
        <x:v>2025秋:258868</x:v>
      </x:c>
      <x:c r="B29" s="22" t="str">
        <x:v>S0028</x:v>
      </x:c>
      <x:c r="C29" s="22" t="str">
        <x:v>评价与决策</x:v>
      </x:c>
      <x:c r="D29" s="22" t="str">
        <x:v>s3</x:v>
      </x:c>
      <x:c r="E29" s="22" t="str">
        <x:v>topic-08</x:v>
      </x:c>
      <x:c r="F29" s="22" t="str">
        <x:v>topic-08</x:v>
      </x:c>
      <x:c r="G29" s="22" t="str">
        <x:v>中</x:v>
      </x:c>
      <x:c r="H29" s="22" t="str">
        <x:v>中</x:v>
      </x:c>
      <x:c r="I29" s="22" t="n">
        <x:v>2.111801242236025</x:v>
      </x:c>
      <x:c r="J29" s="22" t="n">
        <x:v>2.111801242236025</x:v>
      </x:c>
      <x:c r="K29" s="22" t="n">
        <x:v>0</x:v>
      </x:c>
      <x:c r="L29" s="22" t="str">
        <x:v>[3]</x:v>
      </x:c>
      <x:c r="M29" s="22" t="str">
        <x:v>[5]</x:v>
      </x:c>
      <x:c r="N29" s="28" t="str">
        <x:v>应该从这些成绩中提取特征向量，计算特征向量的距离或是相似度</x:v>
      </x:c>
      <x:c r="O29" s="28" t="str">
        <x:v>变化趋势可以用于预测，也可以用于分析数据的稳定性，变化趋势也可以反映深度特征</x:v>
      </x:c>
      <x:c r="P29" s="22" t="str">
        <x:v>2025秋:2025秋-数学模型-问答记录导出20260502导出_已标注_已更新.xlsx:问答记录:30</x:v>
      </x:c>
      <x:c r="Q29" s="22" t="str">
        <x:v>evidence/valid_dialogues.jsonl:24</x:v>
      </x:c>
    </x:row>
    <x:row r="30" ht="85" customHeight="1">
      <x:c r="A30" s="21" t="str">
        <x:v>2025秋:258878</x:v>
      </x:c>
      <x:c r="B30" s="22" t="str">
        <x:v>S0364</x:v>
      </x:c>
      <x:c r="C30" s="22" t="str">
        <x:v>优化与运筹</x:v>
      </x:c>
      <x:c r="D30" s="22" t="str">
        <x:v>s3</x:v>
      </x:c>
      <x:c r="E30" s="22" t="str">
        <x:v>topic-01</x:v>
      </x:c>
      <x:c r="F30" s="22" t="str">
        <x:v>topic-01</x:v>
      </x:c>
      <x:c r="G30" s="22" t="str">
        <x:v>低</x:v>
      </x:c>
      <x:c r="H30" s="22" t="str">
        <x:v>高</x:v>
      </x:c>
      <x:c r="I30" s="22" t="n">
        <x:v>1.4780701754385965</x:v>
      </x:c>
      <x:c r="J30" s="22" t="n">
        <x:v>3.9131968948482707</x:v>
      </x:c>
      <x:c r="K30" s="22" t="n">
        <x:v>2.4351267194096744</x:v>
      </x:c>
      <x:c r="L30" s="22" t="str">
        <x:v>[3]</x:v>
      </x:c>
      <x:c r="M30" s="22" t="str">
        <x:v>[13]</x:v>
      </x:c>
      <x:c r="N30" s="28" t="str">
        <x:v>找到满足要求的最短回路</x:v>
      </x:c>
      <x:c r="O30" s="28" t="str">
        <x:v>一、理论模型的创新性建议
为了克服经典TSP的局限性，我建议从以下四个范式上进行根本性的创新：</x:v>
      </x:c>
      <x:c r="P30" s="22" t="str">
        <x:v>2025秋:2025秋-数学模型-问答记录导出20260502导出_已标注_已更新.xlsx:问答记录:375</x:v>
      </x:c>
      <x:c r="Q30" s="22" t="str">
        <x:v>evidence/valid_dialogues.jsonl:25</x:v>
      </x:c>
    </x:row>
    <x:row r="31" ht="85" customHeight="1">
      <x:c r="A31" s="21" t="str">
        <x:v>2025秋:258880</x:v>
      </x:c>
      <x:c r="B31" s="22" t="str">
        <x:v>S0063</x:v>
      </x:c>
      <x:c r="C31" s="22" t="str">
        <x:v>数据处理与可视化</x:v>
      </x:c>
      <x:c r="D31" s="22" t="str">
        <x:v>s3</x:v>
      </x:c>
      <x:c r="E31" s="22" t="str">
        <x:v>topic-07</x:v>
      </x:c>
      <x:c r="F31" s="22" t="str">
        <x:v>topic-07</x:v>
      </x:c>
      <x:c r="G31" s="22" t="str">
        <x:v>低</x:v>
      </x:c>
      <x:c r="H31" s="22" t="str">
        <x:v>低</x:v>
      </x:c>
      <x:c r="I31" s="22" t="n">
        <x:v>1.5819397993311037</x:v>
      </x:c>
      <x:c r="J31" s="22" t="n">
        <x:v>1.5819397993311037</x:v>
      </x:c>
      <x:c r="K31" s="22" t="n">
        <x:v>0</x:v>
      </x:c>
      <x:c r="L31" s="22" t="str">
        <x:v>[3]</x:v>
      </x:c>
      <x:c r="M31" s="22" t="str">
        <x:v>[7]</x:v>
      </x:c>
      <x:c r="N31" s="28" t="str">
        <x:v>把数据转化成知识</x:v>
      </x:c>
      <x:c r="O31" s="28" t="str">
        <x:v>样本太少</x:v>
      </x:c>
      <x:c r="P31" s="22" t="str">
        <x:v>2025秋:2025秋-数学模型-问答记录导出20260502导出_已标注_已更新.xlsx:问答记录:66</x:v>
      </x:c>
      <x:c r="Q31" s="22" t="str">
        <x:v>evidence/valid_dialogues.jsonl:26</x:v>
      </x:c>
    </x:row>
    <x:row r="32" ht="85" customHeight="1">
      <x:c r="A32" s="21" t="str">
        <x:v>2025秋:258887</x:v>
      </x:c>
      <x:c r="B32" s="22" t="str">
        <x:v>S0309</x:v>
      </x:c>
      <x:c r="C32" s="22" t="str">
        <x:v>优化与运筹</x:v>
      </x:c>
      <x:c r="D32" s="22" t="str">
        <x:v>s3</x:v>
      </x:c>
      <x:c r="E32" s="22" t="str">
        <x:v>topic-01</x:v>
      </x:c>
      <x:c r="F32" s="22" t="str">
        <x:v>topic-01</x:v>
      </x:c>
      <x:c r="G32" s="22" t="str">
        <x:v>中</x:v>
      </x:c>
      <x:c r="H32" s="22" t="str">
        <x:v>中</x:v>
      </x:c>
      <x:c r="I32" s="22" t="n">
        <x:v>2.1268939393939394</x:v>
      </x:c>
      <x:c r="J32" s="22" t="n">
        <x:v>2.1268939393939394</x:v>
      </x:c>
      <x:c r="K32" s="22" t="n">
        <x:v>0</x:v>
      </x:c>
      <x:c r="L32" s="22" t="str">
        <x:v>[3]</x:v>
      </x:c>
      <x:c r="M32" s="22" t="str">
        <x:v>[3]</x:v>
      </x:c>
      <x:c r="N32" s="28" t="str">
        <x:v>合理安排不同型号车辆段生产顺序，使得总耗时最小，或使不同车间空闲时间尽可能小，同时不能冲突</x:v>
      </x:c>
      <x:c r="O32" s="28" t="str">
        <x:v>关键在于合理安排不同型号车辆段生产顺序，使得总耗时最小，或使不同车间空闲时间尽可能小，同时不能冲</x:v>
      </x:c>
      <x:c r="P32" s="22" t="str">
        <x:v>2025秋:2025秋-数学模型-问答记录导出20260502导出_已标注_已更新.xlsx:问答记录:317</x:v>
      </x:c>
      <x:c r="Q32" s="22" t="str">
        <x:v>evidence/valid_dialogues.jsonl:27</x:v>
      </x:c>
    </x:row>
    <x:row r="33" ht="85" customHeight="1">
      <x:c r="A33" s="21" t="str">
        <x:v>2025秋:258888</x:v>
      </x:c>
      <x:c r="B33" s="22" t="str">
        <x:v>S0190</x:v>
      </x:c>
      <x:c r="C33" s="22" t="str">
        <x:v>优化与运筹</x:v>
      </x:c>
      <x:c r="D33" s="22" t="str">
        <x:v>s3</x:v>
      </x:c>
      <x:c r="E33" s="22" t="str">
        <x:v>topic-01</x:v>
      </x:c>
      <x:c r="F33" s="22" t="str">
        <x:v>topic-01</x:v>
      </x:c>
      <x:c r="G33" s="22" t="str">
        <x:v>低</x:v>
      </x:c>
      <x:c r="H33" s="22" t="str">
        <x:v>中</x:v>
      </x:c>
      <x:c r="I33" s="22" t="n">
        <x:v>1.4780701754385965</x:v>
      </x:c>
      <x:c r="J33" s="22" t="n">
        <x:v>2.0141467727674622</x:v>
      </x:c>
      <x:c r="K33" s="22" t="n">
        <x:v>0.5360765973288657</x:v>
      </x:c>
      <x:c r="L33" s="22" t="str">
        <x:v>[3]</x:v>
      </x:c>
      <x:c r="M33" s="22" t="str">
        <x:v>[11]</x:v>
      </x:c>
      <x:c r="N33" s="28" t="str">
        <x:v>往最高处</x:v>
      </x:c>
      <x:c r="O33" s="28" t="str">
        <x:v>因为种群更多样</x:v>
      </x:c>
      <x:c r="P33" s="22" t="str">
        <x:v>2025秋:2025秋-数学模型-问答记录导出20260502导出_已标注_已更新.xlsx:问答记录:193</x:v>
      </x:c>
      <x:c r="Q33" s="22" t="str">
        <x:v>evidence/valid_dialogues.jsonl:28</x:v>
      </x:c>
    </x:row>
    <x:row r="34" ht="85" customHeight="1">
      <x:c r="A34" s="21" t="str">
        <x:v>2025秋:258888</x:v>
      </x:c>
      <x:c r="B34" s="22" t="str">
        <x:v>S0365</x:v>
      </x:c>
      <x:c r="C34" s="22" t="str">
        <x:v>优化与运筹</x:v>
      </x:c>
      <x:c r="D34" s="22" t="str">
        <x:v>s3</x:v>
      </x:c>
      <x:c r="E34" s="22" t="str">
        <x:v>topic-01</x:v>
      </x:c>
      <x:c r="F34" s="22" t="str">
        <x:v>topic-01</x:v>
      </x:c>
      <x:c r="G34" s="22" t="str">
        <x:v>低</x:v>
      </x:c>
      <x:c r="H34" s="22" t="str">
        <x:v>高</x:v>
      </x:c>
      <x:c r="I34" s="22" t="n">
        <x:v>1.4780701754385965</x:v>
      </x:c>
      <x:c r="J34" s="22" t="n">
        <x:v>3.9131968948482707</x:v>
      </x:c>
      <x:c r="K34" s="22" t="n">
        <x:v>2.4351267194096744</x:v>
      </x:c>
      <x:c r="L34" s="22" t="str">
        <x:v>[3]</x:v>
      </x:c>
      <x:c r="M34" s="22" t="str">
        <x:v>[17]</x:v>
      </x:c>
      <x:c r="N34" s="28" t="str">
        <x:v>选择，交叉和变异</x:v>
      </x:c>
      <x:c r="O34" s="28" t="str">
        <x:v>约束满足，因为在我需要求解的问题中需要保证解的可行性</x:v>
      </x:c>
      <x:c r="P34" s="22" t="str">
        <x:v>2025秋:2025秋-数学模型-问答记录导出20260502导出_已标注_已更新.xlsx:问答记录:376</x:v>
      </x:c>
      <x:c r="Q34" s="22" t="str">
        <x:v>evidence/valid_dialogues.jsonl:29</x:v>
      </x:c>
    </x:row>
    <x:row r="35" ht="85" customHeight="1">
      <x:c r="A35" s="21" t="str">
        <x:v>2025秋:258889</x:v>
      </x:c>
      <x:c r="B35" s="22" t="str">
        <x:v>S0040</x:v>
      </x:c>
      <x:c r="C35" s="22" t="str">
        <x:v>概率统计与随机过程</x:v>
      </x:c>
      <x:c r="D35" s="22" t="str">
        <x:v>s3</x:v>
      </x:c>
      <x:c r="E35" s="22" t="str">
        <x:v>topic-04</x:v>
      </x:c>
      <x:c r="F35" s="22" t="str">
        <x:v>topic-04</x:v>
      </x:c>
      <x:c r="G35" s="22" t="str">
        <x:v>低</x:v>
      </x:c>
      <x:c r="H35" s="22" t="str">
        <x:v>中</x:v>
      </x:c>
      <x:c r="I35" s="22" t="n">
        <x:v>1.5243589743589745</x:v>
      </x:c>
      <x:c r="J35" s="22" t="n">
        <x:v>2.120723362658847</x:v>
      </x:c>
      <x:c r="K35" s="22" t="n">
        <x:v>0.5963643882998724</x:v>
      </x:c>
      <x:c r="L35" s="22" t="str">
        <x:v>[3]</x:v>
      </x:c>
      <x:c r="M35" s="22" t="str">
        <x:v>[5]</x:v>
      </x:c>
      <x:c r="N35" s="28" t="str">
        <x:v>“1”是模型阶数，“N”应该是模型变量总个数</x:v>
      </x:c>
      <x:c r="O35" s="28" t="str">
        <x:v>将主变量的变化趋势与 N-1 个影响因素的动态演化绑定，从而实现比单变量模型更精准的预测。</x:v>
      </x:c>
      <x:c r="P35" s="22" t="str">
        <x:v>2025秋:2025秋-数学模型-问答记录导出20260502导出_已标注_已更新.xlsx:问答记录:42</x:v>
      </x:c>
      <x:c r="Q35" s="22" t="str">
        <x:v>evidence/valid_dialogues.jsonl:30</x:v>
      </x:c>
    </x:row>
    <x:row r="36" ht="85" customHeight="1">
      <x:c r="A36" s="21" t="str">
        <x:v>2025秋:258892</x:v>
      </x:c>
      <x:c r="B36" s="22" t="str">
        <x:v>S0473</x:v>
      </x:c>
      <x:c r="C36" s="22" t="str">
        <x:v>图论与网络</x:v>
      </x:c>
      <x:c r="D36" s="22" t="str">
        <x:v>s3</x:v>
      </x:c>
      <x:c r="E36" s="22" t="str">
        <x:v>topic-02</x:v>
      </x:c>
      <x:c r="F36" s="22" t="str">
        <x:v>topic-02</x:v>
      </x:c>
      <x:c r="G36" s="22" t="str">
        <x:v>中</x:v>
      </x:c>
      <x:c r="H36" s="22" t="str">
        <x:v>中</x:v>
      </x:c>
      <x:c r="I36" s="22" t="n">
        <x:v>2.0806100217864927</x:v>
      </x:c>
      <x:c r="J36" s="22" t="n">
        <x:v>2.0806100217864927</x:v>
      </x:c>
      <x:c r="K36" s="22" t="n">
        <x:v>0</x:v>
      </x:c>
      <x:c r="L36" s="22" t="str">
        <x:v>[3]</x:v>
      </x:c>
      <x:c r="M36" s="22" t="str">
        <x:v>[7]</x:v>
      </x:c>
      <x:c r="N36" s="28" t="str">
        <x:v>有向图的边是单向的，从顶点  u  到  v  的边只能支持从  u  访问  v ，无法反向访问</x:v>
      </x:c>
      <x:c r="O36" s="28" t="str">
        <x:v>在有向图的DFS中不需要专门区分父节点。
核心原因在于有向图的边是单向的，从父节点  u  指向子节点  v  的边  &lt;u,v&gt; ，不存在反向的  &lt;v,u&gt;  边作为“回头路”；遍历  v  的邻接节点时，即便出现已访问的节点，也不会是沿着原路径的反向回溯，要么是跨分支的交叉访问，要么就是真正的有向回路，无需通过父…</x:v>
      </x:c>
      <x:c r="P36" s="22" t="str">
        <x:v>2025秋:2025秋-数学模型-问答记录导出20260502导出_已标注_已更新.xlsx:问答记录:485</x:v>
      </x:c>
      <x:c r="Q36" s="22" t="str">
        <x:v>evidence/valid_dialogues.jsonl:31</x:v>
      </x:c>
    </x:row>
    <x:row r="37" ht="85" customHeight="1">
      <x:c r="A37" s="21" t="str">
        <x:v>2025秋:258892</x:v>
      </x:c>
      <x:c r="B37" s="22" t="str">
        <x:v>S0095</x:v>
      </x:c>
      <x:c r="C37" s="22" t="str">
        <x:v>优化与运筹</x:v>
      </x:c>
      <x:c r="D37" s="22" t="str">
        <x:v>s3</x:v>
      </x:c>
      <x:c r="E37" s="22" t="str">
        <x:v>topic-01</x:v>
      </x:c>
      <x:c r="F37" s="22" t="str">
        <x:v>topic-01</x:v>
      </x:c>
      <x:c r="G37" s="22" t="str">
        <x:v>低</x:v>
      </x:c>
      <x:c r="H37" s="22" t="str">
        <x:v>高</x:v>
      </x:c>
      <x:c r="I37" s="22" t="n">
        <x:v>1.4780701754385965</x:v>
      </x:c>
      <x:c r="J37" s="22" t="n">
        <x:v>3.9131968948482707</x:v>
      </x:c>
      <x:c r="K37" s="22" t="n">
        <x:v>2.4351267194096744</x:v>
      </x:c>
      <x:c r="L37" s="22" t="str">
        <x:v>[3]</x:v>
      </x:c>
      <x:c r="M37" s="22" t="str">
        <x:v>[15]</x:v>
      </x:c>
      <x:c r="N37" s="28" t="str">
        <x:v>对于3级台阶，有3种不同的爬法，1+1+1、1+2、2+1。</x:v>
      </x:c>
      <x:c r="O37" s="28" t="str">
        <x:v>自顶向下（递归+记忆化）：优点是只计算必要的子问题、代码更贴近问题定义，缺点是有递归调用开销和栈深限制。</x:v>
      </x:c>
      <x:c r="P37" s="22" t="str">
        <x:v>2025秋:2025秋-数学模型-问答记录导出20260502导出_已标注_已更新.xlsx:问答记录:98</x:v>
      </x:c>
      <x:c r="Q37" s="22" t="str">
        <x:v>evidence/valid_dialogues.jsonl:32</x:v>
      </x:c>
    </x:row>
    <x:row r="38" ht="85" customHeight="1">
      <x:c r="A38" s="21" t="str">
        <x:v>2025秋:258900</x:v>
      </x:c>
      <x:c r="B38" s="22" t="str">
        <x:v>S0460</x:v>
      </x:c>
      <x:c r="C38" s="22" t="str">
        <x:v>优化与运筹</x:v>
      </x:c>
      <x:c r="D38" s="22" t="str">
        <x:v>s3</x:v>
      </x:c>
      <x:c r="E38" s="22" t="str">
        <x:v>topic-01</x:v>
      </x:c>
      <x:c r="F38" s="22" t="str">
        <x:v>topic-01</x:v>
      </x:c>
      <x:c r="G38" s="22" t="str">
        <x:v>低</x:v>
      </x:c>
      <x:c r="H38" s="22" t="str">
        <x:v>低</x:v>
      </x:c>
      <x:c r="I38" s="22" t="n">
        <x:v>1.469617404351088</x:v>
      </x:c>
      <x:c r="J38" s="22" t="n">
        <x:v>1.469617404351088</x:v>
      </x:c>
      <x:c r="K38" s="22" t="n">
        <x:v>0</x:v>
      </x:c>
      <x:c r="L38" s="22" t="str">
        <x:v>[3]</x:v>
      </x:c>
      <x:c r="M38" s="22" t="str">
        <x:v>[7]</x:v>
      </x:c>
      <x:c r="N38" s="28" t="str">
        <x:v>好吃的标准</x:v>
      </x:c>
      <x:c r="O38" s="28" t="str">
        <x:v>避免局部最优</x:v>
      </x:c>
      <x:c r="P38" s="22" t="str">
        <x:v>2025秋:2025秋-数学模型-问答记录导出20260502导出_已标注_已更新.xlsx:问答记录:472</x:v>
      </x:c>
      <x:c r="Q38" s="22" t="str">
        <x:v>evidence/valid_dialogues.jsonl:33</x:v>
      </x:c>
    </x:row>
    <x:row r="39" ht="85" customHeight="1">
      <x:c r="A39" s="21" t="str">
        <x:v>2025秋:258902</x:v>
      </x:c>
      <x:c r="B39" s="22" t="str">
        <x:v>S0149</x:v>
      </x:c>
      <x:c r="C39" s="22" t="str">
        <x:v>优化与运筹</x:v>
      </x:c>
      <x:c r="D39" s="22" t="str">
        <x:v>s3</x:v>
      </x:c>
      <x:c r="E39" s="22" t="str">
        <x:v>topic-01</x:v>
      </x:c>
      <x:c r="F39" s="22" t="str">
        <x:v>topic-01</x:v>
      </x:c>
      <x:c r="G39" s="22" t="str">
        <x:v>低</x:v>
      </x:c>
      <x:c r="H39" s="22" t="str">
        <x:v>高</x:v>
      </x:c>
      <x:c r="I39" s="22" t="n">
        <x:v>1.4431818181818181</x:v>
      </x:c>
      <x:c r="J39" s="22" t="n">
        <x:v>3.95672131147541</x:v>
      </x:c>
      <x:c r="K39" s="22" t="n">
        <x:v>2.5135394932935915</x:v>
      </x:c>
      <x:c r="L39" s="22" t="str">
        <x:v>[3]</x:v>
      </x:c>
      <x:c r="M39" s="22" t="str">
        <x:v>[15]</x:v>
      </x:c>
      <x:c r="N39" s="28" t="str">
        <x:v>最优子结构和重叠子问题</x:v>
      </x:c>
      <x:c r="O39" s="28" t="str">
        <x:v>如果过去决策的影响无法完全体现在当前状态中，则无法保证无后效性。</x:v>
      </x:c>
      <x:c r="P39" s="22" t="str">
        <x:v>2025秋:2025秋-数学模型-问答记录导出20260502导出_已标注_已更新.xlsx:问答记录:152</x:v>
      </x:c>
      <x:c r="Q39" s="22" t="str">
        <x:v>evidence/valid_dialogues.jsonl:34</x:v>
      </x:c>
    </x:row>
    <x:row r="40" ht="85" customHeight="1">
      <x:c r="A40" s="21" t="str">
        <x:v>2025秋:258906</x:v>
      </x:c>
      <x:c r="B40" s="22" t="str">
        <x:v>S0207</x:v>
      </x:c>
      <x:c r="C40" s="22" t="str">
        <x:v>概率统计与随机过程</x:v>
      </x:c>
      <x:c r="D40" s="22" t="str">
        <x:v>s3</x:v>
      </x:c>
      <x:c r="E40" s="22" t="str">
        <x:v>topic-04</x:v>
      </x:c>
      <x:c r="F40" s="22" t="str">
        <x:v>topic-04</x:v>
      </x:c>
      <x:c r="G40" s="22" t="str">
        <x:v>高</x:v>
      </x:c>
      <x:c r="H40" s="22" t="str">
        <x:v>高</x:v>
      </x:c>
      <x:c r="I40" s="22" t="n">
        <x:v>3.9827956989247313</x:v>
      </x:c>
      <x:c r="J40" s="22" t="n">
        <x:v>3.9827956989247313</x:v>
      </x:c>
      <x:c r="K40" s="22" t="n">
        <x:v>0</x:v>
      </x:c>
      <x:c r="L40" s="22" t="str">
        <x:v>[3]</x:v>
      </x:c>
      <x:c r="M40" s="22" t="str">
        <x:v>[11]</x:v>
      </x:c>
      <x:c r="N40" s="28" t="str">
        <x:v>特定销量的可能性：比如某天卖出超过20件（爆单）或少于5件（滞销）的概率有多大，以便我做促销或清库存的准备。</x:v>
      </x:c>
      <x:c r="O40" s="28" t="str">
        <x:v>为了防止在销量高峰期断货（损失客户），我必须准备比B商品更多的**“安全库存”**作为缓冲。</x:v>
      </x:c>
      <x:c r="P40" s="22" t="str">
        <x:v>2025秋:2025秋-数学模型-问答记录导出20260502导出_已标注_已更新.xlsx:问答记录:212</x:v>
      </x:c>
      <x:c r="Q40" s="22" t="str">
        <x:v>evidence/valid_dialogues.jsonl:35</x:v>
      </x:c>
    </x:row>
    <x:row r="41" ht="85" customHeight="1">
      <x:c r="A41" s="21" t="str">
        <x:v>2025秋:258907</x:v>
      </x:c>
      <x:c r="B41" s="22" t="str">
        <x:v>S0269</x:v>
      </x:c>
      <x:c r="C41" s="22" t="str">
        <x:v>优化与运筹</x:v>
      </x:c>
      <x:c r="D41" s="22" t="str">
        <x:v>s3</x:v>
      </x:c>
      <x:c r="E41" s="22" t="str">
        <x:v>topic-01</x:v>
      </x:c>
      <x:c r="F41" s="22" t="str">
        <x:v>topic-01</x:v>
      </x:c>
      <x:c r="G41" s="22" t="str">
        <x:v>低</x:v>
      </x:c>
      <x:c r="H41" s="22" t="str">
        <x:v>低</x:v>
      </x:c>
      <x:c r="I41" s="22" t="n">
        <x:v>1.5105820105820105</x:v>
      </x:c>
      <x:c r="J41" s="22" t="n">
        <x:v>1.5105820105820105</x:v>
      </x:c>
      <x:c r="K41" s="22" t="n">
        <x:v>0</x:v>
      </x:c>
      <x:c r="L41" s="22" t="str">
        <x:v>[3]</x:v>
      </x:c>
      <x:c r="M41" s="22" t="str">
        <x:v>[7]</x:v>
      </x:c>
      <x:c r="N41" s="28" t="str">
        <x:v>波束方向以及旁瓣抑制</x:v>
      </x:c>
      <x:c r="O41" s="28" t="str">
        <x:v>天线数目，更新速度，功率约束</x:v>
      </x:c>
      <x:c r="P41" s="22" t="str">
        <x:v>2025秋:2025秋-数学模型-问答记录导出20260502导出_已标注_已更新.xlsx:问答记录:277</x:v>
      </x:c>
      <x:c r="Q41" s="22" t="str">
        <x:v>evidence/valid_dialogues.jsonl:36</x:v>
      </x:c>
    </x:row>
    <x:row r="42" ht="85" customHeight="1">
      <x:c r="A42" s="21" t="str">
        <x:v>2025秋:258908</x:v>
      </x:c>
      <x:c r="B42" s="22" t="str">
        <x:v>S0292</x:v>
      </x:c>
      <x:c r="C42" s="22" t="str">
        <x:v>优化与运筹</x:v>
      </x:c>
      <x:c r="D42" s="22" t="str">
        <x:v>s3</x:v>
      </x:c>
      <x:c r="E42" s="22" t="str">
        <x:v>topic-01</x:v>
      </x:c>
      <x:c r="F42" s="22" t="str">
        <x:v>topic-01</x:v>
      </x:c>
      <x:c r="G42" s="22" t="str">
        <x:v>低</x:v>
      </x:c>
      <x:c r="H42" s="22" t="str">
        <x:v>低</x:v>
      </x:c>
      <x:c r="I42" s="22" t="n">
        <x:v>1.4780701754385965</x:v>
      </x:c>
      <x:c r="J42" s="22" t="n">
        <x:v>1.4780701754385965</x:v>
      </x:c>
      <x:c r="K42" s="22" t="n">
        <x:v>0</x:v>
      </x:c>
      <x:c r="L42" s="22" t="str">
        <x:v>[3]</x:v>
      </x:c>
      <x:c r="M42" s="22" t="str">
        <x:v>[3]</x:v>
      </x:c>
      <x:c r="N42" s="28" t="str">
        <x:v>目标函数是利润最大</x:v>
      </x:c>
      <x:c r="O42" s="28" t="str">
        <x:v>目标函数是利润最大</x:v>
      </x:c>
      <x:c r="P42" s="22" t="str">
        <x:v>2025秋:2025秋-数学模型-问答记录导出20260502导出_已标注_已更新.xlsx:问答记录:300</x:v>
      </x:c>
      <x:c r="Q42" s="22" t="str">
        <x:v>evidence/valid_dialogues.jsonl:37</x:v>
      </x:c>
    </x:row>
    <x:row r="43" ht="85" customHeight="1">
      <x:c r="A43" s="21" t="str">
        <x:v>2025秋:258911</x:v>
      </x:c>
      <x:c r="B43" s="22" t="str">
        <x:v>S0400</x:v>
      </x:c>
      <x:c r="C43" s="22" t="str">
        <x:v>学习过程与工具使用</x:v>
      </x:c>
      <x:c r="D43" s="22" t="str">
        <x:v>s3</x:v>
      </x:c>
      <x:c r="E43" s="22" t="str">
        <x:v>topic-11</x:v>
      </x:c>
      <x:c r="F43" s="22" t="str">
        <x:v>topic-11</x:v>
      </x:c>
      <x:c r="G43" s="22" t="str">
        <x:v>中</x:v>
      </x:c>
      <x:c r="H43" s="22" t="str">
        <x:v>中</x:v>
      </x:c>
      <x:c r="I43" s="22" t="n">
        <x:v>1.9583333333333333</x:v>
      </x:c>
      <x:c r="J43" s="22" t="n">
        <x:v>1.9583333333333333</x:v>
      </x:c>
      <x:c r="K43" s="22" t="n">
        <x:v>0</x:v>
      </x:c>
      <x:c r="L43" s="22" t="str">
        <x:v>[3]</x:v>
      </x:c>
      <x:c r="M43" s="22" t="str">
        <x:v>[5]</x:v>
      </x:c>
      <x:c r="N43" s="28" t="str">
        <x:v>让函数接收外部输入并在不同数据下复用同一段逻辑</x:v>
      </x:c>
      <x:c r="O43" s="28" t="str">
        <x:v>Python设计多种参数类型是为了兼顾灵活性和可读性：既能让常用参数有默认值、让可选配置用名称传</x:v>
      </x:c>
      <x:c r="P43" s="22" t="str">
        <x:v>2025秋:2025秋-数学模型-问答记录导出20260502导出_已标注_已更新.xlsx:问答记录:411</x:v>
      </x:c>
      <x:c r="Q43" s="22" t="str">
        <x:v>evidence/valid_dialogues.jsonl:38</x:v>
      </x:c>
    </x:row>
    <x:row r="44" ht="85" customHeight="1">
      <x:c r="A44" s="21" t="str">
        <x:v>2025秋:258912</x:v>
      </x:c>
      <x:c r="B44" s="22" t="str">
        <x:v>S0092</x:v>
      </x:c>
      <x:c r="C44" s="22" t="str">
        <x:v>优化与运筹</x:v>
      </x:c>
      <x:c r="D44" s="22" t="str">
        <x:v>s3</x:v>
      </x:c>
      <x:c r="E44" s="22" t="str">
        <x:v>topic-01</x:v>
      </x:c>
      <x:c r="F44" s="22" t="str">
        <x:v>topic-01</x:v>
      </x:c>
      <x:c r="G44" s="22" t="str">
        <x:v>低</x:v>
      </x:c>
      <x:c r="H44" s="22" t="str">
        <x:v>低</x:v>
      </x:c>
      <x:c r="I44" s="22" t="n">
        <x:v>1.4780701754385965</x:v>
      </x:c>
      <x:c r="J44" s="22" t="n">
        <x:v>1.4780701754385965</x:v>
      </x:c>
      <x:c r="K44" s="22" t="n">
        <x:v>0</x:v>
      </x:c>
      <x:c r="L44" s="22" t="str">
        <x:v>[3]</x:v>
      </x:c>
      <x:c r="M44" s="22" t="str">
        <x:v>[7]</x:v>
      </x:c>
      <x:c r="N44" s="28" t="str">
        <x:v>半正定规划 sdp</x:v>
      </x:c>
      <x:c r="O44" s="28" t="str">
        <x:v>结合之后是半正定的</x:v>
      </x:c>
      <x:c r="P44" s="22" t="str">
        <x:v>2025秋:2025秋-数学模型-问答记录导出20260502导出_已标注_已更新.xlsx:问答记录:95</x:v>
      </x:c>
      <x:c r="Q44" s="22" t="str">
        <x:v>evidence/valid_dialogues.jsonl:39</x:v>
      </x:c>
    </x:row>
    <x:row r="45" ht="85" customHeight="1">
      <x:c r="A45" s="21" t="str">
        <x:v>2025秋:258917</x:v>
      </x:c>
      <x:c r="B45" s="22" t="str">
        <x:v>S0021</x:v>
      </x:c>
      <x:c r="C45" s="22" t="str">
        <x:v>优化与运筹</x:v>
      </x:c>
      <x:c r="D45" s="22" t="str">
        <x:v>s3</x:v>
      </x:c>
      <x:c r="E45" s="22" t="str">
        <x:v>topic-01</x:v>
      </x:c>
      <x:c r="F45" s="22" t="str">
        <x:v>topic-01</x:v>
      </x:c>
      <x:c r="G45" s="22" t="str">
        <x:v>低</x:v>
      </x:c>
      <x:c r="H45" s="22" t="str">
        <x:v>中</x:v>
      </x:c>
      <x:c r="I45" s="22" t="n">
        <x:v>1.5105820105820105</x:v>
      </x:c>
      <x:c r="J45" s="22" t="n">
        <x:v>2.1268939393939394</x:v>
      </x:c>
      <x:c r="K45" s="22" t="n">
        <x:v>0.616311928811929</x:v>
      </x:c>
      <x:c r="L45" s="22" t="str">
        <x:v>[3]</x:v>
      </x:c>
      <x:c r="M45" s="22" t="str">
        <x:v>[9]</x:v>
      </x:c>
      <x:c r="N45" s="28" t="str">
        <x:v>弥补陷入局部最优的缺陷</x:v>
      </x:c>
      <x:c r="O45" s="28" t="str">
        <x:v>全局PSO主导 局部最优时让GA主导</x:v>
      </x:c>
      <x:c r="P45" s="22" t="str">
        <x:v>2025秋:2025秋-数学模型-问答记录导出20260502导出_已标注_已更新.xlsx:问答记录:23</x:v>
      </x:c>
      <x:c r="Q45" s="22" t="str">
        <x:v>evidence/valid_dialogues.jsonl:40</x:v>
      </x:c>
    </x:row>
    <x:row r="46" ht="85" customHeight="1">
      <x:c r="A46" s="21" t="str">
        <x:v>2025秋:258918</x:v>
      </x:c>
      <x:c r="B46" s="22" t="str">
        <x:v>S0287</x:v>
      </x:c>
      <x:c r="C46" s="22" t="str">
        <x:v>优化与运筹</x:v>
      </x:c>
      <x:c r="D46" s="22" t="str">
        <x:v>s3</x:v>
      </x:c>
      <x:c r="E46" s="22" t="str">
        <x:v>topic-01</x:v>
      </x:c>
      <x:c r="F46" s="22" t="str">
        <x:v>topic-01</x:v>
      </x:c>
      <x:c r="G46" s="22" t="str">
        <x:v>低</x:v>
      </x:c>
      <x:c r="H46" s="22" t="str">
        <x:v>低</x:v>
      </x:c>
      <x:c r="I46" s="22" t="n">
        <x:v>1.4780701754385965</x:v>
      </x:c>
      <x:c r="J46" s="22" t="n">
        <x:v>1.4780701754385965</x:v>
      </x:c>
      <x:c r="K46" s="22" t="n">
        <x:v>0</x:v>
      </x:c>
      <x:c r="L46" s="22" t="str">
        <x:v>[3]</x:v>
      </x:c>
      <x:c r="M46" s="22" t="str">
        <x:v>[3]</x:v>
      </x:c>
      <x:c r="N46" s="28" t="str">
        <x:v>线性度，功耗，带宽</x:v>
      </x:c>
      <x:c r="O46" s="28" t="str">
        <x:v>线性度，功耗，带宽</x:v>
      </x:c>
      <x:c r="P46" s="22" t="str">
        <x:v>2025秋:2025秋-数学模型-问答记录导出20260502导出_已标注_已更新.xlsx:问答记录:295</x:v>
      </x:c>
      <x:c r="Q46" s="22" t="str">
        <x:v>evidence/valid_dialogues.jsonl:41</x:v>
      </x:c>
    </x:row>
    <x:row r="47" ht="85" customHeight="1">
      <x:c r="A47" s="21" t="str">
        <x:v>2025秋:258922</x:v>
      </x:c>
      <x:c r="B47" s="22" t="str">
        <x:v>S0351</x:v>
      </x:c>
      <x:c r="C47" s="22" t="str">
        <x:v>优化与运筹</x:v>
      </x:c>
      <x:c r="D47" s="22" t="str">
        <x:v>s3</x:v>
      </x:c>
      <x:c r="E47" s="22" t="str">
        <x:v>topic-01</x:v>
      </x:c>
      <x:c r="F47" s="22" t="str">
        <x:v>topic-01</x:v>
      </x:c>
      <x:c r="G47" s="22" t="str">
        <x:v>中</x:v>
      </x:c>
      <x:c r="H47" s="22" t="str">
        <x:v>高</x:v>
      </x:c>
      <x:c r="I47" s="22" t="n">
        <x:v>2.051719238420006</x:v>
      </x:c>
      <x:c r="J47" s="22" t="n">
        <x:v>3.95672131147541</x:v>
      </x:c>
      <x:c r="K47" s="22" t="n">
        <x:v>1.905002073055404</x:v>
      </x:c>
      <x:c r="L47" s="22" t="str">
        <x:v>[3]</x:v>
      </x:c>
      <x:c r="M47" s="22" t="str">
        <x:v>[9]</x:v>
      </x:c>
      <x:c r="N47" s="28" t="str">
        <x:v>可能存在多个局部最优解，算法容易陷入其中而无法找到全局最优解</x:v>
      </x:c>
      <x:c r="O47" s="28" t="str">
        <x:v>在分层策略中，从粗搜索转向精细优化的时机可以基于“解的稳定性”和“改进潜力”来判断。一方面，如果</x:v>
      </x:c>
      <x:c r="P47" s="22" t="str">
        <x:v>2025秋:2025秋-数学模型-问答记录导出20260502导出_已标注_已更新.xlsx:问答记录:360</x:v>
      </x:c>
      <x:c r="Q47" s="22" t="str">
        <x:v>evidence/valid_dialogues.jsonl:42</x:v>
      </x:c>
    </x:row>
    <x:row r="48" ht="85" customHeight="1">
      <x:c r="A48" s="21" t="str">
        <x:v>2025秋:258923</x:v>
      </x:c>
      <x:c r="B48" s="22" t="str">
        <x:v>S0120</x:v>
      </x:c>
      <x:c r="C48" s="22" t="str">
        <x:v>优化与运筹</x:v>
      </x:c>
      <x:c r="D48" s="22" t="str">
        <x:v>s3</x:v>
      </x:c>
      <x:c r="E48" s="22" t="str">
        <x:v>topic-01</x:v>
      </x:c>
      <x:c r="F48" s="22" t="str">
        <x:v>topic-01</x:v>
      </x:c>
      <x:c r="G48" s="22" t="str">
        <x:v>低</x:v>
      </x:c>
      <x:c r="H48" s="22" t="str">
        <x:v>低</x:v>
      </x:c>
      <x:c r="I48" s="22" t="n">
        <x:v>1.4780701754385965</x:v>
      </x:c>
      <x:c r="J48" s="22" t="n">
        <x:v>1.4780701754385965</x:v>
      </x:c>
      <x:c r="K48" s="22" t="n">
        <x:v>0</x:v>
      </x:c>
      <x:c r="L48" s="22" t="str">
        <x:v>[3]</x:v>
      </x:c>
      <x:c r="M48" s="22" t="str">
        <x:v>[3]</x:v>
      </x:c>
      <x:c r="N48" s="28" t="str">
        <x:v>算法复杂度太高？</x:v>
      </x:c>
      <x:c r="O48" s="28" t="str">
        <x:v>算法复杂度太高？</x:v>
      </x:c>
      <x:c r="P48" s="22" t="str">
        <x:v>2025秋:2025秋-数学模型-问答记录导出20260502导出_已标注_已更新.xlsx:问答记录:123</x:v>
      </x:c>
      <x:c r="Q48" s="22" t="str">
        <x:v>evidence/valid_dialogues.jsonl:43</x:v>
      </x:c>
    </x:row>
    <x:row r="49" ht="85" customHeight="1">
      <x:c r="A49" s="21" t="str">
        <x:v>2025秋:258924</x:v>
      </x:c>
      <x:c r="B49" s="22" t="str">
        <x:v>S0075</x:v>
      </x:c>
      <x:c r="C49" s="22" t="str">
        <x:v>概率统计与随机过程</x:v>
      </x:c>
      <x:c r="D49" s="22" t="str">
        <x:v>s3</x:v>
      </x:c>
      <x:c r="E49" s="22" t="str">
        <x:v>topic-04</x:v>
      </x:c>
      <x:c r="F49" s="22" t="str">
        <x:v>topic-04</x:v>
      </x:c>
      <x:c r="G49" s="22" t="str">
        <x:v>中</x:v>
      </x:c>
      <x:c r="H49" s="22" t="str">
        <x:v>高</x:v>
      </x:c>
      <x:c r="I49" s="22" t="n">
        <x:v>2.1019167835437123</x:v>
      </x:c>
      <x:c r="J49" s="22" t="n">
        <x:v>3.8638281549673956</x:v>
      </x:c>
      <x:c r="K49" s="22" t="n">
        <x:v>1.7619113714236834</x:v>
      </x:c>
      <x:c r="L49" s="22" t="str">
        <x:v>[3]</x:v>
      </x:c>
      <x:c r="M49" s="22" t="str">
        <x:v>[5]</x:v>
      </x:c>
      <x:c r="N49" s="28" t="str">
        <x:v>参数估计的核心是 “基于样本推断总体参数的具体可能值 / 范围”</x:v>
      </x:c>
      <x:c r="O49" s="28" t="str">
        <x:v>若 85% 在区间内（如 72%-88% 包含 85%）：说明 “满意率≥85%” 仍有合理可能性，不会盲目否定新品。</x:v>
      </x:c>
      <x:c r="P49" s="22" t="str">
        <x:v>2025秋:2025秋-数学模型-问答记录导出20260502导出_已标注_已更新.xlsx:问答记录:78</x:v>
      </x:c>
      <x:c r="Q49" s="22" t="str">
        <x:v>evidence/valid_dialogues.jsonl:44</x:v>
      </x:c>
    </x:row>
    <x:row r="50" ht="85" customHeight="1">
      <x:c r="A50" s="21" t="str">
        <x:v>2025秋:258927</x:v>
      </x:c>
      <x:c r="B50" s="22" t="str">
        <x:v>S0295</x:v>
      </x:c>
      <x:c r="C50" s="22" t="str">
        <x:v>概率统计与随机过程</x:v>
      </x:c>
      <x:c r="D50" s="22" t="str">
        <x:v>s3</x:v>
      </x:c>
      <x:c r="E50" s="22" t="str">
        <x:v>topic-04</x:v>
      </x:c>
      <x:c r="F50" s="22" t="str">
        <x:v>topic-04</x:v>
      </x:c>
      <x:c r="G50" s="22" t="str">
        <x:v>中</x:v>
      </x:c>
      <x:c r="H50" s="22" t="str">
        <x:v>中</x:v>
      </x:c>
      <x:c r="I50" s="22" t="n">
        <x:v>2.05982905982906</x:v>
      </x:c>
      <x:c r="J50" s="22" t="n">
        <x:v>2.05982905982906</x:v>
      </x:c>
      <x:c r="K50" s="22" t="n">
        <x:v>0</x:v>
      </x:c>
      <x:c r="L50" s="22" t="str">
        <x:v>[3]</x:v>
      </x:c>
      <x:c r="M50" s="22" t="str">
        <x:v>[3]</x:v>
      </x:c>
      <x:c r="N50" s="28" t="str">
        <x:v>将总变异分解为组间变异（由处理效应引起）和组内变异（由随机误差引起），并比较两者的相对大小</x:v>
      </x:c>
      <x:c r="O50" s="28" t="str">
        <x:v>通过将总变异分解为组间变异（由处理效应引起）和组内变异（由随机误差引起），并比较两者的相对大小</x:v>
      </x:c>
      <x:c r="P50" s="22" t="str">
        <x:v>2025秋:2025秋-数学模型-问答记录导出20260502导出_已标注_已更新.xlsx:问答记录:303</x:v>
      </x:c>
      <x:c r="Q50" s="22" t="str">
        <x:v>evidence/valid_dialogues.jsonl:45</x:v>
      </x:c>
    </x:row>
    <x:row r="51" ht="85" customHeight="1">
      <x:c r="A51" s="21" t="str">
        <x:v>2025秋:258932</x:v>
      </x:c>
      <x:c r="B51" s="22" t="str">
        <x:v>S0409</x:v>
      </x:c>
      <x:c r="C51" s="22" t="str">
        <x:v>概率统计与随机过程</x:v>
      </x:c>
      <x:c r="D51" s="22" t="str">
        <x:v>s3</x:v>
      </x:c>
      <x:c r="E51" s="22" t="str">
        <x:v>topic-04</x:v>
      </x:c>
      <x:c r="F51" s="22" t="str">
        <x:v>topic-04</x:v>
      </x:c>
      <x:c r="G51" s="22" t="str">
        <x:v>中</x:v>
      </x:c>
      <x:c r="H51" s="22" t="str">
        <x:v>中</x:v>
      </x:c>
      <x:c r="I51" s="22" t="n">
        <x:v>2.05982905982906</x:v>
      </x:c>
      <x:c r="J51" s="22" t="n">
        <x:v>2.05982905982906</x:v>
      </x:c>
      <x:c r="K51" s="22" t="n">
        <x:v>0</x:v>
      </x:c>
      <x:c r="L51" s="22" t="str">
        <x:v>[3]</x:v>
      </x:c>
      <x:c r="M51" s="22" t="str">
        <x:v>[3]</x:v>
      </x:c>
      <x:c r="N51" s="28" t="str">
        <x:v>用一个自变量（X）来预测一个因变量（Y），并假定它们之间的关系可以用一条直线</x:v>
      </x:c>
      <x:c r="O51" s="28" t="str">
        <x:v>用一个自变量（X）来预测一个因变量（Y），并假定它们之间的关系可以用一条直线（Y = a + bX）来最佳地描述。</x:v>
      </x:c>
      <x:c r="P51" s="22" t="str">
        <x:v>2025秋:2025秋-数学模型-问答记录导出20260502导出_已标注_已更新.xlsx:问答记录:420</x:v>
      </x:c>
      <x:c r="Q51" s="22" t="str">
        <x:v>evidence/valid_dialogues.jsonl:46</x:v>
      </x:c>
    </x:row>
    <x:row r="52" ht="85" customHeight="1">
      <x:c r="A52" s="21" t="str">
        <x:v>2025秋:258932</x:v>
      </x:c>
      <x:c r="B52" s="22" t="str">
        <x:v>S0059</x:v>
      </x:c>
      <x:c r="C52" s="22" t="str">
        <x:v>图论与网络</x:v>
      </x:c>
      <x:c r="D52" s="22" t="str">
        <x:v>s3</x:v>
      </x:c>
      <x:c r="E52" s="22" t="str">
        <x:v>topic-02</x:v>
      </x:c>
      <x:c r="F52" s="22" t="str">
        <x:v>topic-02</x:v>
      </x:c>
      <x:c r="G52" s="22" t="str">
        <x:v>中</x:v>
      </x:c>
      <x:c r="H52" s="22" t="str">
        <x:v>高</x:v>
      </x:c>
      <x:c r="I52" s="22" t="n">
        <x:v>2.0806100217864927</x:v>
      </x:c>
      <x:c r="J52" s="22" t="n">
        <x:v>3.6847183317771557</x:v>
      </x:c>
      <x:c r="K52" s="22" t="n">
        <x:v>1.604108309990663</x:v>
      </x:c>
      <x:c r="L52" s="22" t="str">
        <x:v>[3]</x:v>
      </x:c>
      <x:c r="M52" s="22" t="str">
        <x:v>[11]</x:v>
      </x:c>
      <x:c r="N52" s="28" t="str">
        <x:v>从一个起点出发，递归地探索图的每一个分支，直到“无路可走”，然后返回到最近的分岔路口，选择另一条未走过的路继续深入。</x:v>
      </x:c>
      <x:c r="O52" s="28" t="str">
        <x:v>所以，当涉及"必须先做A才能做B"、"A依赖于B"、"事件发生的顺序"等概念时</x:v>
      </x:c>
      <x:c r="P52" s="22" t="str">
        <x:v>2025秋:2025秋-数学模型-问答记录导出20260502导出_已标注_已更新.xlsx:问答记录:62</x:v>
      </x:c>
      <x:c r="Q52" s="22" t="str">
        <x:v>evidence/valid_dialogues.jsonl:47</x:v>
      </x:c>
    </x:row>
    <x:row r="53" ht="85" customHeight="1">
      <x:c r="A53" s="21" t="str">
        <x:v>2025秋:258937</x:v>
      </x:c>
      <x:c r="B53" s="22" t="str">
        <x:v>S0196</x:v>
      </x:c>
      <x:c r="C53" s="22" t="str">
        <x:v>数值计算与科学计算</x:v>
      </x:c>
      <x:c r="D53" s="22" t="str">
        <x:v>s3</x:v>
      </x:c>
      <x:c r="E53" s="22" t="str">
        <x:v>topic-05</x:v>
      </x:c>
      <x:c r="F53" s="22" t="str">
        <x:v>topic-05</x:v>
      </x:c>
      <x:c r="G53" s="22" t="str">
        <x:v>低</x:v>
      </x:c>
      <x:c r="H53" s="22" t="str">
        <x:v>低</x:v>
      </x:c>
      <x:c r="I53" s="22" t="n">
        <x:v>1.3550295857988164</x:v>
      </x:c>
      <x:c r="J53" s="22" t="n">
        <x:v>1.3550295857988164</x:v>
      </x:c>
      <x:c r="K53" s="22" t="n">
        <x:v>0</x:v>
      </x:c>
      <x:c r="L53" s="22" t="str">
        <x:v>[3]</x:v>
      </x:c>
      <x:c r="M53" s="22" t="str">
        <x:v>[5]</x:v>
      </x:c>
      <x:c r="N53" s="28" t="str">
        <x:v>SymPy是Python的开源计算机代数系统（CAS），以符号对象为基本单元</x:v>
      </x:c>
      <x:c r="O53" s="28" t="str">
        <x:v>求极限、导数/积分、解方程/微分方程、做矩阵和级数运算</x:v>
      </x:c>
      <x:c r="P53" s="22" t="str">
        <x:v>2025秋:2025秋-数学模型-问答记录导出20260502导出_已标注_已更新.xlsx:问答记录:201</x:v>
      </x:c>
      <x:c r="Q53" s="22" t="str">
        <x:v>evidence/valid_dialogues.jsonl:48</x:v>
      </x:c>
    </x:row>
    <x:row r="54" ht="85" customHeight="1">
      <x:c r="A54" s="21" t="str">
        <x:v>2025秋:258938</x:v>
      </x:c>
      <x:c r="B54" s="22" t="str">
        <x:v>S0374</x:v>
      </x:c>
      <x:c r="C54" s="22" t="str">
        <x:v>优化与运筹</x:v>
      </x:c>
      <x:c r="D54" s="22" t="str">
        <x:v>s3</x:v>
      </x:c>
      <x:c r="E54" s="22" t="str">
        <x:v>topic-01</x:v>
      </x:c>
      <x:c r="F54" s="22" t="str">
        <x:v>topic-01</x:v>
      </x:c>
      <x:c r="G54" s="22" t="str">
        <x:v>高</x:v>
      </x:c>
      <x:c r="H54" s="22" t="str">
        <x:v>高</x:v>
      </x:c>
      <x:c r="I54" s="22" t="n">
        <x:v>3.9444831915190406</x:v>
      </x:c>
      <x:c r="J54" s="22" t="n">
        <x:v>3.9444831915190406</x:v>
      </x:c>
      <x:c r="K54" s="22" t="n">
        <x:v>0</x:v>
      </x:c>
      <x:c r="L54" s="22" t="str">
        <x:v>[3]</x:v>
      </x:c>
      <x:c r="M54" s="22" t="str">
        <x:v>[5]</x:v>
      </x:c>
      <x:c r="N54" s="28" t="str">
        <x:v>对每架飞机的飞行方向进行非常小幅度的调整，使得所有飞机在之后一段时间内都能保持安全间隔，并且要求调整的幅度尽可能小</x:v>
      </x:c>
      <x:c r="O54" s="28" t="str">
        <x:v>好的。
飞行管理问题本质上是在有限空域内对多架飞机的航线进行微调以避免危险接近的实时决策问题。</x:v>
      </x:c>
      <x:c r="P54" s="22" t="str">
        <x:v>2025秋:2025秋-数学模型-问答记录导出20260502导出_已标注_已更新.xlsx:问答记录:385</x:v>
      </x:c>
      <x:c r="Q54" s="22" t="str">
        <x:v>evidence/valid_dialogues.jsonl:49</x:v>
      </x:c>
    </x:row>
    <x:row r="55" ht="85" customHeight="1">
      <x:c r="A55" s="21" t="str">
        <x:v>2025秋:258938</x:v>
      </x:c>
      <x:c r="B55" s="22" t="str">
        <x:v>S0073</x:v>
      </x:c>
      <x:c r="C55" s="22" t="str">
        <x:v>数据处理与可视化</x:v>
      </x:c>
      <x:c r="D55" s="22" t="str">
        <x:v>s3</x:v>
      </x:c>
      <x:c r="E55" s="22" t="str">
        <x:v>topic-07</x:v>
      </x:c>
      <x:c r="F55" s="22" t="str">
        <x:v>topic-07</x:v>
      </x:c>
      <x:c r="G55" s="22" t="str">
        <x:v>低</x:v>
      </x:c>
      <x:c r="H55" s="22" t="str">
        <x:v>高</x:v>
      </x:c>
      <x:c r="I55" s="22" t="n">
        <x:v>1.4389140271493213</x:v>
      </x:c>
      <x:c r="J55" s="22" t="n">
        <x:v>3.593855376545523</x:v>
      </x:c>
      <x:c r="K55" s="22" t="n">
        <x:v>2.1549413493962017</x:v>
      </x:c>
      <x:c r="L55" s="22" t="str">
        <x:v>[3]</x:v>
      </x:c>
      <x:c r="M55" s="22" t="str">
        <x:v>[9]</x:v>
      </x:c>
      <x:c r="N55" s="28" t="str">
        <x:v>对原始数据进行检测、识别、修正或删除错误、不完整、不相关或不准确部分的过程。</x:v>
      </x:c>
      <x:c r="O55" s="28" t="str">
        <x:v>用于财务报告或医疗诊断的数据，清理标准必须极其严格。</x:v>
      </x:c>
      <x:c r="P55" s="22" t="str">
        <x:v>2025秋:2025秋-数学模型-问答记录导出20260502导出_已标注_已更新.xlsx:问答记录:76</x:v>
      </x:c>
      <x:c r="Q55" s="22" t="str">
        <x:v>evidence/valid_dialogues.jsonl:50</x:v>
      </x:c>
    </x:row>
    <x:row r="56" ht="85" customHeight="1">
      <x:c r="A56" s="21" t="str">
        <x:v>2025秋:258939</x:v>
      </x:c>
      <x:c r="B56" s="22" t="str">
        <x:v>S0367</x:v>
      </x:c>
      <x:c r="C56" s="22" t="str">
        <x:v>数据处理与可视化</x:v>
      </x:c>
      <x:c r="D56" s="22" t="str">
        <x:v>s3</x:v>
      </x:c>
      <x:c r="E56" s="22" t="str">
        <x:v>topic-07</x:v>
      </x:c>
      <x:c r="F56" s="22" t="str">
        <x:v>topic-07</x:v>
      </x:c>
      <x:c r="G56" s="22" t="str">
        <x:v>中</x:v>
      </x:c>
      <x:c r="H56" s="22" t="str">
        <x:v>高</x:v>
      </x:c>
      <x:c r="I56" s="22" t="n">
        <x:v>1.9224318658280923</x:v>
      </x:c>
      <x:c r="J56" s="22" t="n">
        <x:v>3.58649495301079</x:v>
      </x:c>
      <x:c r="K56" s="22" t="n">
        <x:v>1.6640630871826976</x:v>
      </x:c>
      <x:c r="L56" s="22" t="str">
        <x:v>[3]</x:v>
      </x:c>
      <x:c r="M56" s="22" t="str">
        <x:v>[7]</x:v>
      </x:c>
      <x:c r="N56" s="28" t="str">
        <x:v>帮助我们更快发现规律和异常，验证处理或建模是否合理</x:v>
      </x:c>
      <x:c r="O56" s="28" t="str">
        <x:v>对专业用户来说最关键的是定制能力，因为真实工作场景往往需要把图做得符合业务叙事和规范</x:v>
      </x:c>
      <x:c r="P56" s="22" t="str">
        <x:v>2025秋:2025秋-数学模型-问答记录导出20260502导出_已标注_已更新.xlsx:问答记录:378</x:v>
      </x:c>
      <x:c r="Q56" s="22" t="str">
        <x:v>evidence/valid_dialogues.jsonl:51</x:v>
      </x:c>
    </x:row>
    <x:row r="57" ht="85" customHeight="1">
      <x:c r="A57" s="21" t="str">
        <x:v>2025秋:258942</x:v>
      </x:c>
      <x:c r="B57" s="22" t="str">
        <x:v>S0158</x:v>
      </x:c>
      <x:c r="C57" s="22" t="str">
        <x:v>优化与运筹</x:v>
      </x:c>
      <x:c r="D57" s="22" t="str">
        <x:v>s3</x:v>
      </x:c>
      <x:c r="E57" s="22" t="str">
        <x:v>topic-01</x:v>
      </x:c>
      <x:c r="F57" s="22" t="str">
        <x:v>topic-01</x:v>
      </x:c>
      <x:c r="G57" s="22" t="str">
        <x:v>低</x:v>
      </x:c>
      <x:c r="H57" s="22" t="str">
        <x:v>中</x:v>
      </x:c>
      <x:c r="I57" s="22" t="n">
        <x:v>1.469617404351088</x:v>
      </x:c>
      <x:c r="J57" s="22" t="n">
        <x:v>2.040922619047619</x:v>
      </x:c>
      <x:c r="K57" s="22" t="n">
        <x:v>0.5713052146965312</x:v>
      </x:c>
      <x:c r="L57" s="22" t="str">
        <x:v>[3]</x:v>
      </x:c>
      <x:c r="M57" s="22" t="str">
        <x:v>[7]</x:v>
      </x:c>
      <x:c r="N57" s="28" t="str">
        <x:v>让问题变简单</x:v>
      </x:c>
      <x:c r="O57" s="28" t="str">
        <x:v>可以避免复杂的分类讨论，添加几个约束就能直接计算</x:v>
      </x:c>
      <x:c r="P57" s="22" t="str">
        <x:v>2025秋:2025秋-数学模型-问答记录导出20260502导出_已标注_已更新.xlsx:问答记录:161</x:v>
      </x:c>
      <x:c r="Q57" s="22" t="str">
        <x:v>evidence/valid_dialogues.jsonl:52</x:v>
      </x:c>
    </x:row>
    <x:row r="58" ht="85" customHeight="1">
      <x:c r="A58" s="21" t="str">
        <x:v>2025秋:258945</x:v>
      </x:c>
      <x:c r="B58" s="22" t="str">
        <x:v>S0048</x:v>
      </x:c>
      <x:c r="C58" s="22" t="str">
        <x:v>数值计算与科学计算</x:v>
      </x:c>
      <x:c r="D58" s="22" t="str">
        <x:v>s3</x:v>
      </x:c>
      <x:c r="E58" s="22" t="str">
        <x:v>topic-05</x:v>
      </x:c>
      <x:c r="F58" s="22" t="str">
        <x:v>topic-05</x:v>
      </x:c>
      <x:c r="G58" s="22" t="str">
        <x:v>高</x:v>
      </x:c>
      <x:c r="H58" s="22" t="str">
        <x:v>高</x:v>
      </x:c>
      <x:c r="I58" s="22" t="n">
        <x:v>2.828522920203735</x:v>
      </x:c>
      <x:c r="J58" s="22" t="n">
        <x:v>2.828522920203735</x:v>
      </x:c>
      <x:c r="K58" s="22" t="n">
        <x:v>0</x:v>
      </x:c>
      <x:c r="L58" s="22" t="str">
        <x:v>[3]</x:v>
      </x:c>
      <x:c r="M58" s="22" t="str">
        <x:v>[3]</x:v>
      </x:c>
      <x:c r="N58" s="28" t="str">
        <x:v>使用 scipy.signal.spectrogram 生成时频谱（STFT），可视化频率随时间变化。</x:v>
      </x:c>
      <x:c r="O58" s="28" t="str">
        <x:v>使用 scipy.signal.spectrogram 生成时频谱（STFT），可视化频率随时间变化。</x:v>
      </x:c>
      <x:c r="P58" s="22" t="str">
        <x:v>2025秋:2025秋-数学模型-问答记录导出20260502导出_已标注_已更新.xlsx:问答记录:50</x:v>
      </x:c>
      <x:c r="Q58" s="22" t="str">
        <x:v>evidence/valid_dialogues.jsonl:53</x:v>
      </x:c>
    </x:row>
    <x:row r="59" ht="85" customHeight="1">
      <x:c r="A59" s="21" t="str">
        <x:v>2025秋:258951</x:v>
      </x:c>
      <x:c r="B59" s="22" t="str">
        <x:v>S0431</x:v>
      </x:c>
      <x:c r="C59" s="22" t="str">
        <x:v>优化与运筹</x:v>
      </x:c>
      <x:c r="D59" s="22" t="str">
        <x:v>s3</x:v>
      </x:c>
      <x:c r="E59" s="22" t="str">
        <x:v>topic-01</x:v>
      </x:c>
      <x:c r="F59" s="22" t="str">
        <x:v>topic-01</x:v>
      </x:c>
      <x:c r="G59" s="22" t="str">
        <x:v>低</x:v>
      </x:c>
      <x:c r="H59" s="22" t="str">
        <x:v>中</x:v>
      </x:c>
      <x:c r="I59" s="22" t="n">
        <x:v>1.4780701754385965</x:v>
      </x:c>
      <x:c r="J59" s="22" t="n">
        <x:v>2.0141467727674622</x:v>
      </x:c>
      <x:c r="K59" s="22" t="n">
        <x:v>0.5360765973288657</x:v>
      </x:c>
      <x:c r="L59" s="22" t="str">
        <x:v>[3]</x:v>
      </x:c>
      <x:c r="M59" s="22" t="str">
        <x:v>[13]</x:v>
      </x:c>
      <x:c r="N59" s="28" t="str">
        <x:v>去鸟最多的地方</x:v>
      </x:c>
      <x:c r="O59" s="28" t="str">
        <x:v>能够从相邻粒子中获取方向，领域限制使得粒子群不那么的随机，像是形成几个簇</x:v>
      </x:c>
      <x:c r="P59" s="22" t="str">
        <x:v>2025秋:2025秋-数学模型-问答记录导出20260502导出_已标注_已更新.xlsx:问答记录:443</x:v>
      </x:c>
      <x:c r="Q59" s="22" t="str">
        <x:v>evidence/valid_dialogues.jsonl:54</x:v>
      </x:c>
    </x:row>
    <x:row r="60" ht="85" customHeight="1">
      <x:c r="A60" s="21" t="str">
        <x:v>2025秋:258953</x:v>
      </x:c>
      <x:c r="B60" s="22" t="str">
        <x:v>S0015</x:v>
      </x:c>
      <x:c r="C60" s="22" t="str">
        <x:v>数据处理与可视化</x:v>
      </x:c>
      <x:c r="D60" s="22" t="str">
        <x:v>s3</x:v>
      </x:c>
      <x:c r="E60" s="22" t="str">
        <x:v>topic-07</x:v>
      </x:c>
      <x:c r="F60" s="22" t="str">
        <x:v>topic-07</x:v>
      </x:c>
      <x:c r="G60" s="22" t="str">
        <x:v>高</x:v>
      </x:c>
      <x:c r="H60" s="22" t="str">
        <x:v>高</x:v>
      </x:c>
      <x:c r="I60" s="22" t="n">
        <x:v>3.611607142857143</x:v>
      </x:c>
      <x:c r="J60" s="22" t="n">
        <x:v>3.611607142857143</x:v>
      </x:c>
      <x:c r="K60" s="22" t="n">
        <x:v>0</x:v>
      </x:c>
      <x:c r="L60" s="22" t="str">
        <x:v>[3]</x:v>
      </x:c>
      <x:c r="M60" s="22" t="str">
        <x:v>[3]</x:v>
      </x:c>
      <x:c r="N60" s="28" t="str">
        <x:v>如何实现分布式存储的高效管理（如数据分片、冗余备份），以及如何通过并行计算提升处理效率，避免计算延迟，是首要挑战</x:v>
      </x:c>
      <x:c r="O60" s="28" t="str">
        <x:v>如何将这些异源数据高效整合，形成统一的分析维度（如 “某用户的全渠道行为画像”），是核心难点。</x:v>
      </x:c>
      <x:c r="P60" s="22" t="str">
        <x:v>2025秋:2025秋-数学模型-问答记录导出20260502导出_已标注_已更新.xlsx:问答记录:17</x:v>
      </x:c>
      <x:c r="Q60" s="22" t="str">
        <x:v>evidence/valid_dialogues.jsonl:55</x:v>
      </x:c>
    </x:row>
    <x:row r="61" ht="85" customHeight="1">
      <x:c r="A61" s="21" t="str">
        <x:v>2025秋:258958</x:v>
      </x:c>
      <x:c r="B61" s="22" t="str">
        <x:v>S0185</x:v>
      </x:c>
      <x:c r="C61" s="22" t="str">
        <x:v>优化与运筹</x:v>
      </x:c>
      <x:c r="D61" s="22" t="str">
        <x:v>s3</x:v>
      </x:c>
      <x:c r="E61" s="22" t="str">
        <x:v>topic-01</x:v>
      </x:c>
      <x:c r="F61" s="22" t="str">
        <x:v>topic-01</x:v>
      </x:c>
      <x:c r="G61" s="22" t="str">
        <x:v>中</x:v>
      </x:c>
      <x:c r="H61" s="22" t="str">
        <x:v>中</x:v>
      </x:c>
      <x:c r="I61" s="22" t="n">
        <x:v>2.1308049535603715</x:v>
      </x:c>
      <x:c r="J61" s="22" t="n">
        <x:v>2.1308049535603715</x:v>
      </x:c>
      <x:c r="K61" s="22" t="n">
        <x:v>0</x:v>
      </x:c>
      <x:c r="L61" s="22" t="str">
        <x:v>[3]</x:v>
      </x:c>
      <x:c r="M61" s="22" t="str">
        <x:v>[3]</x:v>
      </x:c>
      <x:c r="N61" s="28" t="str">
        <x:v>在不超过背包容量的前提下，选择若干件物品装入背包，使得背包中物品的总价值最大。</x:v>
      </x:c>
      <x:c r="O61" s="28" t="str">
        <x:v>在不超过背包容量的前提下，选择若干件物品装入背包，使得背包中物品的总价值最大。</x:v>
      </x:c>
      <x:c r="P61" s="22" t="str">
        <x:v>2025秋:2025秋-数学模型-问答记录导出20260502导出_已标注_已更新.xlsx:问答记录:188</x:v>
      </x:c>
      <x:c r="Q61" s="22" t="str">
        <x:v>evidence/valid_dialogues.jsonl:56</x:v>
      </x:c>
    </x:row>
    <x:row r="62" ht="85" customHeight="1">
      <x:c r="A62" s="21" t="str">
        <x:v>2025秋:258959</x:v>
      </x:c>
      <x:c r="B62" s="22" t="str">
        <x:v>S0018</x:v>
      </x:c>
      <x:c r="C62" s="22" t="str">
        <x:v>优化与运筹</x:v>
      </x:c>
      <x:c r="D62" s="22" t="str">
        <x:v>s3</x:v>
      </x:c>
      <x:c r="E62" s="22" t="str">
        <x:v>topic-01</x:v>
      </x:c>
      <x:c r="F62" s="22" t="str">
        <x:v>topic-01</x:v>
      </x:c>
      <x:c r="G62" s="22" t="str">
        <x:v>低</x:v>
      </x:c>
      <x:c r="H62" s="22" t="str">
        <x:v>中</x:v>
      </x:c>
      <x:c r="I62" s="22" t="n">
        <x:v>1.469617404351088</x:v>
      </x:c>
      <x:c r="J62" s="22" t="n">
        <x:v>2.040922619047619</x:v>
      </x:c>
      <x:c r="K62" s="22" t="n">
        <x:v>0.5713052146965312</x:v>
      </x:c>
      <x:c r="L62" s="22" t="str">
        <x:v>[3]</x:v>
      </x:c>
      <x:c r="M62" s="22" t="str">
        <x:v>[7]</x:v>
      </x:c>
      <x:c r="N62" s="28" t="str">
        <x:v>在一组线性约束条件下，使一个线性目标函数取得最大值或最小值的数学优化问题。</x:v>
      </x:c>
      <x:c r="O62" s="28" t="str">
        <x:v>运输与物流：货物从多个仓库发往多个城市，运价和需求都已知，问该如何安排运输路线与数量，才能总运费最小。</x:v>
      </x:c>
      <x:c r="P62" s="22" t="str">
        <x:v>2025秋:2025秋-数学模型-问答记录导出20260502导出_已标注_已更新.xlsx:问答记录:20</x:v>
      </x:c>
      <x:c r="Q62" s="22" t="str">
        <x:v>evidence/valid_dialogues.jsonl:57</x:v>
      </x:c>
    </x:row>
    <x:row r="63" ht="85" customHeight="1">
      <x:c r="A63" s="21" t="str">
        <x:v>2025秋:258976</x:v>
      </x:c>
      <x:c r="B63" s="22" t="str">
        <x:v>S0486</x:v>
      </x:c>
      <x:c r="C63" s="22" t="str">
        <x:v>机器学习与人工智能</x:v>
      </x:c>
      <x:c r="D63" s="22" t="str">
        <x:v>s3</x:v>
      </x:c>
      <x:c r="E63" s="22" t="str">
        <x:v>topic-06</x:v>
      </x:c>
      <x:c r="F63" s="22" t="str">
        <x:v>topic-06</x:v>
      </x:c>
      <x:c r="G63" s="22" t="str">
        <x:v>中</x:v>
      </x:c>
      <x:c r="H63" s="22" t="str">
        <x:v>高</x:v>
      </x:c>
      <x:c r="I63" s="22" t="n">
        <x:v>2.1350124801452237</x:v>
      </x:c>
      <x:c r="J63" s="22" t="n">
        <x:v>3.8822412155745485</x:v>
      </x:c>
      <x:c r="K63" s="22" t="n">
        <x:v>1.7472287354293248</x:v>
      </x:c>
      <x:c r="L63" s="22" t="str">
        <x:v>[3]</x:v>
      </x:c>
      <x:c r="M63" s="22" t="str">
        <x:v>[11]</x:v>
      </x:c>
      <x:c r="N63" s="28" t="str">
        <x:v>依赖人工设计特征，再使用浅层分类器进行决策</x:v>
      </x:c>
      <x:c r="O63" s="28" t="str">
        <x:v>我觉得在癌前病变判定的模糊推理流程中，需通过隶属度函数量化的核心专家语言，集中在病灶的密度、形态、大小增长趋势及与周围组织关系四大类。像 “密度稍高”“形态略不规则”“结节直径偏小但略增大”“与周围组织界限欠清” 这类无明确数值阈值、存在主观界定差异的模糊表述，既无法用绝对二值判断区分，又是医生评估病变倾向的关键依据，…</x:v>
      </x:c>
      <x:c r="P63" s="22" t="str">
        <x:v>2025秋:2025秋-数学模型-问答记录导出20260502导出_已标注_已更新.xlsx:问答记录:498</x:v>
      </x:c>
      <x:c r="Q63" s="22" t="str">
        <x:v>evidence/valid_dialogues.jsonl:58</x:v>
      </x:c>
    </x:row>
    <x:row r="64" ht="85" customHeight="1">
      <x:c r="A64" s="21" t="str">
        <x:v>2025秋:258988</x:v>
      </x:c>
      <x:c r="B64" s="22" t="str">
        <x:v>S0315</x:v>
      </x:c>
      <x:c r="C64" s="22" t="str">
        <x:v>概率统计与随机过程</x:v>
      </x:c>
      <x:c r="D64" s="22" t="str">
        <x:v>s3</x:v>
      </x:c>
      <x:c r="E64" s="22" t="str">
        <x:v>topic-04</x:v>
      </x:c>
      <x:c r="F64" s="22" t="str">
        <x:v>topic-04</x:v>
      </x:c>
      <x:c r="G64" s="22" t="str">
        <x:v>低</x:v>
      </x:c>
      <x:c r="H64" s="22" t="str">
        <x:v>高</x:v>
      </x:c>
      <x:c r="I64" s="22" t="n">
        <x:v>1.5385338345864663</x:v>
      </x:c>
      <x:c r="J64" s="22" t="n">
        <x:v>3.9543992431409656</x:v>
      </x:c>
      <x:c r="K64" s="22" t="n">
        <x:v>2.4158654085544993</x:v>
      </x:c>
      <x:c r="L64" s="22" t="str">
        <x:v>[3]</x:v>
      </x:c>
      <x:c r="M64" s="22" t="str">
        <x:v>[5]</x:v>
      </x:c>
      <x:c r="N64" s="28" t="str">
        <x:v>按照时间先后顺序依次排列形成的数列</x:v>
      </x:c>
      <x:c r="O64" s="28" t="str">
        <x:v>情况 A 更适合用历史数据来预测未来。
原因是，情况 A 中某地每日气温围绕季节平均值上下波动且</x:v>
      </x:c>
      <x:c r="P64" s="22" t="str">
        <x:v>2025秋:2025秋-数学模型-问答记录导出20260502导出_已标注_已更新.xlsx:问答记录:323</x:v>
      </x:c>
      <x:c r="Q64" s="22" t="str">
        <x:v>evidence/valid_dialogues.jsonl:59</x:v>
      </x:c>
    </x:row>
    <x:row r="65" ht="85" customHeight="1">
      <x:c r="A65" s="21" t="str">
        <x:v>2025秋:258990</x:v>
      </x:c>
      <x:c r="B65" s="22" t="str">
        <x:v>S0491</x:v>
      </x:c>
      <x:c r="C65" s="22" t="str">
        <x:v>概率统计与随机过程</x:v>
      </x:c>
      <x:c r="D65" s="22" t="str">
        <x:v>s3</x:v>
      </x:c>
      <x:c r="E65" s="22" t="str">
        <x:v>topic-04</x:v>
      </x:c>
      <x:c r="F65" s="22" t="str">
        <x:v>topic-04</x:v>
      </x:c>
      <x:c r="G65" s="22" t="str">
        <x:v>中</x:v>
      </x:c>
      <x:c r="H65" s="22" t="str">
        <x:v>高</x:v>
      </x:c>
      <x:c r="I65" s="22" t="n">
        <x:v>2.1019167835437123</x:v>
      </x:c>
      <x:c r="J65" s="22" t="n">
        <x:v>3.8638281549673956</x:v>
      </x:c>
      <x:c r="K65" s="22" t="n">
        <x:v>1.7619113714236834</x:v>
      </x:c>
      <x:c r="L65" s="22" t="str">
        <x:v>[3]</x:v>
      </x:c>
      <x:c r="M65" s="22" t="str">
        <x:v>[15]</x:v>
      </x:c>
      <x:c r="N65" s="28" t="str">
        <x:v>明确文科班和理科班学生在数学、英语、物理三科成绩上的差异规律</x:v>
      </x:c>
      <x:c r="O65" s="28" t="str">
        <x:v>当正态分布、等协差阵这两个条件不满足时（尤其是协差阵不等），我们需要针对性调整判别策略，线性判别（LDA）不再适用，优先用二次判别分析（QDA） 或灵活的机器学习方法，或对数据做预处理后再尝试线性判别。</x:v>
      </x:c>
      <x:c r="P65" s="22" t="str">
        <x:v>2025秋:2025秋-数学模型-问答记录导出20260502导出_已标注_已更新.xlsx:问答记录:503</x:v>
      </x:c>
      <x:c r="Q65" s="22" t="str">
        <x:v>evidence/valid_dialogues.jsonl:60</x:v>
      </x:c>
    </x:row>
    <x:row r="66" ht="85" customHeight="1">
      <x:c r="A66" s="21" t="str">
        <x:v>2025秋:258995</x:v>
      </x:c>
      <x:c r="B66" s="22" t="str">
        <x:v>S0408</x:v>
      </x:c>
      <x:c r="C66" s="22" t="str">
        <x:v>机器学习与人工智能</x:v>
      </x:c>
      <x:c r="D66" s="22" t="str">
        <x:v>s3</x:v>
      </x:c>
      <x:c r="E66" s="22" t="str">
        <x:v>topic-06</x:v>
      </x:c>
      <x:c r="F66" s="22" t="str">
        <x:v>topic-06</x:v>
      </x:c>
      <x:c r="G66" s="22" t="str">
        <x:v>中</x:v>
      </x:c>
      <x:c r="H66" s="22" t="str">
        <x:v>中</x:v>
      </x:c>
      <x:c r="I66" s="22" t="n">
        <x:v>2.2901439645625694</x:v>
      </x:c>
      <x:c r="J66" s="22" t="n">
        <x:v>2.2901439645625694</x:v>
      </x:c>
      <x:c r="K66" s="22" t="n">
        <x:v>0</x:v>
      </x:c>
      <x:c r="L66" s="22" t="str">
        <x:v>[3]</x:v>
      </x:c>
      <x:c r="M66" s="22" t="str">
        <x:v>[3]</x:v>
      </x:c>
      <x:c r="N66" s="28" t="str">
        <x:v>太大会震荡，太小更新过慢</x:v>
      </x:c>
      <x:c r="O66" s="28" t="str">
        <x:v>太大会震荡，太小更新过慢</x:v>
      </x:c>
      <x:c r="P66" s="22" t="str">
        <x:v>2025秋:2025秋-数学模型-问答记录导出20260502导出_已标注_已更新.xlsx:问答记录:419</x:v>
      </x:c>
      <x:c r="Q66" s="22" t="str">
        <x:v>evidence/valid_dialogues.jsonl:61</x:v>
      </x:c>
    </x:row>
    <x:row r="67" ht="85" customHeight="1">
      <x:c r="A67" s="21" t="str">
        <x:v>2025秋:259001</x:v>
      </x:c>
      <x:c r="B67" s="22" t="str">
        <x:v>S0159</x:v>
      </x:c>
      <x:c r="C67" s="22" t="str">
        <x:v>机器学习与人工智能</x:v>
      </x:c>
      <x:c r="D67" s="22" t="str">
        <x:v>s3</x:v>
      </x:c>
      <x:c r="E67" s="22" t="str">
        <x:v>topic-06</x:v>
      </x:c>
      <x:c r="F67" s="22" t="str">
        <x:v>topic-06</x:v>
      </x:c>
      <x:c r="G67" s="22" t="str">
        <x:v>低</x:v>
      </x:c>
      <x:c r="H67" s="22" t="str">
        <x:v>低</x:v>
      </x:c>
      <x:c r="I67" s="22" t="n">
        <x:v>1.5142857142857142</x:v>
      </x:c>
      <x:c r="J67" s="22" t="n">
        <x:v>1.5142857142857142</x:v>
      </x:c>
      <x:c r="K67" s="22" t="n">
        <x:v>0</x:v>
      </x:c>
      <x:c r="L67" s="22" t="str">
        <x:v>[3]</x:v>
      </x:c>
      <x:c r="M67" s="22" t="str">
        <x:v>[9]</x:v>
      </x:c>
      <x:c r="N67" s="28" t="str">
        <x:v>人脑具有较高的鲁棒性与态势感知能力</x:v>
      </x:c>
      <x:c r="O67" s="28" t="str">
        <x:v>图形特征转化为数字信息，然后针对数字进行统计研究</x:v>
      </x:c>
      <x:c r="P67" s="22" t="str">
        <x:v>2025秋:2025秋-数学模型-问答记录导出20260502导出_已标注_已更新.xlsx:问答记录:162</x:v>
      </x:c>
      <x:c r="Q67" s="22" t="str">
        <x:v>evidence/valid_dialogues.jsonl:62</x:v>
      </x:c>
    </x:row>
    <x:row r="68" ht="85" customHeight="1">
      <x:c r="A68" s="21" t="str">
        <x:v>2025秋:259004</x:v>
      </x:c>
      <x:c r="B68" s="22" t="str">
        <x:v>S0224</x:v>
      </x:c>
      <x:c r="C68" s="22" t="str">
        <x:v>优化与运筹</x:v>
      </x:c>
      <x:c r="D68" s="22" t="str">
        <x:v>s3</x:v>
      </x:c>
      <x:c r="E68" s="22" t="str">
        <x:v>topic-01</x:v>
      </x:c>
      <x:c r="F68" s="22" t="str">
        <x:v>topic-01</x:v>
      </x:c>
      <x:c r="G68" s="22" t="str">
        <x:v>高</x:v>
      </x:c>
      <x:c r="H68" s="22" t="str">
        <x:v>高</x:v>
      </x:c>
      <x:c r="I68" s="22" t="n">
        <x:v>3.95672131147541</x:v>
      </x:c>
      <x:c r="J68" s="22" t="n">
        <x:v>3.95672131147541</x:v>
      </x:c>
      <x:c r="K68" s="22" t="n">
        <x:v>0</x:v>
      </x:c>
      <x:c r="L68" s="22" t="str">
        <x:v>[3]</x:v>
      </x:c>
      <x:c r="M68" s="22" t="str">
        <x:v>[7]</x:v>
      </x:c>
      <x:c r="N68" s="28" t="str">
        <x:v>一条可能的路线：[1, 3, 4, 2]  含义：从北京出发 → 广州 → 深圳 → 上海 → 最后返回北京（返回起点是隐含的，计算总距离时需加上最后一段）。</x:v>
      </x:c>
      <x:c r="O68" s="28" t="str">
        <x:v>TSP的解是排列，排列要求每个元素唯一出现。直接交换片段会破坏这种唯一性，因此需要特殊设计的交叉算子来保持排列合法性。</x:v>
      </x:c>
      <x:c r="P68" s="22" t="str">
        <x:v>2025秋:2025秋-数学模型-问答记录导出20260502导出_已标注_已更新.xlsx:问答记录:229</x:v>
      </x:c>
      <x:c r="Q68" s="22" t="str">
        <x:v>evidence/valid_dialogues.jsonl:63</x:v>
      </x:c>
    </x:row>
    <x:row r="69" ht="85" customHeight="1">
      <x:c r="A69" s="21" t="str">
        <x:v>2025秋:259004</x:v>
      </x:c>
      <x:c r="B69" s="22" t="str">
        <x:v>S0391</x:v>
      </x:c>
      <x:c r="C69" s="22" t="str">
        <x:v>优化与运筹</x:v>
      </x:c>
      <x:c r="D69" s="22" t="str">
        <x:v>s3</x:v>
      </x:c>
      <x:c r="E69" s="22" t="str">
        <x:v>topic-01</x:v>
      </x:c>
      <x:c r="F69" s="22" t="str">
        <x:v>topic-01</x:v>
      </x:c>
      <x:c r="G69" s="22" t="str">
        <x:v>高</x:v>
      </x:c>
      <x:c r="H69" s="22" t="str">
        <x:v>高</x:v>
      </x:c>
      <x:c r="I69" s="22" t="n">
        <x:v>3.95672131147541</x:v>
      </x:c>
      <x:c r="J69" s="22" t="n">
        <x:v>3.95672131147541</x:v>
      </x:c>
      <x:c r="K69" s="22" t="n">
        <x:v>0</x:v>
      </x:c>
      <x:c r="L69" s="22" t="str">
        <x:v>[3]</x:v>
      </x:c>
      <x:c r="M69" s="22" t="str">
        <x:v>[3]</x:v>
      </x:c>
      <x:c r="N69" s="28" t="str">
        <x:v>先用遗传算法找到较好区域，再用局部搜索精调</x:v>
      </x:c>
      <x:c r="O69" s="28" t="str">
        <x:v>1. 适应性：平衡探索与利用 探索：通过变异、随机初始种群探索新区域  利用：通过选择、交叉强化</x:v>
      </x:c>
      <x:c r="P69" s="22" t="str">
        <x:v>2025秋:2025秋-数学模型-问答记录导出20260502导出_已标注_已更新.xlsx:问答记录:402</x:v>
      </x:c>
      <x:c r="Q69" s="22" t="str">
        <x:v>evidence/valid_dialogues.jsonl:64</x:v>
      </x:c>
    </x:row>
    <x:row r="70" ht="85" customHeight="1">
      <x:c r="A70" s="21" t="str">
        <x:v>2025秋:259004</x:v>
      </x:c>
      <x:c r="B70" s="22" t="str">
        <x:v>S0172</x:v>
      </x:c>
      <x:c r="C70" s="22" t="str">
        <x:v>优化与运筹</x:v>
      </x:c>
      <x:c r="D70" s="22" t="str">
        <x:v>s3</x:v>
      </x:c>
      <x:c r="E70" s="22" t="str">
        <x:v>topic-01</x:v>
      </x:c>
      <x:c r="F70" s="22" t="str">
        <x:v>topic-01</x:v>
      </x:c>
      <x:c r="G70" s="22" t="str">
        <x:v>高</x:v>
      </x:c>
      <x:c r="H70" s="22" t="str">
        <x:v>高</x:v>
      </x:c>
      <x:c r="I70" s="22" t="n">
        <x:v>3.95672131147541</x:v>
      </x:c>
      <x:c r="J70" s="22" t="n">
        <x:v>3.95672131147541</x:v>
      </x:c>
      <x:c r="K70" s="22" t="n">
        <x:v>0</x:v>
      </x:c>
      <x:c r="L70" s="22" t="str">
        <x:v>[3]</x:v>
      </x:c>
      <x:c r="M70" s="22" t="str">
        <x:v>[3]</x:v>
      </x:c>
      <x:c r="N70" s="28" t="str">
        <x:v>对于新问题，通常可以先尝试遗传算法或粒子群算法这类通用性强的算法作为基线。如果问题有明显的特殊结构（如路径、网络），则优先考虑蚁群算法等。</x:v>
      </x:c>
      <x:c r="O70" s="28" t="str">
        <x:v>如果问题有明显的特殊结构（如路径、网络），则优先考虑蚁群算法等。</x:v>
      </x:c>
      <x:c r="P70" s="22" t="str">
        <x:v>2025秋:2025秋-数学模型-问答记录导出20260502导出_已标注_已更新.xlsx:问答记录:175</x:v>
      </x:c>
      <x:c r="Q70" s="22" t="str">
        <x:v>evidence/valid_dialogues.jsonl:65</x:v>
      </x:c>
    </x:row>
    <x:row r="71" ht="85" customHeight="1">
      <x:c r="A71" s="21" t="str">
        <x:v>2025秋:259015</x:v>
      </x:c>
      <x:c r="B71" s="22" t="str">
        <x:v>S0371</x:v>
      </x:c>
      <x:c r="C71" s="22" t="str">
        <x:v>图论与网络</x:v>
      </x:c>
      <x:c r="D71" s="22" t="str">
        <x:v>s3</x:v>
      </x:c>
      <x:c r="E71" s="22" t="str">
        <x:v>topic-02</x:v>
      </x:c>
      <x:c r="F71" s="22" t="str">
        <x:v>topic-02</x:v>
      </x:c>
      <x:c r="G71" s="22" t="str">
        <x:v>低</x:v>
      </x:c>
      <x:c r="H71" s="22" t="str">
        <x:v>低</x:v>
      </x:c>
      <x:c r="I71" s="22" t="n">
        <x:v>1.3360378634212307</x:v>
      </x:c>
      <x:c r="J71" s="22" t="n">
        <x:v>1.3360378634212307</x:v>
      </x:c>
      <x:c r="K71" s="22" t="n">
        <x:v>0</x:v>
      </x:c>
      <x:c r="L71" s="22" t="str">
        <x:v>[3]</x:v>
      </x:c>
      <x:c r="M71" s="22" t="str">
        <x:v>[3]</x:v>
      </x:c>
      <x:c r="N71" s="28" t="str">
        <x:v>考虑车流量和路径的平衡</x:v>
      </x:c>
      <x:c r="O71" s="28" t="str">
        <x:v>考虑车流量和路径的平衡</x:v>
      </x:c>
      <x:c r="P71" s="22" t="str">
        <x:v>2025秋:2025秋-数学模型-问答记录导出20260502导出_已标注_已更新.xlsx:问答记录:382</x:v>
      </x:c>
      <x:c r="Q71" s="22" t="str">
        <x:v>evidence/valid_dialogues.jsonl:66</x:v>
      </x:c>
    </x:row>
    <x:row r="72" ht="85" customHeight="1">
      <x:c r="A72" s="21" t="str">
        <x:v>2025秋:259016</x:v>
      </x:c>
      <x:c r="B72" s="22" t="str">
        <x:v>S0203</x:v>
      </x:c>
      <x:c r="C72" s="22" t="str">
        <x:v>数据处理与可视化</x:v>
      </x:c>
      <x:c r="D72" s="22" t="str">
        <x:v>s3</x:v>
      </x:c>
      <x:c r="E72" s="22" t="str">
        <x:v>topic-07</x:v>
      </x:c>
      <x:c r="F72" s="22" t="str">
        <x:v>topic-07</x:v>
      </x:c>
      <x:c r="G72" s="22" t="str">
        <x:v>中</x:v>
      </x:c>
      <x:c r="H72" s="22" t="str">
        <x:v>高</x:v>
      </x:c>
      <x:c r="I72" s="22" t="n">
        <x:v>2.0386847195357833</x:v>
      </x:c>
      <x:c r="J72" s="22" t="n">
        <x:v>3.611607142857143</x:v>
      </x:c>
      <x:c r="K72" s="22" t="n">
        <x:v>1.5729224233213595</x:v>
      </x:c>
      <x:c r="L72" s="22" t="str">
        <x:v>[3]</x:v>
      </x:c>
      <x:c r="M72" s="22" t="str">
        <x:v>[13]</x:v>
      </x:c>
      <x:c r="N72" s="28" t="str">
        <x:v>具有规模巨大、类型多样、生成极快的特点，并且需要新的技术架构才能进行采集、存储、关联分析</x:v>
      </x:c>
      <x:c r="O72" s="28" t="str">
        <x:v>通过解耦资源管理与作业调度，解决了原架构的单点故障和扩展性瓶颈</x:v>
      </x:c>
      <x:c r="P72" s="22" t="str">
        <x:v>2025秋:2025秋-数学模型-问答记录导出20260502导出_已标注_已更新.xlsx:问答记录:208</x:v>
      </x:c>
      <x:c r="Q72" s="22" t="str">
        <x:v>evidence/valid_dialogues.jsonl:67</x:v>
      </x:c>
    </x:row>
    <x:row r="73" ht="85" customHeight="1">
      <x:c r="A73" s="21" t="str">
        <x:v>2025秋:259021</x:v>
      </x:c>
      <x:c r="B73" s="22" t="str">
        <x:v>S0464</x:v>
      </x:c>
      <x:c r="C73" s="22" t="str">
        <x:v>优化与运筹</x:v>
      </x:c>
      <x:c r="D73" s="22" t="str">
        <x:v>s3</x:v>
      </x:c>
      <x:c r="E73" s="22" t="str">
        <x:v>topic-01</x:v>
      </x:c>
      <x:c r="F73" s="22" t="str">
        <x:v>topic-01</x:v>
      </x:c>
      <x:c r="G73" s="22" t="str">
        <x:v>低</x:v>
      </x:c>
      <x:c r="H73" s="22" t="str">
        <x:v>高</x:v>
      </x:c>
      <x:c r="I73" s="22" t="n">
        <x:v>1.469617404351088</x:v>
      </x:c>
      <x:c r="J73" s="22" t="n">
        <x:v>3.9503444998812065</x:v>
      </x:c>
      <x:c r="K73" s="22" t="n">
        <x:v>2.480727095530119</x:v>
      </x:c>
      <x:c r="L73" s="22" t="str">
        <x:v>[3]</x:v>
      </x:c>
      <x:c r="M73" s="22" t="str">
        <x:v>[17]</x:v>
      </x:c>
      <x:c r="N73" s="28" t="str">
        <x:v>无整数约束的线性规划问题</x:v>
      </x:c>
      <x:c r="O73" s="28" t="str">
        <x:v>在精度要求不高，计算资源有限</x:v>
      </x:c>
      <x:c r="P73" s="22" t="str">
        <x:v>2025秋:2025秋-数学模型-问答记录导出20260502导出_已标注_已更新.xlsx:问答记录:476</x:v>
      </x:c>
      <x:c r="Q73" s="22" t="str">
        <x:v>evidence/valid_dialogues.jsonl:68</x:v>
      </x:c>
    </x:row>
    <x:row r="74" ht="85" customHeight="1">
      <x:c r="A74" s="21" t="str">
        <x:v>2025秋:259023</x:v>
      </x:c>
      <x:c r="B74" s="22" t="str">
        <x:v>S0463</x:v>
      </x:c>
      <x:c r="C74" s="22" t="str">
        <x:v>机器学习与人工智能</x:v>
      </x:c>
      <x:c r="D74" s="22" t="str">
        <x:v>s3</x:v>
      </x:c>
      <x:c r="E74" s="22" t="str">
        <x:v>topic-06</x:v>
      </x:c>
      <x:c r="F74" s="22" t="str">
        <x:v>topic-06</x:v>
      </x:c>
      <x:c r="G74" s="22" t="str">
        <x:v>中</x:v>
      </x:c>
      <x:c r="H74" s="22" t="str">
        <x:v>中</x:v>
      </x:c>
      <x:c r="I74" s="22" t="n">
        <x:v>2.282051282051282</x:v>
      </x:c>
      <x:c r="J74" s="22" t="n">
        <x:v>2.282051282051282</x:v>
      </x:c>
      <x:c r="K74" s="22" t="n">
        <x:v>0</x:v>
      </x:c>
      <x:c r="L74" s="22" t="str">
        <x:v>[3]</x:v>
      </x:c>
      <x:c r="M74" s="22" t="str">
        <x:v>[5]</x:v>
      </x:c>
      <x:c r="N74" s="28" t="str">
        <x:v>使预测值与真实值之间的偏差尽可能小，同时保持模型的复杂度最低</x:v>
      </x:c>
      <x:c r="O74" s="28" t="str">
        <x:v>支持向量机回归（SVR）在结构损伤识别中常被用于建立结构响应与损伤特征之间的映射关系。其主要作用是通过学习结构在健康与损伤状态下的响应数据，预测结构参数的变化或损伤指标，实现对损伤程度或位置的识别。</x:v>
      </x:c>
      <x:c r="P74" s="22" t="str">
        <x:v>2025秋:2025秋-数学模型-问答记录导出20260502导出_已标注_已更新.xlsx:问答记录:475</x:v>
      </x:c>
      <x:c r="Q74" s="22" t="str">
        <x:v>evidence/valid_dialogues.jsonl:69</x:v>
      </x:c>
    </x:row>
    <x:row r="75" ht="85" customHeight="1">
      <x:c r="A75" s="21" t="str">
        <x:v>2025秋:259024</x:v>
      </x:c>
      <x:c r="B75" s="22" t="str">
        <x:v>S0359</x:v>
      </x:c>
      <x:c r="C75" s="22" t="str">
        <x:v>数据处理与可视化</x:v>
      </x:c>
      <x:c r="D75" s="22" t="str">
        <x:v>s3</x:v>
      </x:c>
      <x:c r="E75" s="22" t="str">
        <x:v>topic-07</x:v>
      </x:c>
      <x:c r="F75" s="22" t="str">
        <x:v>topic-07</x:v>
      </x:c>
      <x:c r="G75" s="22" t="str">
        <x:v>中</x:v>
      </x:c>
      <x:c r="H75" s="22" t="str">
        <x:v>高</x:v>
      </x:c>
      <x:c r="I75" s="22" t="n">
        <x:v>2.0386847195357833</x:v>
      </x:c>
      <x:c r="J75" s="22" t="n">
        <x:v>3.611607142857143</x:v>
      </x:c>
      <x:c r="K75" s="22" t="n">
        <x:v>1.5729224233213595</x:v>
      </x:c>
      <x:c r="L75" s="22" t="str">
        <x:v>[3]</x:v>
      </x:c>
      <x:c r="M75" s="22" t="str">
        <x:v>[13]</x:v>
      </x:c>
      <x:c r="N75" s="28" t="str">
        <x:v>将基于大规模、多类型数据挖掘出的规律与趋势（即大数据预测结果），落地到具体行业场景中，以解决实际问题、创造价值的过程</x:v>
      </x:c>
      <x:c r="O75" s="28" t="str">
        <x:v>一、改进“大数据预测应用”概念的创新性建议  核心是打破“纯数据驱动”的单一逻辑，构建“数据+知</x:v>
      </x:c>
      <x:c r="P75" s="22" t="str">
        <x:v>2025秋:2025秋-数学模型-问答记录导出20260502导出_已标注_已更新.xlsx:问答记录:368</x:v>
      </x:c>
      <x:c r="Q75" s="22" t="str">
        <x:v>evidence/valid_dialogues.jsonl:70</x:v>
      </x:c>
    </x:row>
    <x:row r="76" ht="85" customHeight="1">
      <x:c r="A76" s="21" t="str">
        <x:v>2025秋:259039</x:v>
      </x:c>
      <x:c r="B76" s="22" t="str">
        <x:v>S0017</x:v>
      </x:c>
      <x:c r="C76" s="22" t="str">
        <x:v>优化与运筹</x:v>
      </x:c>
      <x:c r="D76" s="22" t="str">
        <x:v>s3</x:v>
      </x:c>
      <x:c r="E76" s="22" t="str">
        <x:v>topic-01</x:v>
      </x:c>
      <x:c r="F76" s="22" t="str">
        <x:v>topic-01</x:v>
      </x:c>
      <x:c r="G76" s="22" t="str">
        <x:v>中</x:v>
      </x:c>
      <x:c r="H76" s="22" t="str">
        <x:v>高</x:v>
      </x:c>
      <x:c r="I76" s="22" t="n">
        <x:v>2.040922619047619</x:v>
      </x:c>
      <x:c r="J76" s="22" t="n">
        <x:v>3.9503444998812065</x:v>
      </x:c>
      <x:c r="K76" s="22" t="n">
        <x:v>1.9094218808335874</x:v>
      </x:c>
      <x:c r="L76" s="22" t="str">
        <x:v>[3]</x:v>
      </x:c>
      <x:c r="M76" s="22" t="str">
        <x:v>[11]</x:v>
      </x:c>
      <x:c r="N76" s="28" t="str">
        <x:v>通过人工蚂蚁在解空间中释放和感知“信息素”，并根据信息素强度与启发式规则迭代搜索</x:v>
      </x:c>
      <x:c r="O76" s="28" t="str">
        <x:v>一旦某条路径早期因随机优势获得稍高信息素，正反馈会迅速放大，种群很快“抱团”同一条路线，容易造成多样性崩溃。</x:v>
      </x:c>
      <x:c r="P76" s="22" t="str">
        <x:v>2025秋:2025秋-数学模型-问答记录导出20260502导出_已标注_已更新.xlsx:问答记录:19</x:v>
      </x:c>
      <x:c r="Q76" s="22" t="str">
        <x:v>evidence/valid_dialogues.jsonl:71</x:v>
      </x:c>
    </x:row>
    <x:row r="77" ht="85" customHeight="1">
      <x:c r="A77" s="21" t="str">
        <x:v>2025秋:259043</x:v>
      </x:c>
      <x:c r="B77" s="22" t="str">
        <x:v>S0066</x:v>
      </x:c>
      <x:c r="C77" s="22" t="str">
        <x:v>机器学习与人工智能</x:v>
      </x:c>
      <x:c r="D77" s="22" t="str">
        <x:v>s3</x:v>
      </x:c>
      <x:c r="E77" s="22" t="str">
        <x:v>topic-06</x:v>
      </x:c>
      <x:c r="F77" s="22" t="str">
        <x:v>topic-06</x:v>
      </x:c>
      <x:c r="G77" s="22" t="str">
        <x:v>中</x:v>
      </x:c>
      <x:c r="H77" s="22" t="str">
        <x:v>高</x:v>
      </x:c>
      <x:c r="I77" s="22" t="n">
        <x:v>2.2901439645625694</x:v>
      </x:c>
      <x:c r="J77" s="22" t="n">
        <x:v>4.027642276422764</x:v>
      </x:c>
      <x:c r="K77" s="22" t="n">
        <x:v>1.7374983118601945</x:v>
      </x:c>
      <x:c r="L77" s="22" t="str">
        <x:v>[3]</x:v>
      </x:c>
      <x:c r="M77" s="22" t="str">
        <x:v>[13]</x:v>
      </x:c>
      <x:c r="N77" s="28" t="str">
        <x:v>使超平面到两类数据中最近样本（支持向量）的几何间隔最大</x:v>
      </x:c>
      <x:c r="O77" s="28" t="str">
        <x:v>引入自适应间隔机制：根据样本分布密度动态调整局部间隔，降低异常值影响</x:v>
      </x:c>
      <x:c r="P77" s="22" t="str">
        <x:v>2025秋:2025秋-数学模型-问答记录导出20260502导出_已标注_已更新.xlsx:问答记录:69</x:v>
      </x:c>
      <x:c r="Q77" s="22" t="str">
        <x:v>evidence/valid_dialogues.jsonl:72</x:v>
      </x:c>
    </x:row>
    <x:row r="78" ht="85" customHeight="1">
      <x:c r="A78" s="21" t="str">
        <x:v>2025秋:259044</x:v>
      </x:c>
      <x:c r="B78" s="22" t="str">
        <x:v>S0074</x:v>
      </x:c>
      <x:c r="C78" s="22" t="str">
        <x:v>优化与运筹</x:v>
      </x:c>
      <x:c r="D78" s="22" t="str">
        <x:v>s3</x:v>
      </x:c>
      <x:c r="E78" s="22" t="str">
        <x:v>topic-01</x:v>
      </x:c>
      <x:c r="F78" s="22" t="str">
        <x:v>topic-01</x:v>
      </x:c>
      <x:c r="G78" s="22" t="str">
        <x:v>低</x:v>
      </x:c>
      <x:c r="H78" s="22" t="str">
        <x:v>高</x:v>
      </x:c>
      <x:c r="I78" s="22" t="n">
        <x:v>1.5105820105820105</x:v>
      </x:c>
      <x:c r="J78" s="22" t="n">
        <x:v>3.918001033057851</x:v>
      </x:c>
      <x:c r="K78" s="22" t="n">
        <x:v>2.4074190224758407</x:v>
      </x:c>
      <x:c r="L78" s="22" t="str">
        <x:v>[3]</x:v>
      </x:c>
      <x:c r="M78" s="22" t="str">
        <x:v>[7]</x:v>
      </x:c>
      <x:c r="N78" s="28" t="str">
        <x:v>整数规划是一类决策变量需取整数值的数学规划</x:v>
      </x:c>
      <x:c r="O78" s="28" t="str">
        <x:v>整数规划通过0-1变量锁定“选或不选”的离散决策，用整数分配变量明确服务归属，让结果直接对应可操作方案。</x:v>
      </x:c>
      <x:c r="P78" s="22" t="str">
        <x:v>2025秋:2025秋-数学模型-问答记录导出20260502导出_已标注_已更新.xlsx:问答记录:77</x:v>
      </x:c>
      <x:c r="Q78" s="22" t="str">
        <x:v>evidence/valid_dialogues.jsonl:73</x:v>
      </x:c>
    </x:row>
    <x:row r="79" ht="85" customHeight="1">
      <x:c r="A79" s="21" t="str">
        <x:v>2025秋:259050</x:v>
      </x:c>
      <x:c r="B79" s="22" t="str">
        <x:v>S0455</x:v>
      </x:c>
      <x:c r="C79" s="22" t="str">
        <x:v>优化与运筹</x:v>
      </x:c>
      <x:c r="D79" s="22" t="str">
        <x:v>s3</x:v>
      </x:c>
      <x:c r="E79" s="22" t="str">
        <x:v>topic-01</x:v>
      </x:c>
      <x:c r="F79" s="22" t="str">
        <x:v>topic-01</x:v>
      </x:c>
      <x:c r="G79" s="22" t="str">
        <x:v>中</x:v>
      </x:c>
      <x:c r="H79" s="22" t="str">
        <x:v>高</x:v>
      </x:c>
      <x:c r="I79" s="22" t="n">
        <x:v>2.1268939393939394</x:v>
      </x:c>
      <x:c r="J79" s="22" t="n">
        <x:v>3.918001033057851</x:v>
      </x:c>
      <x:c r="K79" s="22" t="n">
        <x:v>1.7911070936639115</x:v>
      </x:c>
      <x:c r="L79" s="22" t="str">
        <x:v>[3]</x:v>
      </x:c>
      <x:c r="M79" s="22" t="str">
        <x:v>[15]</x:v>
      </x:c>
      <x:c r="N79" s="28" t="str">
        <x:v>需要同时优化两个或两个以上相互冲突的目标函数</x:v>
      </x:c>
      <x:c r="O79" s="28" t="str">
        <x:v>基于人工智能的代理模型深度融合  思想：对于计算昂贵的目标函数，直接用AI模型（如深度神经网络、高斯过程）作为快速“代理模型”来替代仿真。未来的创新点在于主动学习：算法能智能地判断应该在搜索空间的哪个区域进行下一次昂贵的真实评估，以最高效地提升代理模型的精度和帕累托前沿的质量。交互式与沉浸式决策  思想：将决策者深度融…</x:v>
      </x:c>
      <x:c r="P79" s="22" t="str">
        <x:v>2025秋:2025秋-数学模型-问答记录导出20260502导出_已标注_已更新.xlsx:问答记录:467</x:v>
      </x:c>
      <x:c r="Q79" s="22" t="str">
        <x:v>evidence/valid_dialogues.jsonl:74</x:v>
      </x:c>
    </x:row>
    <x:row r="80" ht="85" customHeight="1">
      <x:c r="A80" s="21" t="str">
        <x:v>2025秋:259052</x:v>
      </x:c>
      <x:c r="B80" s="22" t="str">
        <x:v>S0489</x:v>
      </x:c>
      <x:c r="C80" s="22" t="str">
        <x:v>图论与网络</x:v>
      </x:c>
      <x:c r="D80" s="22" t="str">
        <x:v>s3</x:v>
      </x:c>
      <x:c r="E80" s="22" t="str">
        <x:v>topic-02</x:v>
      </x:c>
      <x:c r="F80" s="22" t="str">
        <x:v>topic-02</x:v>
      </x:c>
      <x:c r="G80" s="22" t="str">
        <x:v>高</x:v>
      </x:c>
      <x:c r="H80" s="22" t="str">
        <x:v>高</x:v>
      </x:c>
      <x:c r="I80" s="22" t="n">
        <x:v>3.6847183317771557</x:v>
      </x:c>
      <x:c r="J80" s="22" t="n">
        <x:v>3.6847183317771557</x:v>
      </x:c>
      <x:c r="K80" s="22" t="n">
        <x:v>0</x:v>
      </x:c>
      <x:c r="L80" s="22" t="str">
        <x:v>[3]</x:v>
      </x:c>
      <x:c r="M80" s="22" t="str">
        <x:v>[9]</x:v>
      </x:c>
      <x:c r="N80" s="28" t="str">
        <x:v>这保证了路径的连续性，从而避免了解中出现环路或多个不连通的段</x:v>
      </x:c>
      <x:c r="O80" s="28" t="str">
        <x:v>1. 变量定义
设每条边一个 0-1 变量：
xsa∈{0,1},xsb∈{0,1},xab∈{0,1},xat∈{0,1},xbt∈{0,1}
2. 起点s的净流出约束
xsa+xsb=1
3. 终点t的净流入约束
进入t的边：xat+xbt​
离开t的边：无
xat+xbt=1
4.中间节点a的流量平衡
进入a的边…</x:v>
      </x:c>
      <x:c r="P80" s="22" t="str">
        <x:v>2025秋:2025秋-数学模型-问答记录导出20260502导出_已标注_已更新.xlsx:问答记录:501</x:v>
      </x:c>
      <x:c r="Q80" s="22" t="str">
        <x:v>evidence/valid_dialogues.jsonl:75</x:v>
      </x:c>
    </x:row>
    <x:row r="81" ht="85" customHeight="1">
      <x:c r="A81" s="21" t="str">
        <x:v>2025秋:259059</x:v>
      </x:c>
      <x:c r="B81" s="22" t="str">
        <x:v>S0426</x:v>
      </x:c>
      <x:c r="C81" s="22" t="str">
        <x:v>优化与运筹</x:v>
      </x:c>
      <x:c r="D81" s="22" t="str">
        <x:v>s3</x:v>
      </x:c>
      <x:c r="E81" s="22" t="str">
        <x:v>topic-01</x:v>
      </x:c>
      <x:c r="F81" s="22" t="str">
        <x:v>topic-01</x:v>
      </x:c>
      <x:c r="G81" s="22" t="str">
        <x:v>低</x:v>
      </x:c>
      <x:c r="H81" s="22" t="str">
        <x:v>低</x:v>
      </x:c>
      <x:c r="I81" s="22" t="n">
        <x:v>1.5105820105820105</x:v>
      </x:c>
      <x:c r="J81" s="22" t="n">
        <x:v>1.5105820105820105</x:v>
      </x:c>
      <x:c r="K81" s="22" t="n">
        <x:v>0</x:v>
      </x:c>
      <x:c r="L81" s="22" t="str">
        <x:v>[3]</x:v>
      </x:c>
      <x:c r="M81" s="22" t="str">
        <x:v>[5]</x:v>
      </x:c>
      <x:c r="N81" s="28" t="str">
        <x:v>应该找新的！</x:v>
      </x:c>
      <x:c r="O81" s="28" t="str">
        <x:v>局部收敛</x:v>
      </x:c>
      <x:c r="P81" s="22" t="str">
        <x:v>2025秋:2025秋-数学模型-问答记录导出20260502导出_已标注_已更新.xlsx:问答记录:437</x:v>
      </x:c>
      <x:c r="Q81" s="22" t="str">
        <x:v>evidence/valid_dialogues.jsonl:76</x:v>
      </x:c>
    </x:row>
    <x:row r="82" ht="85" customHeight="1">
      <x:c r="A82" s="21" t="str">
        <x:v>2025秋:259092</x:v>
      </x:c>
      <x:c r="B82" s="22" t="str">
        <x:v>S0034</x:v>
      </x:c>
      <x:c r="C82" s="22" t="str">
        <x:v>优化与运筹</x:v>
      </x:c>
      <x:c r="D82" s="22" t="str">
        <x:v>s3</x:v>
      </x:c>
      <x:c r="E82" s="22" t="str">
        <x:v>topic-01</x:v>
      </x:c>
      <x:c r="F82" s="22" t="str">
        <x:v>topic-01</x:v>
      </x:c>
      <x:c r="G82" s="22" t="str">
        <x:v>中</x:v>
      </x:c>
      <x:c r="H82" s="22" t="str">
        <x:v>中</x:v>
      </x:c>
      <x:c r="I82" s="22" t="n">
        <x:v>2.0141467727674622</x:v>
      </x:c>
      <x:c r="J82" s="22" t="n">
        <x:v>2.0141467727674622</x:v>
      </x:c>
      <x:c r="K82" s="22" t="n">
        <x:v>0</x:v>
      </x:c>
      <x:c r="L82" s="22" t="str">
        <x:v>[3]</x:v>
      </x:c>
      <x:c r="M82" s="22" t="str">
        <x:v>[7]</x:v>
      </x:c>
      <x:c r="N82" s="28" t="str">
        <x:v>为合理地利用有限的人力、物力、财力等资源作出的最优决策，提供科学的依据。</x:v>
      </x:c>
      <x:c r="O82" s="28" t="str">
        <x:v>某机床厂生产甲、乙两种机床，每台销售后的利润分别为4千元和3千元。</x:v>
      </x:c>
      <x:c r="P82" s="22" t="str">
        <x:v>2025秋:2025秋-数学模型-问答记录导出20260502导出_已标注_已更新.xlsx:问答记录:36</x:v>
      </x:c>
      <x:c r="Q82" s="22" t="str">
        <x:v>evidence/valid_dialogues.jsonl:77</x:v>
      </x:c>
    </x:row>
    <x:row r="83" ht="85" customHeight="1">
      <x:c r="A83" s="21" t="str">
        <x:v>2025秋:259097</x:v>
      </x:c>
      <x:c r="B83" s="22" t="str">
        <x:v>S0494</x:v>
      </x:c>
      <x:c r="C83" s="22" t="str">
        <x:v>机器学习与人工智能</x:v>
      </x:c>
      <x:c r="D83" s="22" t="str">
        <x:v>s3</x:v>
      </x:c>
      <x:c r="E83" s="22" t="str">
        <x:v>topic-06</x:v>
      </x:c>
      <x:c r="F83" s="22" t="str">
        <x:v>topic-06</x:v>
      </x:c>
      <x:c r="G83" s="22" t="str">
        <x:v>高</x:v>
      </x:c>
      <x:c r="H83" s="22" t="str">
        <x:v>高</x:v>
      </x:c>
      <x:c r="I83" s="22" t="n">
        <x:v>3.905597014925373</x:v>
      </x:c>
      <x:c r="J83" s="22" t="n">
        <x:v>3.905597014925373</x:v>
      </x:c>
      <x:c r="K83" s="22" t="n">
        <x:v>0</x:v>
      </x:c>
      <x:c r="L83" s="22" t="str">
        <x:v>[3]</x:v>
      </x:c>
      <x:c r="M83" s="22" t="str">
        <x:v>[3]</x:v>
      </x:c>
      <x:c r="N83" s="28" t="str">
        <x:v>假设它对"苹果"类的隶属度是0.7，对"梨"类的隶属度是0.4，那么我们就把它归类为苹果，因为0.7&gt;0.4。</x:v>
      </x:c>
      <x:c r="O83" s="28" t="str">
        <x:v>假设它对"苹果"类的隶属度是0.7，对"梨"类的隶属度是0.4，那么我们就把它归类为苹果，因为0.7&gt;0.4。</x:v>
      </x:c>
      <x:c r="P83" s="22" t="str">
        <x:v>2025秋:2025秋-数学模型-问答记录导出20260502导出_已标注_已更新.xlsx:问答记录:506</x:v>
      </x:c>
      <x:c r="Q83" s="22" t="str">
        <x:v>evidence/valid_dialogues.jsonl:78</x:v>
      </x:c>
    </x:row>
    <x:row r="84" ht="85" customHeight="1">
      <x:c r="A84" s="21" t="str">
        <x:v>2025秋:259101</x:v>
      </x:c>
      <x:c r="B84" s="22" t="str">
        <x:v>S0291</x:v>
      </x:c>
      <x:c r="C84" s="22" t="str">
        <x:v>优化与运筹</x:v>
      </x:c>
      <x:c r="D84" s="22" t="str">
        <x:v>s3</x:v>
      </x:c>
      <x:c r="E84" s="22" t="str">
        <x:v>topic-01</x:v>
      </x:c>
      <x:c r="F84" s="22" t="str">
        <x:v>topic-01</x:v>
      </x:c>
      <x:c r="G84" s="22" t="str">
        <x:v>低</x:v>
      </x:c>
      <x:c r="H84" s="22" t="str">
        <x:v>低</x:v>
      </x:c>
      <x:c r="I84" s="22" t="n">
        <x:v>1.4431818181818181</x:v>
      </x:c>
      <x:c r="J84" s="22" t="n">
        <x:v>1.4431818181818181</x:v>
      </x:c>
      <x:c r="K84" s="22" t="n">
        <x:v>0</x:v>
      </x:c>
      <x:c r="L84" s="22" t="str">
        <x:v>[3]</x:v>
      </x:c>
      <x:c r="M84" s="22" t="str">
        <x:v>[9]</x:v>
      </x:c>
      <x:c r="N84" s="28" t="str">
        <x:v>时变分布下的稳定性-可塑性困境</x:v>
      </x:c>
      <x:c r="O84" s="28" t="str">
        <x:v>为每个目标权重设计独立的学习率</x:v>
      </x:c>
      <x:c r="P84" s="22" t="str">
        <x:v>2025秋:2025秋-数学模型-问答记录导出20260502导出_已标注_已更新.xlsx:问答记录:299</x:v>
      </x:c>
      <x:c r="Q84" s="22" t="str">
        <x:v>evidence/valid_dialogues.jsonl:79</x:v>
      </x:c>
    </x:row>
    <x:row r="85" ht="85" customHeight="1">
      <x:c r="A85" s="21" t="str">
        <x:v>2025秋:259106</x:v>
      </x:c>
      <x:c r="B85" s="22" t="str">
        <x:v>S0005</x:v>
      </x:c>
      <x:c r="C85" s="22" t="str">
        <x:v>优化与运筹</x:v>
      </x:c>
      <x:c r="D85" s="22" t="str">
        <x:v>s3</x:v>
      </x:c>
      <x:c r="E85" s="22" t="str">
        <x:v>topic-01</x:v>
      </x:c>
      <x:c r="F85" s="22" t="str">
        <x:v>topic-01</x:v>
      </x:c>
      <x:c r="G85" s="22" t="str">
        <x:v>高</x:v>
      </x:c>
      <x:c r="H85" s="22" t="str">
        <x:v>高</x:v>
      </x:c>
      <x:c r="I85" s="22" t="n">
        <x:v>3.95672131147541</x:v>
      </x:c>
      <x:c r="J85" s="22" t="n">
        <x:v>3.95672131147541</x:v>
      </x:c>
      <x:c r="K85" s="22" t="n">
        <x:v>0</x:v>
      </x:c>
      <x:c r="L85" s="22" t="str">
        <x:v>[3]</x:v>
      </x:c>
      <x:c r="M85" s="22" t="str">
        <x:v>[9]</x:v>
      </x:c>
      <x:c r="N85" s="28" t="str">
        <x:v>要提高产量，农场可能需要投入更多的肥料、农药或灌溉成本，这会增加总成本；而要降低成本，农场可能被迫减少投入，从而导致产量下降。</x:v>
      </x:c>
      <x:c r="O85" s="28" t="str">
        <x:v>最后是方案选择，在帕累托前沿内按照个人的价值判断挑选最合适的方案。</x:v>
      </x:c>
      <x:c r="P85" s="22" t="str">
        <x:v>2025秋:2025秋-数学模型-问答记录导出20260502导出_已标注_已更新.xlsx:问答记录:7</x:v>
      </x:c>
      <x:c r="Q85" s="22" t="str">
        <x:v>evidence/valid_dialogues.jsonl:80</x:v>
      </x:c>
    </x:row>
    <x:row r="86" ht="85" customHeight="1">
      <x:c r="A86" s="21" t="str">
        <x:v>2025秋:259112</x:v>
      </x:c>
      <x:c r="B86" s="22" t="str">
        <x:v>S0204</x:v>
      </x:c>
      <x:c r="C86" s="22" t="str">
        <x:v>优化与运筹</x:v>
      </x:c>
      <x:c r="D86" s="22" t="str">
        <x:v>s3</x:v>
      </x:c>
      <x:c r="E86" s="22" t="str">
        <x:v>topic-01</x:v>
      </x:c>
      <x:c r="F86" s="22" t="str">
        <x:v>topic-01</x:v>
      </x:c>
      <x:c r="G86" s="22" t="str">
        <x:v>中</x:v>
      </x:c>
      <x:c r="H86" s="22" t="str">
        <x:v>高</x:v>
      </x:c>
      <x:c r="I86" s="22" t="n">
        <x:v>2.040922619047619</x:v>
      </x:c>
      <x:c r="J86" s="22" t="n">
        <x:v>3.9503444998812065</x:v>
      </x:c>
      <x:c r="K86" s="22" t="n">
        <x:v>1.9094218808335874</x:v>
      </x:c>
      <x:c r="L86" s="22" t="str">
        <x:v>[3]</x:v>
      </x:c>
      <x:c r="M86" s="22" t="str">
        <x:v>[11]</x:v>
      </x:c>
      <x:c r="N86" s="28" t="str">
        <x:v>随着温度降低，接受差解的概率变小，使算法前期能跳出局部最优，后期逐渐收敛到一个较优解。</x:v>
      </x:c>
      <x:c r="O86" s="28" t="str">
        <x:v>不要完全随机，可以优先打乱那些特别长的边，或者先用一个简单算法给个不错的初始解，再用模拟退火慢慢优化。</x:v>
      </x:c>
      <x:c r="P86" s="22" t="str">
        <x:v>2025秋:2025秋-数学模型-问答记录导出20260502导出_已标注_已更新.xlsx:问答记录:209</x:v>
      </x:c>
      <x:c r="Q86" s="22" t="str">
        <x:v>evidence/valid_dialogues.jsonl:81</x:v>
      </x:c>
    </x:row>
    <x:row r="87" ht="85" customHeight="1">
      <x:c r="A87" s="21" t="str">
        <x:v>2025秋:259116</x:v>
      </x:c>
      <x:c r="B87" s="22" t="str">
        <x:v>S0223</x:v>
      </x:c>
      <x:c r="C87" s="22" t="str">
        <x:v>机器学习与人工智能</x:v>
      </x:c>
      <x:c r="D87" s="22" t="str">
        <x:v>s3</x:v>
      </x:c>
      <x:c r="E87" s="22" t="str">
        <x:v>topic-06</x:v>
      </x:c>
      <x:c r="F87" s="22" t="str">
        <x:v>topic-06</x:v>
      </x:c>
      <x:c r="G87" s="22" t="str">
        <x:v>高</x:v>
      </x:c>
      <x:c r="H87" s="22" t="str">
        <x:v>高</x:v>
      </x:c>
      <x:c r="I87" s="22" t="n">
        <x:v>4.027642276422764</x:v>
      </x:c>
      <x:c r="J87" s="22" t="n">
        <x:v>4.027642276422764</x:v>
      </x:c>
      <x:c r="K87" s="22" t="n">
        <x:v>0</x:v>
      </x:c>
      <x:c r="L87" s="22" t="str">
        <x:v>[3]</x:v>
      </x:c>
      <x:c r="M87" s="22" t="str">
        <x:v>[5]</x:v>
      </x:c>
      <x:c r="N87" s="28" t="str">
        <x:v>买了手机的人是不是大概率会买手机壳，这样我就能搞组合优惠或者精准推荐。</x:v>
      </x:c>
      <x:c r="O87" s="28" t="str">
        <x:v>我觉得**置信度**最重要。因为搞组合优惠就是想提高转化率，置信度直接告诉我"买了手机的人有多大可能买手机壳"</x:v>
      </x:c>
      <x:c r="P87" s="22" t="str">
        <x:v>2025秋:2025秋-数学模型-问答记录导出20260502导出_已标注_已更新.xlsx:问答记录:228</x:v>
      </x:c>
      <x:c r="Q87" s="22" t="str">
        <x:v>evidence/valid_dialogues.jsonl:82</x:v>
      </x:c>
    </x:row>
    <x:row r="88" ht="85" customHeight="1">
      <x:c r="A88" s="21" t="str">
        <x:v>2025秋:259116</x:v>
      </x:c>
      <x:c r="B88" s="22" t="str">
        <x:v>S0266</x:v>
      </x:c>
      <x:c r="C88" s="22" t="str">
        <x:v>机器学习与人工智能</x:v>
      </x:c>
      <x:c r="D88" s="22" t="str">
        <x:v>s3</x:v>
      </x:c>
      <x:c r="E88" s="22" t="str">
        <x:v>topic-06</x:v>
      </x:c>
      <x:c r="F88" s="22" t="str">
        <x:v>topic-06</x:v>
      </x:c>
      <x:c r="G88" s="22" t="str">
        <x:v>高</x:v>
      </x:c>
      <x:c r="H88" s="22" t="str">
        <x:v>高</x:v>
      </x:c>
      <x:c r="I88" s="22" t="n">
        <x:v>4.027642276422764</x:v>
      </x:c>
      <x:c r="J88" s="22" t="n">
        <x:v>4.027642276422764</x:v>
      </x:c>
      <x:c r="K88" s="22" t="n">
        <x:v>0</x:v>
      </x:c>
      <x:c r="L88" s="22" t="str">
        <x:v>[3]</x:v>
      </x:c>
      <x:c r="M88" s="22" t="str">
        <x:v>[11]</x:v>
      </x:c>
      <x:c r="N88" s="28" t="str">
        <x:v>买了手机的人70%都会买手机壳，或者母婴用品和玩具之间的搭配规律。这种信息能直接用来做商品推荐或者促销组合。</x:v>
      </x:c>
      <x:c r="O88" s="28" t="str">
        <x:v>我能想到几个验证方法：
1. 业务合理性检查：看看分出来的三类用户特征是不是符合常识，比如VIP</x:v>
      </x:c>
      <x:c r="P88" s="22" t="str">
        <x:v>2025秋:2025秋-数学模型-问答记录导出20260502导出_已标注_已更新.xlsx:问答记录:274</x:v>
      </x:c>
      <x:c r="Q88" s="22" t="str">
        <x:v>evidence/valid_dialogues.jsonl:83</x:v>
      </x:c>
    </x:row>
    <x:row r="89" ht="85" customHeight="1">
      <x:c r="A89" s="21" t="str">
        <x:v>2025秋:259161</x:v>
      </x:c>
      <x:c r="B89" s="22" t="str">
        <x:v>S0210</x:v>
      </x:c>
      <x:c r="C89" s="22" t="str">
        <x:v>微分方程与动态系统</x:v>
      </x:c>
      <x:c r="D89" s="22" t="str">
        <x:v>s3</x:v>
      </x:c>
      <x:c r="E89" s="22" t="str">
        <x:v>topic-03</x:v>
      </x:c>
      <x:c r="F89" s="22" t="str">
        <x:v>topic-03</x:v>
      </x:c>
      <x:c r="G89" s="22" t="str">
        <x:v>中</x:v>
      </x:c>
      <x:c r="H89" s="22" t="str">
        <x:v>高</x:v>
      </x:c>
      <x:c r="I89" s="22" t="n">
        <x:v>2.1269315673289184</x:v>
      </x:c>
      <x:c r="J89" s="22" t="n">
        <x:v>3.48109243697479</x:v>
      </x:c>
      <x:c r="K89" s="22" t="n">
        <x:v>1.3541608696458716</x:v>
      </x:c>
      <x:c r="L89" s="22" t="str">
        <x:v>[3]</x:v>
      </x:c>
      <x:c r="M89" s="22" t="str">
        <x:v>[9]</x:v>
      </x:c>
      <x:c r="N89" s="28" t="str">
        <x:v>考虑到环境容量等因素，应该是按照S型曲线增长的吧？</x:v>
      </x:c>
      <x:c r="O89" s="28" t="str">
        <x:v>其自变量，是我们根据一个设计好的量表，对应将过去的一些变量（比如科技水平）量化，再综合之下，得到一个动态变化的K值。</x:v>
      </x:c>
      <x:c r="P89" s="22" t="str">
        <x:v>2025秋:2025秋-数学模型-问答记录导出20260502导出_已标注_已更新.xlsx:问答记录:215</x:v>
      </x:c>
      <x:c r="Q89" s="22" t="str">
        <x:v>evidence/valid_dialogues.jsonl:84</x:v>
      </x:c>
    </x:row>
    <x:row r="90" ht="85" customHeight="1">
      <x:c r="A90" s="21" t="str">
        <x:v>2025秋:259315</x:v>
      </x:c>
      <x:c r="B90" s="22" t="str">
        <x:v>S0405</x:v>
      </x:c>
      <x:c r="C90" s="22" t="str">
        <x:v>机器学习与人工智能</x:v>
      </x:c>
      <x:c r="D90" s="22" t="str">
        <x:v>s3</x:v>
      </x:c>
      <x:c r="E90" s="22" t="str">
        <x:v>topic-06</x:v>
      </x:c>
      <x:c r="F90" s="22" t="str">
        <x:v>topic-06</x:v>
      </x:c>
      <x:c r="G90" s="22" t="str">
        <x:v>高</x:v>
      </x:c>
      <x:c r="H90" s="22" t="str">
        <x:v>高</x:v>
      </x:c>
      <x:c r="I90" s="22" t="n">
        <x:v>3.922043891254504</x:v>
      </x:c>
      <x:c r="J90" s="22" t="n">
        <x:v>3.922043891254504</x:v>
      </x:c>
      <x:c r="K90" s="22" t="n">
        <x:v>0</x:v>
      </x:c>
      <x:c r="L90" s="22" t="str">
        <x:v>[3]</x:v>
      </x:c>
      <x:c r="M90" s="22" t="str">
        <x:v>[13]</x:v>
      </x:c>
      <x:c r="N90" s="28" t="str">
        <x:v>让两侧最近的样本点距离它最远</x:v>
      </x:c>
      <x:c r="O90" s="28" t="str">
        <x:v>感谢您的引导，这让我对SVM形成了一个完整的理解框架。面对一个新问题，我的核函数选择策略可以概括</x:v>
      </x:c>
      <x:c r="P90" s="22" t="str">
        <x:v>2025秋:2025秋-数学模型-问答记录导出20260502导出_已标注_已更新.xlsx:问答记录:416</x:v>
      </x:c>
      <x:c r="Q90" s="22" t="str">
        <x:v>evidence/valid_dialogues.jsonl:85</x:v>
      </x:c>
    </x:row>
    <x:row r="91" ht="85" customHeight="1">
      <x:c r="A91" s="21" t="str">
        <x:v>2025秋:259316</x:v>
      </x:c>
      <x:c r="B91" s="22" t="str">
        <x:v>S0121</x:v>
      </x:c>
      <x:c r="C91" s="22" t="str">
        <x:v>学习过程与工具使用</x:v>
      </x:c>
      <x:c r="D91" s="22" t="str">
        <x:v>s3</x:v>
      </x:c>
      <x:c r="E91" s="22" t="str">
        <x:v>topic-11</x:v>
      </x:c>
      <x:c r="F91" s="22" t="str">
        <x:v>topic-11</x:v>
      </x:c>
      <x:c r="G91" s="22" t="str">
        <x:v>高</x:v>
      </x:c>
      <x:c r="H91" s="22" t="str">
        <x:v>高</x:v>
      </x:c>
      <x:c r="I91" s="22" t="n">
        <x:v>3.5469613259668504</x:v>
      </x:c>
      <x:c r="J91" s="22" t="n">
        <x:v>3.5469613259668504</x:v>
      </x:c>
      <x:c r="K91" s="22" t="n">
        <x:v>0</x:v>
      </x:c>
      <x:c r="L91" s="22" t="str">
        <x:v>[3]</x:v>
      </x:c>
      <x:c r="M91" s="22" t="str">
        <x:v>[5]</x:v>
      </x:c>
      <x:c r="N91" s="28" t="str">
        <x:v>如果我们想保存一个学生的姓名、年龄和成绩，我们可以用一个字典来存储这些信息，避免了为每个属性单独创建变量。</x:v>
      </x:c>
      <x:c r="O91" s="28" t="str">
        <x:v>使用字典时，我们可以通过键直接访问对应的值，比如通过student["姓名"]就能快速获取学生的姓名，这样非常直观。</x:v>
      </x:c>
      <x:c r="P91" s="22" t="str">
        <x:v>2025秋:2025秋-数学模型-问答记录导出20260502导出_已标注_已更新.xlsx:问答记录:124</x:v>
      </x:c>
      <x:c r="Q91" s="22" t="str">
        <x:v>evidence/valid_dialogues.jsonl:86</x:v>
      </x:c>
    </x:row>
    <x:row r="92" ht="85" customHeight="1">
      <x:c r="A92" s="21" t="str">
        <x:v>2025秋:259316</x:v>
      </x:c>
      <x:c r="B92" s="22" t="str">
        <x:v>S0062</x:v>
      </x:c>
      <x:c r="C92" s="22" t="str">
        <x:v>图论与网络</x:v>
      </x:c>
      <x:c r="D92" s="22" t="str">
        <x:v>s3</x:v>
      </x:c>
      <x:c r="E92" s="22" t="str">
        <x:v>topic-02</x:v>
      </x:c>
      <x:c r="F92" s="22" t="str">
        <x:v>topic-02</x:v>
      </x:c>
      <x:c r="G92" s="22" t="str">
        <x:v>中</x:v>
      </x:c>
      <x:c r="H92" s="22" t="str">
        <x:v>中</x:v>
      </x:c>
      <x:c r="I92" s="22" t="n">
        <x:v>2.283557046979866</x:v>
      </x:c>
      <x:c r="J92" s="22" t="n">
        <x:v>2.283557046979866</x:v>
      </x:c>
      <x:c r="K92" s="22" t="n">
        <x:v>0</x:v>
      </x:c>
      <x:c r="L92" s="22" t="str">
        <x:v>[3]</x:v>
      </x:c>
      <x:c r="M92" s="22" t="str">
        <x:v>[3]</x:v>
      </x:c>
      <x:c r="N92" s="28" t="str">
        <x:v>首先将起点加入队列，然后重复以下操作：从队列中取出一个顶点，访问它，然后将所有未访问的邻居顶点加入队列。</x:v>
      </x:c>
      <x:c r="O92" s="28" t="str">
        <x:v>从队列中取出一个顶点，访问它，然后将所有未访问的邻居顶点加入队列。这确保了访问顺序是按照距离起点的层级逐渐扩展的。</x:v>
      </x:c>
      <x:c r="P92" s="22" t="str">
        <x:v>2025秋:2025秋-数学模型-问答记录导出20260502导出_已标注_已更新.xlsx:问答记录:65</x:v>
      </x:c>
      <x:c r="Q92" s="22" t="str">
        <x:v>evidence/valid_dialogues.jsonl:87</x:v>
      </x:c>
    </x:row>
    <x:row r="93" ht="85" customHeight="1">
      <x:c r="A93" s="21" t="str">
        <x:v>2025秋:259317</x:v>
      </x:c>
      <x:c r="B93" s="22" t="str">
        <x:v>S0003</x:v>
      </x:c>
      <x:c r="C93" s="22" t="str">
        <x:v>数值计算与科学计算</x:v>
      </x:c>
      <x:c r="D93" s="22" t="str">
        <x:v>s3</x:v>
      </x:c>
      <x:c r="E93" s="22" t="str">
        <x:v>topic-05</x:v>
      </x:c>
      <x:c r="F93" s="22" t="str">
        <x:v>topic-05</x:v>
      </x:c>
      <x:c r="G93" s="22" t="str">
        <x:v>中</x:v>
      </x:c>
      <x:c r="H93" s="22" t="str">
        <x:v>高</x:v>
      </x:c>
      <x:c r="I93" s="22" t="n">
        <x:v>1.9782135076252725</x:v>
      </x:c>
      <x:c r="J93" s="22" t="n">
        <x:v>2.7842091224326486</x:v>
      </x:c>
      <x:c r="K93" s="22" t="n">
        <x:v>0.8059956148073761</x:v>
      </x:c>
      <x:c r="L93" s="22" t="str">
        <x:v>[3]</x:v>
      </x:c>
      <x:c r="M93" s="22" t="str">
        <x:v>[9]</x:v>
      </x:c>
      <x:c r="N93" s="28" t="str">
        <x:v>符号解法求精确公式，适用于简单方程以洞察全局；数值解法求近似数据点，适用于复杂方程以解决实际问题。</x:v>
      </x:c>
      <x:c r="O93" s="28" t="str">
        <x:v>刚性问题需专用刚性求解器，延迟微分方程也需对应数值工具</x:v>
      </x:c>
      <x:c r="P93" s="22" t="str">
        <x:v>2025秋:2025秋-数学模型-问答记录导出20260502导出_已标注_已更新.xlsx:问答记录:5</x:v>
      </x:c>
      <x:c r="Q93" s="22" t="str">
        <x:v>evidence/valid_dialogues.jsonl:88</x:v>
      </x:c>
    </x:row>
    <x:row r="94" ht="85" customHeight="1">
      <x:c r="A94" s="21" t="str">
        <x:v>2025秋:259321</x:v>
      </x:c>
      <x:c r="B94" s="22" t="str">
        <x:v>S0288</x:v>
      </x:c>
      <x:c r="C94" s="22" t="str">
        <x:v>数值计算与科学计算</x:v>
      </x:c>
      <x:c r="D94" s="22" t="str">
        <x:v>s3</x:v>
      </x:c>
      <x:c r="E94" s="22" t="str">
        <x:v>topic-05</x:v>
      </x:c>
      <x:c r="F94" s="22" t="str">
        <x:v>topic-05</x:v>
      </x:c>
      <x:c r="G94" s="22" t="str">
        <x:v>低</x:v>
      </x:c>
      <x:c r="H94" s="22" t="str">
        <x:v>中</x:v>
      </x:c>
      <x:c r="I94" s="22" t="n">
        <x:v>1.4385542168674699</x:v>
      </x:c>
      <x:c r="J94" s="22" t="n">
        <x:v>2.0957854406130267</x:v>
      </x:c>
      <x:c r="K94" s="22" t="n">
        <x:v>0.6572312237455569</x:v>
      </x:c>
      <x:c r="L94" s="22" t="str">
        <x:v>[3]</x:v>
      </x:c>
      <x:c r="M94" s="22" t="str">
        <x:v>[5]</x:v>
      </x:c>
      <x:c r="N94" s="28" t="str">
        <x:v>以差商为系数构造唯一插值多项式</x:v>
      </x:c>
      <x:c r="O94" s="28" t="str">
        <x:v>差商核心：以数据点的各阶差商作为插值多项式的系数，差商是构造多项式的核心依据。
递推构造：新增数</x:v>
      </x:c>
      <x:c r="P94" s="22" t="str">
        <x:v>2025秋:2025秋-数学模型-问答记录导出20260502导出_已标注_已更新.xlsx:问答记录:296</x:v>
      </x:c>
      <x:c r="Q94" s="22" t="str">
        <x:v>evidence/valid_dialogues.jsonl:89</x:v>
      </x:c>
    </x:row>
    <x:row r="95" ht="85" customHeight="1">
      <x:c r="A95" s="21" t="str">
        <x:v>2025秋:259324</x:v>
      </x:c>
      <x:c r="B95" s="22" t="str">
        <x:v>S0230</x:v>
      </x:c>
      <x:c r="C95" s="22" t="str">
        <x:v>机器学习与人工智能</x:v>
      </x:c>
      <x:c r="D95" s="22" t="str">
        <x:v>s3</x:v>
      </x:c>
      <x:c r="E95" s="22" t="str">
        <x:v>topic-06</x:v>
      </x:c>
      <x:c r="F95" s="22" t="str">
        <x:v>topic-06</x:v>
      </x:c>
      <x:c r="G95" s="22" t="str">
        <x:v>低</x:v>
      </x:c>
      <x:c r="H95" s="22" t="str">
        <x:v>低</x:v>
      </x:c>
      <x:c r="I95" s="22" t="n">
        <x:v>1.5142857142857142</x:v>
      </x:c>
      <x:c r="J95" s="22" t="n">
        <x:v>1.5142857142857142</x:v>
      </x:c>
      <x:c r="K95" s="22" t="n">
        <x:v>0</x:v>
      </x:c>
      <x:c r="L95" s="22" t="str">
        <x:v>[3]</x:v>
      </x:c>
      <x:c r="M95" s="22" t="str">
        <x:v>[3]</x:v>
      </x:c>
      <x:c r="N95" s="28" t="str">
        <x:v>在处理一些糟糕的数据时候，不能很好的完成任务</x:v>
      </x:c>
      <x:c r="O95" s="28" t="str">
        <x:v>接触过一些，在处理一些糟糕的数据时候，不能很好的完成任务</x:v>
      </x:c>
      <x:c r="P95" s="22" t="str">
        <x:v>2025秋:2025秋-数学模型-问答记录导出20260502导出_已标注_已更新.xlsx:问答记录:235</x:v>
      </x:c>
      <x:c r="Q95" s="22" t="str">
        <x:v>evidence/valid_dialogues.jsonl:90</x:v>
      </x:c>
    </x:row>
    <x:row r="96" ht="85" customHeight="1">
      <x:c r="A96" s="21" t="str">
        <x:v>2025秋:259325</x:v>
      </x:c>
      <x:c r="B96" s="22" t="str">
        <x:v>S0744</x:v>
      </x:c>
      <x:c r="C96" s="22" t="str">
        <x:v>优化与运筹</x:v>
      </x:c>
      <x:c r="D96" s="22" t="str">
        <x:v>s3</x:v>
      </x:c>
      <x:c r="E96" s="22" t="str">
        <x:v>topic-01</x:v>
      </x:c>
      <x:c r="F96" s="22" t="str">
        <x:v>topic-01</x:v>
      </x:c>
      <x:c r="G96" s="22" t="str">
        <x:v>高</x:v>
      </x:c>
      <x:c r="H96" s="22" t="str">
        <x:v>高</x:v>
      </x:c>
      <x:c r="I96" s="22" t="n">
        <x:v>3.9131968948482707</x:v>
      </x:c>
      <x:c r="J96" s="22" t="n">
        <x:v>3.9131968948482707</x:v>
      </x:c>
      <x:c r="K96" s="22" t="n">
        <x:v>0</x:v>
      </x:c>
      <x:c r="L96" s="22" t="str">
        <x:v>[3]</x:v>
      </x:c>
      <x:c r="M96" s="22" t="str">
        <x:v>[3]</x:v>
      </x:c>
      <x:c r="N96" s="28" t="str">
        <x:v>在电力系统动态最优潮流（含暂态稳定约束）这类极端复杂、非凸、高维的优化问题中，我们是应该：
A. 开发更强大的智能算法（如深度强化学习），直接在完整复杂模型上搜索？
B. 坚持“刻意降维”哲学，先用物理洞察力将问题简化为一个低维、结构清晰的近似模型（哪怕损失一些精度），再用高效算法求解？
选择A，可能获得理论上的更优…</x:v>
      </x:c>
      <x:c r="O96" s="28" t="str">
        <x:v>在电力系统动态最优潮流（含暂态稳定约束）这类极端复杂、非凸、高维的优化问题中，我们是应该：
A. 开发更强大的智能算法（如深度强化学习），直接在完整复杂模型上搜索？
B. 坚持“刻意降维”哲学，先用物理洞察力将问题简化为一个低维、结构清晰的近似模型（哪怕损失一些精度），再用高效算法求解？
选择A，可能获得理论上的更优…</x:v>
      </x:c>
      <x:c r="P96" s="22" t="str">
        <x:v>2025秋:2025秋-数学模型-问答记录导出20260502导出_已标注_已更新.xlsx:问答记录:773</x:v>
      </x:c>
      <x:c r="Q96" s="22" t="str">
        <x:v>evidence/valid_dialogues.jsonl:91</x:v>
      </x:c>
    </x:row>
    <x:row r="97" ht="85" customHeight="1">
      <x:c r="A97" s="21" t="str">
        <x:v>2025秋:259326</x:v>
      </x:c>
      <x:c r="B97" s="22" t="str">
        <x:v>S0496</x:v>
      </x:c>
      <x:c r="C97" s="22" t="str">
        <x:v>优化与运筹</x:v>
      </x:c>
      <x:c r="D97" s="22" t="str">
        <x:v>s3</x:v>
      </x:c>
      <x:c r="E97" s="22" t="str">
        <x:v>topic-01</x:v>
      </x:c>
      <x:c r="F97" s="22" t="str">
        <x:v>topic-01</x:v>
      </x:c>
      <x:c r="G97" s="22" t="str">
        <x:v>中</x:v>
      </x:c>
      <x:c r="H97" s="22" t="str">
        <x:v>高</x:v>
      </x:c>
      <x:c r="I97" s="22" t="n">
        <x:v>2.1268939393939394</x:v>
      </x:c>
      <x:c r="J97" s="22" t="n">
        <x:v>3.918001033057851</x:v>
      </x:c>
      <x:c r="K97" s="22" t="n">
        <x:v>1.7911070936639115</x:v>
      </x:c>
      <x:c r="L97" s="22" t="str">
        <x:v>[3]</x:v>
      </x:c>
      <x:c r="M97" s="22" t="str">
        <x:v>[11]</x:v>
      </x:c>
      <x:c r="N97" s="28" t="str">
        <x:v>需要同时优化两个或两个以上相互冲突的目标函数</x:v>
      </x:c>
      <x:c r="O97" s="28" t="str">
        <x:v>多目标优化的核心局限在于其高度依赖目标的精确量化，难以处理如品牌价值等主观因素；其产生的庞大帕累托解集可能引发决策困惑；且作为静态模型，无法有效适应市场、政策等外部环境的动态变化，可能导致最优解迅速失效。</x:v>
      </x:c>
      <x:c r="P97" s="22" t="str">
        <x:v>2025秋:2025秋-数学模型-问答记录导出20260502导出_已标注_已更新.xlsx:问答记录:508</x:v>
      </x:c>
      <x:c r="Q97" s="22" t="str">
        <x:v>evidence/valid_dialogues.jsonl:92</x:v>
      </x:c>
    </x:row>
    <x:row r="98" ht="85" customHeight="1">
      <x:c r="A98" s="21" t="str">
        <x:v>2025秋:259329</x:v>
      </x:c>
      <x:c r="B98" s="22" t="str">
        <x:v>S0112</x:v>
      </x:c>
      <x:c r="C98" s="22" t="str">
        <x:v>数学建模综合与案例</x:v>
      </x:c>
      <x:c r="D98" s="22" t="str">
        <x:v>s6</x:v>
      </x:c>
      <x:c r="E98" s="22" t="str">
        <x:v>topic-09</x:v>
      </x:c>
      <x:c r="F98" s="22" t="str">
        <x:v>topic-09</x:v>
      </x:c>
      <x:c r="G98" s="22" t="str">
        <x:v>L2</x:v>
      </x:c>
      <x:c r="H98" s="22" t="str">
        <x:v>L6</x:v>
      </x:c>
      <x:c r="I98" s="22" t="n">
        <x:v>2</x:v>
      </x:c>
      <x:c r="J98" s="22" t="n">
        <x:v>6</x:v>
      </x:c>
      <x:c r="K98" s="22" t="n">
        <x:v>4</x:v>
      </x:c>
      <x:c r="L98" s="22" t="str">
        <x:v>[3]</x:v>
      </x:c>
      <x:c r="M98" s="22" t="str">
        <x:v>[7]</x:v>
      </x:c>
      <x:c r="N98" s="28" t="str">
        <x:v>根据对象的特征和建模目的，抓住问题的本质，忽略次要因素，作出必要的、合理的简化假设。假设要恰当，避免过于简单或复杂，影响模型的准确性和可操作性。</x:v>
      </x:c>
      <x:c r="O98" s="28" t="str">
        <x:v>定义目标函数为最小化总库存成本，包括订货成本、持有成本和缺货成本。同时设定约束条件，如库存水平、订货频率等</x:v>
      </x:c>
      <x:c r="P98" s="22" t="str">
        <x:v>2025秋:2025秋-数学模型-问答记录导出20260502导出_已标注_已更新.xlsx:问答记录:115</x:v>
      </x:c>
      <x:c r="Q98" s="22" t="str">
        <x:v>evidence/valid_dialogues.jsonl:93</x:v>
      </x:c>
    </x:row>
    <x:row r="99" ht="85" customHeight="1">
      <x:c r="A99" s="21" t="str">
        <x:v>2025秋:259333</x:v>
      </x:c>
      <x:c r="B99" s="22" t="str">
        <x:v>S0360</x:v>
      </x:c>
      <x:c r="C99" s="22" t="str">
        <x:v>机器学习与人工智能</x:v>
      </x:c>
      <x:c r="D99" s="22" t="str">
        <x:v>s3</x:v>
      </x:c>
      <x:c r="E99" s="22" t="str">
        <x:v>topic-06</x:v>
      </x:c>
      <x:c r="F99" s="22" t="str">
        <x:v>topic-06</x:v>
      </x:c>
      <x:c r="G99" s="22" t="str">
        <x:v>中</x:v>
      </x:c>
      <x:c r="H99" s="22" t="str">
        <x:v>高</x:v>
      </x:c>
      <x:c r="I99" s="22" t="n">
        <x:v>2.2546497823506133</x:v>
      </x:c>
      <x:c r="J99" s="22" t="n">
        <x:v>3.8539599934948776</x:v>
      </x:c>
      <x:c r="K99" s="22" t="n">
        <x:v>1.5993102111442643</x:v>
      </x:c>
      <x:c r="L99" s="22" t="str">
        <x:v>[3]</x:v>
      </x:c>
      <x:c r="M99" s="22" t="str">
        <x:v>[9]</x:v>
      </x:c>
      <x:c r="N99" s="28" t="str">
        <x:v>确保大多数数据点的误差小于预定的阈值，同时避免过拟合</x:v>
      </x:c>
      <x:c r="O99" s="28" t="str">
        <x:v>支持向量回归（SVR）在实际场景中的应用同样广泛，尤其是在那些数据噪声较大或者数据关系复杂的情况</x:v>
      </x:c>
      <x:c r="P99" s="22" t="str">
        <x:v>2025秋:2025秋-数学模型-问答记录导出20260502导出_已标注_已更新.xlsx:问答记录:370</x:v>
      </x:c>
      <x:c r="Q99" s="22" t="str">
        <x:v>evidence/valid_dialogues.jsonl:94</x:v>
      </x:c>
    </x:row>
    <x:row r="100" ht="85" customHeight="1">
      <x:c r="A100" s="21" t="str">
        <x:v>2025秋:259334</x:v>
      </x:c>
      <x:c r="B100" s="22" t="str">
        <x:v>S0399</x:v>
      </x:c>
      <x:c r="C100" s="22" t="str">
        <x:v>概率统计与随机过程</x:v>
      </x:c>
      <x:c r="D100" s="22" t="str">
        <x:v>s3</x:v>
      </x:c>
      <x:c r="E100" s="22" t="str">
        <x:v>topic-04</x:v>
      </x:c>
      <x:c r="F100" s="22" t="str">
        <x:v>topic-04</x:v>
      </x:c>
      <x:c r="G100" s="22" t="str">
        <x:v>中</x:v>
      </x:c>
      <x:c r="H100" s="22" t="str">
        <x:v>高</x:v>
      </x:c>
      <x:c r="I100" s="22" t="n">
        <x:v>2.1019167835437123</x:v>
      </x:c>
      <x:c r="J100" s="22" t="n">
        <x:v>3.8638281549673956</x:v>
      </x:c>
      <x:c r="K100" s="22" t="n">
        <x:v>1.7619113714236834</x:v>
      </x:c>
      <x:c r="L100" s="22" t="str">
        <x:v>[3]</x:v>
      </x:c>
      <x:c r="M100" s="22" t="str">
        <x:v>[13]</x:v>
      </x:c>
      <x:c r="N100" s="28" t="str">
        <x:v>先对原始非负数据做一次累加，把原来跳动很大的序列变得更平滑</x:v>
      </x:c>
      <x:c r="O100" s="28" t="str">
        <x:v>1. 如果要改进 GM(1,1)，我会做的几类创新尝试
（1）先把“平滑这一步”做得更聪明一点</x:v>
      </x:c>
      <x:c r="P100" s="22" t="str">
        <x:v>2025秋:2025秋-数学模型-问答记录导出20260502导出_已标注_已更新.xlsx:问答记录:410</x:v>
      </x:c>
      <x:c r="Q100" s="22" t="str">
        <x:v>evidence/valid_dialogues.jsonl:95</x:v>
      </x:c>
    </x:row>
    <x:row r="101" ht="85" customHeight="1">
      <x:c r="A101" s="21" t="str">
        <x:v>2025秋:259335</x:v>
      </x:c>
      <x:c r="B101" s="22" t="str">
        <x:v>S0299</x:v>
      </x:c>
      <x:c r="C101" s="22" t="str">
        <x:v>概率统计与随机过程</x:v>
      </x:c>
      <x:c r="D101" s="22" t="str">
        <x:v>s3</x:v>
      </x:c>
      <x:c r="E101" s="22" t="str">
        <x:v>topic-04</x:v>
      </x:c>
      <x:c r="F101" s="22" t="str">
        <x:v>topic-04</x:v>
      </x:c>
      <x:c r="G101" s="22" t="str">
        <x:v>低</x:v>
      </x:c>
      <x:c r="H101" s="22" t="str">
        <x:v>高</x:v>
      </x:c>
      <x:c r="I101" s="22" t="n">
        <x:v>1.5243589743589745</x:v>
      </x:c>
      <x:c r="J101" s="22" t="n">
        <x:v>4.087750958718701</x:v>
      </x:c>
      <x:c r="K101" s="22" t="n">
        <x:v>2.5633919843597264</x:v>
      </x:c>
      <x:c r="L101" s="22" t="str">
        <x:v>[3]</x:v>
      </x:c>
      <x:c r="M101" s="22" t="str">
        <x:v>[11]</x:v>
      </x:c>
      <x:c r="N101" s="28" t="str">
        <x:v>存在一种正相关且近似线性的关系</x:v>
      </x:c>
      <x:c r="O101" s="28" t="str">
        <x:v>当比较两个不同区域的模型时，截距的差异能直观反映“地段基础价值”的高低。例如，市中心模型的截距可能远高于郊区，即便它们的斜率相似。</x:v>
      </x:c>
      <x:c r="P101" s="22" t="str">
        <x:v>2025秋:2025秋-数学模型-问答记录导出20260502导出_已标注_已更新.xlsx:问答记录:307</x:v>
      </x:c>
      <x:c r="Q101" s="22" t="str">
        <x:v>evidence/valid_dialogues.jsonl:96</x:v>
      </x:c>
    </x:row>
    <x:row r="102" ht="85" customHeight="1">
      <x:c r="A102" s="21" t="str">
        <x:v>2025秋:259336</x:v>
      </x:c>
      <x:c r="B102" s="22" t="str">
        <x:v>S0286</x:v>
      </x:c>
      <x:c r="C102" s="22" t="str">
        <x:v>优化与运筹</x:v>
      </x:c>
      <x:c r="D102" s="22" t="str">
        <x:v>s3</x:v>
      </x:c>
      <x:c r="E102" s="22" t="str">
        <x:v>topic-01</x:v>
      </x:c>
      <x:c r="F102" s="22" t="str">
        <x:v>topic-01</x:v>
      </x:c>
      <x:c r="G102" s="22" t="str">
        <x:v>中</x:v>
      </x:c>
      <x:c r="H102" s="22" t="str">
        <x:v>高</x:v>
      </x:c>
      <x:c r="I102" s="22" t="n">
        <x:v>2.040922619047619</x:v>
      </x:c>
      <x:c r="J102" s="22" t="n">
        <x:v>3.9503444998812065</x:v>
      </x:c>
      <x:c r="K102" s="22" t="n">
        <x:v>1.9094218808335874</x:v>
      </x:c>
      <x:c r="L102" s="22" t="str">
        <x:v>[3]</x:v>
      </x:c>
      <x:c r="M102" s="22" t="str">
        <x:v>[15]</x:v>
      </x:c>
      <x:c r="N102" s="28" t="str">
        <x:v>非线性系统的最优控制问题，状态方程含变量乘积</x:v>
      </x:c>
      <x:c r="O102" s="28" t="str">
        <x:v>第一步，需要维度约简 ，先识别关键维度，砍掉 “无效维度”；第二步：用低差异抽样替代均匀抽样，先</x:v>
      </x:c>
      <x:c r="P102" s="22" t="str">
        <x:v>2025秋:2025秋-数学模型-问答记录导出20260502导出_已标注_已更新.xlsx:问答记录:294</x:v>
      </x:c>
      <x:c r="Q102" s="22" t="str">
        <x:v>evidence/valid_dialogues.jsonl:97</x:v>
      </x:c>
    </x:row>
    <x:row r="103" ht="85" customHeight="1">
      <x:c r="A103" s="21" t="str">
        <x:v>2025秋:259339</x:v>
      </x:c>
      <x:c r="B103" s="22" t="str">
        <x:v>S0119</x:v>
      </x:c>
      <x:c r="C103" s="22" t="str">
        <x:v>微分方程与动态系统</x:v>
      </x:c>
      <x:c r="D103" s="22" t="str">
        <x:v>s3</x:v>
      </x:c>
      <x:c r="E103" s="22" t="str">
        <x:v>topic-03</x:v>
      </x:c>
      <x:c r="F103" s="22" t="str">
        <x:v>topic-03</x:v>
      </x:c>
      <x:c r="G103" s="22" t="str">
        <x:v>中</x:v>
      </x:c>
      <x:c r="H103" s="22" t="str">
        <x:v>高</x:v>
      </x:c>
      <x:c r="I103" s="22" t="n">
        <x:v>2.0730282375851994</x:v>
      </x:c>
      <x:c r="J103" s="22" t="n">
        <x:v>3.5036764705882355</x:v>
      </x:c>
      <x:c r="K103" s="22" t="n">
        <x:v>1.4306482330030361</x:v>
      </x:c>
      <x:c r="L103" s="22" t="str">
        <x:v>[3]</x:v>
      </x:c>
      <x:c r="M103" s="22" t="str">
        <x:v>[9]</x:v>
      </x:c>
      <x:c r="N103" s="28" t="str">
        <x:v>他是一个描述某个量随时间变化率的方程，像指数增长这样的简单模型可以用微分方程表示</x:v>
      </x:c>
      <x:c r="O103" s="28" t="str">
        <x:v>这解释了为什么公共卫生政策的核心目标，就是通过降低接触率（减小β）或接种疫苗（减小S₀）等手段，将有效再生数压低到1以下。</x:v>
      </x:c>
      <x:c r="P103" s="22" t="str">
        <x:v>2025秋:2025秋-数学模型-问答记录导出20260502导出_已标注_已更新.xlsx:问答记录:122</x:v>
      </x:c>
      <x:c r="Q103" s="22" t="str">
        <x:v>evidence/valid_dialogues.jsonl:98</x:v>
      </x:c>
    </x:row>
    <x:row r="104" ht="85" customHeight="1">
      <x:c r="A104" s="21" t="str">
        <x:v>2025秋:259342</x:v>
      </x:c>
      <x:c r="B104" s="22" t="str">
        <x:v>S0177</x:v>
      </x:c>
      <x:c r="C104" s="22" t="str">
        <x:v>微分方程与动态系统</x:v>
      </x:c>
      <x:c r="D104" s="22" t="str">
        <x:v>s3</x:v>
      </x:c>
      <x:c r="E104" s="22" t="str">
        <x:v>topic-03</x:v>
      </x:c>
      <x:c r="F104" s="22" t="str">
        <x:v>topic-03</x:v>
      </x:c>
      <x:c r="G104" s="22" t="str">
        <x:v>高</x:v>
      </x:c>
      <x:c r="H104" s="22" t="str">
        <x:v>高</x:v>
      </x:c>
      <x:c r="I104" s="22" t="n">
        <x:v>3.48109243697479</x:v>
      </x:c>
      <x:c r="J104" s="22" t="n">
        <x:v>3.48109243697479</x:v>
      </x:c>
      <x:c r="K104" s="22" t="n">
        <x:v>0</x:v>
      </x:c>
      <x:c r="L104" s="22" t="str">
        <x:v>[3]</x:v>
      </x:c>
      <x:c r="M104" s="22" t="str">
        <x:v>[7]</x:v>
      </x:c>
      <x:c r="N104" s="28" t="str">
        <x:v>每年的增长数，是按 “上一年的总人数” 算的，不是按最初的 100 人算。</x:v>
      </x:c>
      <x:c r="O104" s="28" t="str">
        <x:v>人口快到 “天花板”时：N 很大，抑制作用快抵消完最大增长潜力a，r 接近 0，人口就不怎么涨了，稳定在一个合理范围；</x:v>
      </x:c>
      <x:c r="P104" s="22" t="str">
        <x:v>2025秋:2025秋-数学模型-问答记录导出20260502导出_已标注_已更新.xlsx:问答记录:180</x:v>
      </x:c>
      <x:c r="Q104" s="22" t="str">
        <x:v>evidence/valid_dialogues.jsonl:99</x:v>
      </x:c>
    </x:row>
    <x:row r="105" ht="85" customHeight="1">
      <x:c r="A105" s="21" t="str">
        <x:v>2025秋:259346</x:v>
      </x:c>
      <x:c r="B105" s="22" t="str">
        <x:v>S0672</x:v>
      </x:c>
      <x:c r="C105" s="22" t="str">
        <x:v>优化与运筹</x:v>
      </x:c>
      <x:c r="D105" s="22" t="str">
        <x:v>s3</x:v>
      </x:c>
      <x:c r="E105" s="22" t="str">
        <x:v>topic-01</x:v>
      </x:c>
      <x:c r="F105" s="22" t="str">
        <x:v>topic-01</x:v>
      </x:c>
      <x:c r="G105" s="22" t="str">
        <x:v>中</x:v>
      </x:c>
      <x:c r="H105" s="22" t="str">
        <x:v>中</x:v>
      </x:c>
      <x:c r="I105" s="22" t="n">
        <x:v>2.1268939393939394</x:v>
      </x:c>
      <x:c r="J105" s="22" t="n">
        <x:v>2.1268939393939394</x:v>
      </x:c>
      <x:c r="K105" s="22" t="n">
        <x:v>0</x:v>
      </x:c>
      <x:c r="L105" s="22" t="str">
        <x:v>[3]</x:v>
      </x:c>
      <x:c r="M105" s="22" t="str">
        <x:v>[3]</x:v>
      </x:c>
      <x:c r="N105" s="28" t="str">
        <x:v>蚁群算法中信息素的挥发系数和启发函数权重是关键参数，参数调整会直接影响算法的收敛速度和寻优精度。</x:v>
      </x:c>
      <x:c r="O105" s="28" t="str">
        <x:v>蚁群算法中信息素的挥发系数和启发函数权重是关键参数，参数调整会直接影响算法的收敛速度和寻优精度。</x:v>
      </x:c>
      <x:c r="P105" s="22" t="str">
        <x:v>2025秋:2025秋-数学模型-问答记录导出20260502导出_已标注_已更新.xlsx:问答记录:698</x:v>
      </x:c>
      <x:c r="Q105" s="22" t="str">
        <x:v>evidence/valid_dialogues.jsonl:100</x:v>
      </x:c>
    </x:row>
    <x:row r="106" ht="85" customHeight="1">
      <x:c r="A106" s="21" t="str">
        <x:v>2025秋:259400</x:v>
      </x:c>
      <x:c r="B106" s="22" t="str">
        <x:v>S0343</x:v>
      </x:c>
      <x:c r="C106" s="22" t="str">
        <x:v>数值计算与科学计算</x:v>
      </x:c>
      <x:c r="D106" s="22" t="str">
        <x:v>s3</x:v>
      </x:c>
      <x:c r="E106" s="22" t="str">
        <x:v>topic-05</x:v>
      </x:c>
      <x:c r="F106" s="22" t="str">
        <x:v>topic-05</x:v>
      </x:c>
      <x:c r="G106" s="22" t="str">
        <x:v>低</x:v>
      </x:c>
      <x:c r="H106" s="22" t="str">
        <x:v>中</x:v>
      </x:c>
      <x:c r="I106" s="22" t="n">
        <x:v>1.3550295857988164</x:v>
      </x:c>
      <x:c r="J106" s="22" t="n">
        <x:v>1.9782135076252725</x:v>
      </x:c>
      <x:c r="K106" s="22" t="n">
        <x:v>0.6231839218264561</x:v>
      </x:c>
      <x:c r="L106" s="22" t="str">
        <x:v>[3]</x:v>
      </x:c>
      <x:c r="M106" s="22" t="str">
        <x:v>[11]</x:v>
      </x:c>
      <x:c r="N106" s="28" t="str">
        <x:v>一个二次函数吧</x:v>
      </x:c>
      <x:c r="O106" s="28" t="str">
        <x:v>新加入的节点与前面的低次项无关</x:v>
      </x:c>
      <x:c r="P106" s="22" t="str">
        <x:v>2025秋:2025秋-数学模型-问答记录导出20260502导出_已标注_已更新.xlsx:问答记录:351</x:v>
      </x:c>
      <x:c r="Q106" s="22" t="str">
        <x:v>evidence/valid_dialogues.jsonl:101</x:v>
      </x:c>
    </x:row>
    <x:row r="107" ht="85" customHeight="1">
      <x:c r="A107" s="21" t="str">
        <x:v>2025秋:259401</x:v>
      </x:c>
      <x:c r="B107" s="22" t="str">
        <x:v>S0378</x:v>
      </x:c>
      <x:c r="C107" s="22" t="str">
        <x:v>优化与运筹</x:v>
      </x:c>
      <x:c r="D107" s="22" t="str">
        <x:v>s3</x:v>
      </x:c>
      <x:c r="E107" s="22" t="str">
        <x:v>topic-01</x:v>
      </x:c>
      <x:c r="F107" s="22" t="str">
        <x:v>topic-01</x:v>
      </x:c>
      <x:c r="G107" s="22" t="str">
        <x:v>低</x:v>
      </x:c>
      <x:c r="H107" s="22" t="str">
        <x:v>高</x:v>
      </x:c>
      <x:c r="I107" s="22" t="n">
        <x:v>1.4789319983312474</x:v>
      </x:c>
      <x:c r="J107" s="22" t="n">
        <x:v>3.9444831915190406</x:v>
      </x:c>
      <x:c r="K107" s="22" t="n">
        <x:v>2.4655511931877934</x:v>
      </x:c>
      <x:c r="L107" s="22" t="str">
        <x:v>[3]</x:v>
      </x:c>
      <x:c r="M107" s="22" t="str">
        <x:v>[9]</x:v>
      </x:c>
      <x:c r="N107" s="28" t="str">
        <x:v>它们依靠分泌的信息素</x:v>
      </x:c>
      <x:c r="O107" s="28" t="str">
        <x:v>都按最高浓度走可能造成拥堵，对于完成任务时该路线可能变为不是最优解，避免陷入局部最优</x:v>
      </x:c>
      <x:c r="P107" s="22" t="str">
        <x:v>2025秋:2025秋-数学模型-问答记录导出20260502导出_已标注_已更新.xlsx:问答记录:389</x:v>
      </x:c>
      <x:c r="Q107" s="22" t="str">
        <x:v>evidence/valid_dialogues.jsonl:102</x:v>
      </x:c>
    </x:row>
    <x:row r="108" ht="85" customHeight="1">
      <x:c r="A108" s="21" t="str">
        <x:v>2025秋:259403</x:v>
      </x:c>
      <x:c r="B108" s="22" t="str">
        <x:v>S0382</x:v>
      </x:c>
      <x:c r="C108" s="22" t="str">
        <x:v>优化与运筹</x:v>
      </x:c>
      <x:c r="D108" s="22" t="str">
        <x:v>s3</x:v>
      </x:c>
      <x:c r="E108" s="22" t="str">
        <x:v>topic-01</x:v>
      </x:c>
      <x:c r="F108" s="22" t="str">
        <x:v>topic-01</x:v>
      </x:c>
      <x:c r="G108" s="22" t="str">
        <x:v>中</x:v>
      </x:c>
      <x:c r="H108" s="22" t="str">
        <x:v>高</x:v>
      </x:c>
      <x:c r="I108" s="22" t="n">
        <x:v>2.0141467727674622</x:v>
      </x:c>
      <x:c r="J108" s="22" t="n">
        <x:v>3.9131968948482707</x:v>
      </x:c>
      <x:c r="K108" s="22" t="n">
        <x:v>1.8990501220808085</x:v>
      </x:c>
      <x:c r="L108" s="22" t="str">
        <x:v>[3]</x:v>
      </x:c>
      <x:c r="M108" s="22" t="str">
        <x:v>[13]</x:v>
      </x:c>
      <x:c r="N108" s="28" t="str">
        <x:v>在不超过背包容量的前提下，使放入物品的总价值最大</x:v>
      </x:c>
      <x:c r="O108" s="28" t="str">
        <x:v>学习规划中背包问题变量的评价与实操挑战  一、对核心变量的深度评价：并非“非黑即白”，需动态看待</x:v>
      </x:c>
      <x:c r="P108" s="22" t="str">
        <x:v>2025秋:2025秋-数学模型-问答记录导出20260502导出_已标注_已更新.xlsx:问答记录:393</x:v>
      </x:c>
      <x:c r="Q108" s="22" t="str">
        <x:v>evidence/valid_dialogues.jsonl:103</x:v>
      </x:c>
    </x:row>
    <x:row r="109" ht="85" customHeight="1">
      <x:c r="A109" s="21" t="str">
        <x:v>2025秋:259404</x:v>
      </x:c>
      <x:c r="B109" s="22" t="str">
        <x:v>S0293</x:v>
      </x:c>
      <x:c r="C109" s="22" t="str">
        <x:v>图论与网络</x:v>
      </x:c>
      <x:c r="D109" s="22" t="str">
        <x:v>s3</x:v>
      </x:c>
      <x:c r="E109" s="22" t="str">
        <x:v>topic-02</x:v>
      </x:c>
      <x:c r="F109" s="22" t="str">
        <x:v>topic-02</x:v>
      </x:c>
      <x:c r="G109" s="22" t="str">
        <x:v>中</x:v>
      </x:c>
      <x:c r="H109" s="22" t="str">
        <x:v>中</x:v>
      </x:c>
      <x:c r="I109" s="22" t="n">
        <x:v>2.0806100217864927</x:v>
      </x:c>
      <x:c r="J109" s="22" t="n">
        <x:v>2.0806100217864927</x:v>
      </x:c>
      <x:c r="K109" s="22" t="n">
        <x:v>0</x:v>
      </x:c>
      <x:c r="L109" s="22" t="str">
        <x:v>[3]</x:v>
      </x:c>
      <x:c r="M109" s="22" t="str">
        <x:v>[5]</x:v>
      </x:c>
      <x:c r="N109" s="28" t="str">
        <x:v>尽可能深地探索分支，直到到达末端，然后回溯并探索下一个分支。</x:v>
      </x:c>
      <x:c r="O109" s="28" t="str">
        <x:v>在寻找最短路径或层级遍历时BFS天然高效，而在拓扑排序或寻找连通分量时DFS则更为简洁</x:v>
      </x:c>
      <x:c r="P109" s="22" t="str">
        <x:v>2025秋:2025秋-数学模型-问答记录导出20260502导出_已标注_已更新.xlsx:问答记录:301</x:v>
      </x:c>
      <x:c r="Q109" s="22" t="str">
        <x:v>evidence/valid_dialogues.jsonl:104</x:v>
      </x:c>
    </x:row>
    <x:row r="110" ht="85" customHeight="1">
      <x:c r="A110" s="21" t="str">
        <x:v>2025秋:259405</x:v>
      </x:c>
      <x:c r="B110" s="22" t="str">
        <x:v>S0219</x:v>
      </x:c>
      <x:c r="C110" s="22" t="str">
        <x:v>优化与运筹</x:v>
      </x:c>
      <x:c r="D110" s="22" t="str">
        <x:v>s3</x:v>
      </x:c>
      <x:c r="E110" s="22" t="str">
        <x:v>topic-01</x:v>
      </x:c>
      <x:c r="F110" s="22" t="str">
        <x:v>topic-01</x:v>
      </x:c>
      <x:c r="G110" s="22" t="str">
        <x:v>中</x:v>
      </x:c>
      <x:c r="H110" s="22" t="str">
        <x:v>中</x:v>
      </x:c>
      <x:c r="I110" s="22" t="n">
        <x:v>2.1268939393939394</x:v>
      </x:c>
      <x:c r="J110" s="22" t="n">
        <x:v>2.1268939393939394</x:v>
      </x:c>
      <x:c r="K110" s="22" t="n">
        <x:v>0</x:v>
      </x:c>
      <x:c r="L110" s="22" t="str">
        <x:v>[3]</x:v>
      </x:c>
      <x:c r="M110" s="22" t="str">
        <x:v>[5]</x:v>
      </x:c>
      <x:c r="N110" s="28" t="str">
        <x:v>走距离目前为止最近的结点</x:v>
      </x:c>
      <x:c r="O110" s="28" t="str">
        <x:v>总路程远，没有实现全局最优</x:v>
      </x:c>
      <x:c r="P110" s="22" t="str">
        <x:v>2025秋:2025秋-数学模型-问答记录导出20260502导出_已标注_已更新.xlsx:问答记录:224</x:v>
      </x:c>
      <x:c r="Q110" s="22" t="str">
        <x:v>evidence/valid_dialogues.jsonl:105</x:v>
      </x:c>
    </x:row>
    <x:row r="111" ht="85" customHeight="1">
      <x:c r="A111" s="21" t="str">
        <x:v>2025秋:259407</x:v>
      </x:c>
      <x:c r="B111" s="22" t="str">
        <x:v>S0036</x:v>
      </x:c>
      <x:c r="C111" s="22" t="str">
        <x:v>优化与运筹</x:v>
      </x:c>
      <x:c r="D111" s="22" t="str">
        <x:v>s3</x:v>
      </x:c>
      <x:c r="E111" s="22" t="str">
        <x:v>topic-01</x:v>
      </x:c>
      <x:c r="F111" s="22" t="str">
        <x:v>topic-01</x:v>
      </x:c>
      <x:c r="G111" s="22" t="str">
        <x:v>低</x:v>
      </x:c>
      <x:c r="H111" s="22" t="str">
        <x:v>高</x:v>
      </x:c>
      <x:c r="I111" s="22" t="n">
        <x:v>1.4431818181818181</x:v>
      </x:c>
      <x:c r="J111" s="22" t="n">
        <x:v>3.95672131147541</x:v>
      </x:c>
      <x:c r="K111" s="22" t="n">
        <x:v>2.5135394932935915</x:v>
      </x:c>
      <x:c r="L111" s="22" t="str">
        <x:v>[3]</x:v>
      </x:c>
      <x:c r="M111" s="22" t="str">
        <x:v>[9]</x:v>
      </x:c>
      <x:c r="N111" s="28" t="str">
        <x:v>跳出局部最优</x:v>
      </x:c>
      <x:c r="O111" s="28" t="str">
        <x:v>降温太快：淬火效应；降温太慢：漫游效应；根本矛盾：计算效率 vs. 解的质量</x:v>
      </x:c>
      <x:c r="P111" s="22" t="str">
        <x:v>2025秋:2025秋-数学模型-问答记录导出20260502导出_已标注_已更新.xlsx:问答记录:38</x:v>
      </x:c>
      <x:c r="Q111" s="22" t="str">
        <x:v>evidence/valid_dialogues.jsonl:106</x:v>
      </x:c>
    </x:row>
    <x:row r="112" ht="85" customHeight="1">
      <x:c r="A112" s="21" t="str">
        <x:v>2025秋:259419</x:v>
      </x:c>
      <x:c r="B112" s="22" t="str">
        <x:v>S0056</x:v>
      </x:c>
      <x:c r="C112" s="22" t="str">
        <x:v>机器学习与人工智能</x:v>
      </x:c>
      <x:c r="D112" s="22" t="str">
        <x:v>s3</x:v>
      </x:c>
      <x:c r="E112" s="22" t="str">
        <x:v>topic-06</x:v>
      </x:c>
      <x:c r="F112" s="22" t="str">
        <x:v>topic-06</x:v>
      </x:c>
      <x:c r="G112" s="22" t="str">
        <x:v>中</x:v>
      </x:c>
      <x:c r="H112" s="22" t="str">
        <x:v>中</x:v>
      </x:c>
      <x:c r="I112" s="22" t="n">
        <x:v>2.1350124801452237</x:v>
      </x:c>
      <x:c r="J112" s="22" t="n">
        <x:v>2.1350124801452237</x:v>
      </x:c>
      <x:c r="K112" s="22" t="n">
        <x:v>0</x:v>
      </x:c>
      <x:c r="L112" s="22" t="str">
        <x:v>[3]</x:v>
      </x:c>
      <x:c r="M112" s="22" t="str">
        <x:v>[3]</x:v>
      </x:c>
      <x:c r="N112" s="28" t="str">
        <x:v>依据历史数据建立一个用房屋特征估计成交价格的模型，获取新房子的房屋特征，带入模型估计价格</x:v>
      </x:c>
      <x:c r="O112" s="28" t="str">
        <x:v>获取新房子的房屋特征，带入模型估计价格</x:v>
      </x:c>
      <x:c r="P112" s="22" t="str">
        <x:v>2025秋:2025秋-数学模型-问答记录导出20260502导出_已标注_已更新.xlsx:问答记录:58</x:v>
      </x:c>
      <x:c r="Q112" s="22" t="str">
        <x:v>evidence/valid_dialogues.jsonl:107</x:v>
      </x:c>
    </x:row>
    <x:row r="113" ht="85" customHeight="1">
      <x:c r="A113" s="21" t="str">
        <x:v>2025秋:259422</x:v>
      </x:c>
      <x:c r="B113" s="22" t="str">
        <x:v>S0421</x:v>
      </x:c>
      <x:c r="C113" s="22" t="str">
        <x:v>概率统计与随机过程</x:v>
      </x:c>
      <x:c r="D113" s="22" t="str">
        <x:v>s3</x:v>
      </x:c>
      <x:c r="E113" s="22" t="str">
        <x:v>topic-04</x:v>
      </x:c>
      <x:c r="F113" s="22" t="str">
        <x:v>topic-04</x:v>
      </x:c>
      <x:c r="G113" s="22" t="str">
        <x:v>中</x:v>
      </x:c>
      <x:c r="H113" s="22" t="str">
        <x:v>中</x:v>
      </x:c>
      <x:c r="I113" s="22" t="n">
        <x:v>2.127473021582734</x:v>
      </x:c>
      <x:c r="J113" s="22" t="n">
        <x:v>2.127473021582734</x:v>
      </x:c>
      <x:c r="K113" s="22" t="n">
        <x:v>0</x:v>
      </x:c>
      <x:c r="L113" s="22" t="str">
        <x:v>[3]</x:v>
      </x:c>
      <x:c r="M113" s="22" t="str">
        <x:v>[5]</x:v>
      </x:c>
      <x:c r="N113" s="28" t="str">
        <x:v>平方和还具有良好的数学性质，使得目标函数连续可导，便于优化过程中的求解</x:v>
      </x:c>
      <x:c r="O113" s="28" t="str">
        <x:v>最小二乘的二次形式是不是在求解析解或者计算梯度下降时可提供便利？</x:v>
      </x:c>
      <x:c r="P113" s="22" t="str">
        <x:v>2025秋:2025秋-数学模型-问答记录导出20260502导出_已标注_已更新.xlsx:问答记录:432</x:v>
      </x:c>
      <x:c r="Q113" s="22" t="str">
        <x:v>evidence/valid_dialogues.jsonl:108</x:v>
      </x:c>
    </x:row>
    <x:row r="114" ht="85" customHeight="1">
      <x:c r="A114" s="21" t="str">
        <x:v>2025秋:259425</x:v>
      </x:c>
      <x:c r="B114" s="22" t="str">
        <x:v>S0037</x:v>
      </x:c>
      <x:c r="C114" s="22" t="str">
        <x:v>概率统计与随机过程</x:v>
      </x:c>
      <x:c r="D114" s="22" t="str">
        <x:v>s3</x:v>
      </x:c>
      <x:c r="E114" s="22" t="str">
        <x:v>topic-04</x:v>
      </x:c>
      <x:c r="F114" s="22" t="str">
        <x:v>topic-04</x:v>
      </x:c>
      <x:c r="G114" s="22" t="str">
        <x:v>中</x:v>
      </x:c>
      <x:c r="H114" s="22" t="str">
        <x:v>高</x:v>
      </x:c>
      <x:c r="I114" s="22" t="n">
        <x:v>2.1909774436090226</x:v>
      </x:c>
      <x:c r="J114" s="22" t="n">
        <x:v>3.9827956989247313</x:v>
      </x:c>
      <x:c r="K114" s="22" t="n">
        <x:v>1.7918182553157087</x:v>
      </x:c>
      <x:c r="L114" s="22" t="str">
        <x:v>[3]</x:v>
      </x:c>
      <x:c r="M114" s="22" t="str">
        <x:v>[9]</x:v>
      </x:c>
      <x:c r="N114" s="28" t="str">
        <x:v>将一个难以直接计算的确定性问题（如池塘面积），转化为一个可以通过随机抽样进行统计估计的概率问题</x:v>
      </x:c>
      <x:c r="O114" s="28" t="str">
        <x:v>通过构造一个概率统计模型，使得待求解的量恰好等于某个随机变量的数学期望。</x:v>
      </x:c>
      <x:c r="P114" s="22" t="str">
        <x:v>2025秋:2025秋-数学模型-问答记录导出20260502导出_已标注_已更新.xlsx:问答记录:39</x:v>
      </x:c>
      <x:c r="Q114" s="22" t="str">
        <x:v>evidence/valid_dialogues.jsonl:109</x:v>
      </x:c>
    </x:row>
    <x:row r="115" ht="85" customHeight="1">
      <x:c r="A115" s="21" t="str">
        <x:v>2025秋:259430</x:v>
      </x:c>
      <x:c r="B115" s="22" t="str">
        <x:v>S0181</x:v>
      </x:c>
      <x:c r="C115" s="22" t="str">
        <x:v>优化与运筹</x:v>
      </x:c>
      <x:c r="D115" s="22" t="str">
        <x:v>s3</x:v>
      </x:c>
      <x:c r="E115" s="22" t="str">
        <x:v>topic-01</x:v>
      </x:c>
      <x:c r="F115" s="22" t="str">
        <x:v>topic-01</x:v>
      </x:c>
      <x:c r="G115" s="22" t="str">
        <x:v>中</x:v>
      </x:c>
      <x:c r="H115" s="22" t="str">
        <x:v>中</x:v>
      </x:c>
      <x:c r="I115" s="22" t="n">
        <x:v>2.040922619047619</x:v>
      </x:c>
      <x:c r="J115" s="22" t="n">
        <x:v>2.040922619047619</x:v>
      </x:c>
      <x:c r="K115" s="22" t="n">
        <x:v>0</x:v>
      </x:c>
      <x:c r="L115" s="22" t="str">
        <x:v>[3]</x:v>
      </x:c>
      <x:c r="M115" s="22" t="str">
        <x:v>[7]</x:v>
      </x:c>
      <x:c r="N115" s="28" t="str">
        <x:v>将大问题拆解为小问题，并保存已解决的子问题的结果，以便在需要时直接使用，避免重复计算。</x:v>
      </x:c>
      <x:c r="O115" s="28" t="str">
        <x:v>只有当这三个条件都具备时，动态规划才能真正有效地工作，避免重复计算，节省时间和空间复杂度</x:v>
      </x:c>
      <x:c r="P115" s="22" t="str">
        <x:v>2025秋:2025秋-数学模型-问答记录导出20260502导出_已标注_已更新.xlsx:问答记录:184</x:v>
      </x:c>
      <x:c r="Q115" s="22" t="str">
        <x:v>evidence/valid_dialogues.jsonl:110</x:v>
      </x:c>
    </x:row>
    <x:row r="116" ht="85" customHeight="1">
      <x:c r="A116" s="21" t="str">
        <x:v>2025秋:259431</x:v>
      </x:c>
      <x:c r="B116" s="22" t="str">
        <x:v>S0500</x:v>
      </x:c>
      <x:c r="C116" s="22" t="str">
        <x:v>优化与运筹</x:v>
      </x:c>
      <x:c r="D116" s="22" t="str">
        <x:v>s3</x:v>
      </x:c>
      <x:c r="E116" s="22" t="str">
        <x:v>topic-01</x:v>
      </x:c>
      <x:c r="F116" s="22" t="str">
        <x:v>topic-01</x:v>
      </x:c>
      <x:c r="G116" s="22" t="str">
        <x:v>中</x:v>
      </x:c>
      <x:c r="H116" s="22" t="str">
        <x:v>中</x:v>
      </x:c>
      <x:c r="I116" s="22" t="n">
        <x:v>2.040922619047619</x:v>
      </x:c>
      <x:c r="J116" s="22" t="n">
        <x:v>2.040922619047619</x:v>
      </x:c>
      <x:c r="K116" s="22" t="n">
        <x:v>0</x:v>
      </x:c>
      <x:c r="L116" s="22" t="str">
        <x:v>[3]</x:v>
      </x:c>
      <x:c r="M116" s="22" t="str">
        <x:v>[7]</x:v>
      </x:c>
      <x:c r="N116" s="28" t="str">
        <x:v>把大问题分解成小问题，通过解决小问题来解决大问题，并且避免重复计算。</x:v>
      </x:c>
      <x:c r="O116" s="28" t="str">
        <x:v>第2步：发现问题 → "咦，到A点会被算很多次！" 第4步：设计复用 → "那我用公式：f(山顶) = min(f(A)+5, f(B)+7...)" 第6步：规划顺序 → "先算A、B，再算山顶" 第7步：执行存储 → "把f(A)=10记下来，需要时直接用"</x:v>
      </x:c>
      <x:c r="P116" s="22" t="str">
        <x:v>2025秋:2025秋-数学模型-问答记录导出20260502导出_已标注_已更新.xlsx:问答记录:512</x:v>
      </x:c>
      <x:c r="Q116" s="22" t="str">
        <x:v>evidence/valid_dialogues.jsonl:111</x:v>
      </x:c>
    </x:row>
    <x:row r="117" ht="85" customHeight="1">
      <x:c r="A117" s="21" t="str">
        <x:v>2025秋:259437</x:v>
      </x:c>
      <x:c r="B117" s="22" t="str">
        <x:v>S0384</x:v>
      </x:c>
      <x:c r="C117" s="22" t="str">
        <x:v>机器学习与人工智能</x:v>
      </x:c>
      <x:c r="D117" s="22" t="str">
        <x:v>s3</x:v>
      </x:c>
      <x:c r="E117" s="22" t="str">
        <x:v>topic-06</x:v>
      </x:c>
      <x:c r="F117" s="22" t="str">
        <x:v>topic-06</x:v>
      </x:c>
      <x:c r="G117" s="22" t="str">
        <x:v>中</x:v>
      </x:c>
      <x:c r="H117" s="22" t="str">
        <x:v>高</x:v>
      </x:c>
      <x:c r="I117" s="22" t="n">
        <x:v>2.282051282051282</x:v>
      </x:c>
      <x:c r="J117" s="22" t="n">
        <x:v>3.905597014925373</x:v>
      </x:c>
      <x:c r="K117" s="22" t="n">
        <x:v>1.6235457328740912</x:v>
      </x:c>
      <x:c r="L117" s="22" t="str">
        <x:v>[3]</x:v>
      </x:c>
      <x:c r="M117" s="22" t="str">
        <x:v>[9]</x:v>
      </x:c>
      <x:c r="N117" s="28" t="str">
        <x:v>通过最大化分类间隔来寻找最优决策超平面的模型，而该超平面的位置仅由少数关键的支持向量所决定。</x:v>
      </x:c>
      <x:c r="O117" s="28" t="str">
        <x:v>一、SVM模型面临的关键变量：  岩土参数：如粘聚力、内摩擦角，是核心但难以精确获取的输入。  </x:v>
      </x:c>
      <x:c r="P117" s="22" t="str">
        <x:v>2025秋:2025秋-数学模型-问答记录导出20260502导出_已标注_已更新.xlsx:问答记录:395</x:v>
      </x:c>
      <x:c r="Q117" s="22" t="str">
        <x:v>evidence/valid_dialogues.jsonl:112</x:v>
      </x:c>
    </x:row>
    <x:row r="118" ht="85" customHeight="1">
      <x:c r="A118" s="21" t="str">
        <x:v>2025秋:259437</x:v>
      </x:c>
      <x:c r="B118" s="22" t="str">
        <x:v>S0187</x:v>
      </x:c>
      <x:c r="C118" s="22" t="str">
        <x:v>数值计算与科学计算</x:v>
      </x:c>
      <x:c r="D118" s="22" t="str">
        <x:v>s3</x:v>
      </x:c>
      <x:c r="E118" s="22" t="str">
        <x:v>topic-05</x:v>
      </x:c>
      <x:c r="F118" s="22" t="str">
        <x:v>topic-05</x:v>
      </x:c>
      <x:c r="G118" s="22" t="str">
        <x:v>高</x:v>
      </x:c>
      <x:c r="H118" s="22" t="str">
        <x:v>高</x:v>
      </x:c>
      <x:c r="I118" s="22" t="n">
        <x:v>2.8145035792094615</x:v>
      </x:c>
      <x:c r="J118" s="22" t="n">
        <x:v>2.8145035792094615</x:v>
      </x:c>
      <x:c r="K118" s="22" t="n">
        <x:v>0</x:v>
      </x:c>
      <x:c r="L118" s="22" t="str">
        <x:v>[3]</x:v>
      </x:c>
      <x:c r="M118" s="22" t="str">
        <x:v>[7]</x:v>
      </x:c>
      <x:c r="N118" s="28" t="str">
        <x:v>当多项式次数较低时（比如1次：直线，2次：抛物线），其参数有比较清晰的物理意义。
一次项系数可能代表温度的变化速率。</x:v>
      </x:c>
      <x:c r="O118" s="28" t="str">
        <x:v>8次模型可能在训练集上R²=0.98，但在未见过的测试集上性能会急剧下降，而3次模型表现则更稳定。</x:v>
      </x:c>
      <x:c r="P118" s="22" t="str">
        <x:v>2025秋:2025秋-数学模型-问答记录导出20260502导出_已标注_已更新.xlsx:问答记录:190</x:v>
      </x:c>
      <x:c r="Q118" s="22" t="str">
        <x:v>evidence/valid_dialogues.jsonl:113</x:v>
      </x:c>
    </x:row>
    <x:row r="119" ht="85" customHeight="1">
      <x:c r="A119" s="21" t="str">
        <x:v>2025秋:259442</x:v>
      </x:c>
      <x:c r="B119" s="22" t="str">
        <x:v>S0497</x:v>
      </x:c>
      <x:c r="C119" s="22" t="str">
        <x:v>数学建模综合与案例</x:v>
      </x:c>
      <x:c r="D119" s="22" t="str">
        <x:v>s6</x:v>
      </x:c>
      <x:c r="E119" s="22" t="str">
        <x:v>topic-09</x:v>
      </x:c>
      <x:c r="F119" s="22" t="str">
        <x:v>topic-09</x:v>
      </x:c>
      <x:c r="G119" s="22" t="str">
        <x:v>L1</x:v>
      </x:c>
      <x:c r="H119" s="22" t="str">
        <x:v>L2</x:v>
      </x:c>
      <x:c r="I119" s="22" t="n">
        <x:v>1</x:v>
      </x:c>
      <x:c r="J119" s="22" t="n">
        <x:v>2</x:v>
      </x:c>
      <x:c r="K119" s="22" t="n">
        <x:v>1</x:v>
      </x:c>
      <x:c r="L119" s="22" t="str">
        <x:v>[3]</x:v>
      </x:c>
      <x:c r="M119" s="22" t="str">
        <x:v>[7]</x:v>
      </x:c>
      <x:c r="N119" s="28" t="str">
        <x:v>把实际问题转化为数学语言</x:v>
      </x:c>
      <x:c r="O119" s="28" t="str">
        <x:v>看这个工作时间是否会影响目标，并且这个时候可以控制可调整的</x:v>
      </x:c>
      <x:c r="P119" s="22" t="str">
        <x:v>2025秋:2025秋-数学模型-问答记录导出20260502导出_已标注_已更新.xlsx:问答记录:509</x:v>
      </x:c>
      <x:c r="Q119" s="22" t="str">
        <x:v>evidence/valid_dialogues.jsonl:114</x:v>
      </x:c>
    </x:row>
    <x:row r="120" ht="85" customHeight="1">
      <x:c r="A120" s="21" t="str">
        <x:v>2025秋:259449</x:v>
      </x:c>
      <x:c r="B120" s="22" t="str">
        <x:v>S0368</x:v>
      </x:c>
      <x:c r="C120" s="22" t="str">
        <x:v>数值计算与科学计算</x:v>
      </x:c>
      <x:c r="D120" s="22" t="str">
        <x:v>s3</x:v>
      </x:c>
      <x:c r="E120" s="22" t="str">
        <x:v>topic-05</x:v>
      </x:c>
      <x:c r="F120" s="22" t="str">
        <x:v>topic-05</x:v>
      </x:c>
      <x:c r="G120" s="22" t="str">
        <x:v>中</x:v>
      </x:c>
      <x:c r="H120" s="22" t="str">
        <x:v>高</x:v>
      </x:c>
      <x:c r="I120" s="22" t="n">
        <x:v>2.10727969348659</x:v>
      </x:c>
      <x:c r="J120" s="22" t="n">
        <x:v>2.780998389694042</x:v>
      </x:c>
      <x:c r="K120" s="22" t="n">
        <x:v>0.6737186962074517</x:v>
      </x:c>
      <x:c r="L120" s="22" t="str">
        <x:v>[3]</x:v>
      </x:c>
      <x:c r="M120" s="22" t="str">
        <x:v>[7]</x:v>
      </x:c>
      <x:c r="N120" s="28" t="str">
        <x:v>使其在已知点处严格满足观测值，同时在未知位置处给出符合数据整体趋势的估计</x:v>
      </x:c>
      <x:c r="O120" s="28" t="str">
        <x:v>当数据点较少、实时性要求高或只需粗略估计时选择线性插值，而当需要平滑曲线、保持连续变化特性且对计</x:v>
      </x:c>
      <x:c r="P120" s="22" t="str">
        <x:v>2025秋:2025秋-数学模型-问答记录导出20260502导出_已标注_已更新.xlsx:问答记录:379</x:v>
      </x:c>
      <x:c r="Q120" s="22" t="str">
        <x:v>evidence/valid_dialogues.jsonl:115</x:v>
      </x:c>
    </x:row>
    <x:row r="121" ht="85" customHeight="1">
      <x:c r="A121" s="21" t="str">
        <x:v>2025秋:259449</x:v>
      </x:c>
      <x:c r="B121" s="22" t="str">
        <x:v>S0418</x:v>
      </x:c>
      <x:c r="C121" s="22" t="str">
        <x:v>优化与运筹</x:v>
      </x:c>
      <x:c r="D121" s="22" t="str">
        <x:v>s3</x:v>
      </x:c>
      <x:c r="E121" s="22" t="str">
        <x:v>topic-01</x:v>
      </x:c>
      <x:c r="F121" s="22" t="str">
        <x:v>topic-01</x:v>
      </x:c>
      <x:c r="G121" s="22" t="str">
        <x:v>高</x:v>
      </x:c>
      <x:c r="H121" s="22" t="str">
        <x:v>高</x:v>
      </x:c>
      <x:c r="I121" s="22" t="n">
        <x:v>3.918001033057851</x:v>
      </x:c>
      <x:c r="J121" s="22" t="n">
        <x:v>3.918001033057851</x:v>
      </x:c>
      <x:c r="K121" s="22" t="n">
        <x:v>0</x:v>
      </x:c>
      <x:c r="L121" s="22" t="str">
        <x:v>[3]</x:v>
      </x:c>
      <x:c r="M121" s="22" t="str">
        <x:v>[13]</x:v>
      </x:c>
      <x:c r="N121" s="28" t="str">
        <x:v>需要考虑车辆容量、时间窗口、路径冲突以及城市交通条件等约束。</x:v>
      </x:c>
      <x:c r="O121" s="28" t="str">
        <x:v>实际应用中，合理控制“有限跨区调度”的关键是基于地理距离、车辆容量和潜在收益设定边界准则：通常只</x:v>
      </x:c>
      <x:c r="P121" s="22" t="str">
        <x:v>2025秋:2025秋-数学模型-问答记录导出20260502导出_已标注_已更新.xlsx:问答记录:429</x:v>
      </x:c>
      <x:c r="Q121" s="22" t="str">
        <x:v>evidence/valid_dialogues.jsonl:116</x:v>
      </x:c>
    </x:row>
    <x:row r="122" ht="85" customHeight="1">
      <x:c r="A122" s="21" t="str">
        <x:v>2025秋:259452</x:v>
      </x:c>
      <x:c r="B122" s="22" t="str">
        <x:v>S0501</x:v>
      </x:c>
      <x:c r="C122" s="22" t="str">
        <x:v>数值计算与科学计算</x:v>
      </x:c>
      <x:c r="D122" s="22" t="str">
        <x:v>s3</x:v>
      </x:c>
      <x:c r="E122" s="22" t="str">
        <x:v>topic-05</x:v>
      </x:c>
      <x:c r="F122" s="22" t="str">
        <x:v>topic-05</x:v>
      </x:c>
      <x:c r="G122" s="22" t="str">
        <x:v>中</x:v>
      </x:c>
      <x:c r="H122" s="22" t="str">
        <x:v>高</x:v>
      </x:c>
      <x:c r="I122" s="22" t="n">
        <x:v>2.129353233830846</x:v>
      </x:c>
      <x:c r="J122" s="22" t="n">
        <x:v>2.828522920203735</x:v>
      </x:c>
      <x:c r="K122" s="22" t="n">
        <x:v>0.6991696863728891</x:v>
      </x:c>
      <x:c r="L122" s="22" t="str">
        <x:v>[3]</x:v>
      </x:c>
      <x:c r="M122" s="22" t="str">
        <x:v>[7]</x:v>
      </x:c>
      <x:c r="N122" s="28" t="str">
        <x:v>通过构建特定函数使得该函数经过所有已知点，从而实现对未知点函数值估算</x:v>
      </x:c>
      <x:c r="O122" s="28" t="str">
        <x:v>其实我目前做科研是做多源融合的，其中进行时间同步的时候，各个数据频率不一致，所以需要用插值的方法去近似同步，这个也算应用场景吧</x:v>
      </x:c>
      <x:c r="P122" s="22" t="str">
        <x:v>2025秋:2025秋-数学模型-问答记录导出20260502导出_已标注_已更新.xlsx:问答记录:513</x:v>
      </x:c>
      <x:c r="Q122" s="22" t="str">
        <x:v>evidence/valid_dialogues.jsonl:117</x:v>
      </x:c>
    </x:row>
    <x:row r="123" ht="85" customHeight="1">
      <x:c r="A123" s="21" t="str">
        <x:v>2025秋:259778</x:v>
      </x:c>
      <x:c r="B123" s="22" t="str">
        <x:v>S0432</x:v>
      </x:c>
      <x:c r="C123" s="22" t="str">
        <x:v>优化与运筹</x:v>
      </x:c>
      <x:c r="D123" s="22" t="str">
        <x:v>s3</x:v>
      </x:c>
      <x:c r="E123" s="22" t="str">
        <x:v>topic-01</x:v>
      </x:c>
      <x:c r="F123" s="22" t="str">
        <x:v>topic-01</x:v>
      </x:c>
      <x:c r="G123" s="22" t="str">
        <x:v>中</x:v>
      </x:c>
      <x:c r="H123" s="22" t="str">
        <x:v>中</x:v>
      </x:c>
      <x:c r="I123" s="22" t="n">
        <x:v>2.051719238420006</x:v>
      </x:c>
      <x:c r="J123" s="22" t="n">
        <x:v>2.051719238420006</x:v>
      </x:c>
      <x:c r="K123" s="22" t="n">
        <x:v>0</x:v>
      </x:c>
      <x:c r="L123" s="22" t="str">
        <x:v>[3]</x:v>
      </x:c>
      <x:c r="M123" s="22" t="str">
        <x:v>[5]</x:v>
      </x:c>
      <x:c r="N123" s="28" t="str">
        <x:v>对单台平行机上的成批加工的工件确定最优的组批策略，优化目标为最小化单机制造跨度</x:v>
      </x:c>
      <x:c r="O123" s="28" t="str">
        <x:v>由于是平行批加工，肯定是这批工件中加工时间最长的那个工件决定</x:v>
      </x:c>
      <x:c r="P123" s="22" t="str">
        <x:v>2025秋:2025秋-数学模型-问答记录导出20260502导出_已标注_已更新.xlsx:问答记录:444</x:v>
      </x:c>
      <x:c r="Q123" s="22" t="str">
        <x:v>evidence/valid_dialogues.jsonl:118</x:v>
      </x:c>
    </x:row>
    <x:row r="124" ht="85" customHeight="1">
      <x:c r="A124" s="21" t="str">
        <x:v>2025秋:259778</x:v>
      </x:c>
      <x:c r="B124" s="22" t="str">
        <x:v>S0102</x:v>
      </x:c>
      <x:c r="C124" s="22" t="str">
        <x:v>优化与运筹</x:v>
      </x:c>
      <x:c r="D124" s="22" t="str">
        <x:v>s3</x:v>
      </x:c>
      <x:c r="E124" s="22" t="str">
        <x:v>topic-01</x:v>
      </x:c>
      <x:c r="F124" s="22" t="str">
        <x:v>topic-01</x:v>
      </x:c>
      <x:c r="G124" s="22" t="str">
        <x:v>中</x:v>
      </x:c>
      <x:c r="H124" s="22" t="str">
        <x:v>中</x:v>
      </x:c>
      <x:c r="I124" s="22" t="n">
        <x:v>2.051719238420006</x:v>
      </x:c>
      <x:c r="J124" s="22" t="n">
        <x:v>2.051719238420006</x:v>
      </x:c>
      <x:c r="K124" s="22" t="n">
        <x:v>0</x:v>
      </x:c>
      <x:c r="L124" s="22" t="str">
        <x:v>[3]</x:v>
      </x:c>
      <x:c r="M124" s="22" t="str">
        <x:v>[13]</x:v>
      </x:c>
      <x:c r="N124" s="28" t="str">
        <x:v>每到一个路口就是一个阶段，从这个路口选择下一个路口的过程则为决策</x:v>
      </x:c>
      <x:c r="O124" s="28" t="str">
        <x:v>动态规划的两种主要实现方式是自顶向下（Top-Down）和自底向上（Bottom-Up）。它们的核心区别在于计算顺序和实现方法</x:v>
      </x:c>
      <x:c r="P124" s="22" t="str">
        <x:v>2025秋:2025秋-数学模型-问答记录导出20260502导出_已标注_已更新.xlsx:问答记录:105</x:v>
      </x:c>
      <x:c r="Q124" s="22" t="str">
        <x:v>evidence/valid_dialogues.jsonl:119</x:v>
      </x:c>
    </x:row>
    <x:row r="125" ht="85" customHeight="1">
      <x:c r="A125" s="21" t="str">
        <x:v>2025秋:259789</x:v>
      </x:c>
      <x:c r="B125" s="22" t="str">
        <x:v>S0022</x:v>
      </x:c>
      <x:c r="C125" s="22" t="str">
        <x:v>概率统计与随机过程</x:v>
      </x:c>
      <x:c r="D125" s="22" t="str">
        <x:v>s3</x:v>
      </x:c>
      <x:c r="E125" s="22" t="str">
        <x:v>topic-04</x:v>
      </x:c>
      <x:c r="F125" s="22" t="str">
        <x:v>topic-04</x:v>
      </x:c>
      <x:c r="G125" s="22" t="str">
        <x:v>中</x:v>
      </x:c>
      <x:c r="H125" s="22" t="str">
        <x:v>高</x:v>
      </x:c>
      <x:c r="I125" s="22" t="n">
        <x:v>2.05982905982906</x:v>
      </x:c>
      <x:c r="J125" s="22" t="n">
        <x:v>3.8109393579072535</x:v>
      </x:c>
      <x:c r="K125" s="22" t="n">
        <x:v>1.7511102980781934</x:v>
      </x:c>
      <x:c r="L125" s="22" t="str">
        <x:v>[3]</x:v>
      </x:c>
      <x:c r="M125" s="22" t="str">
        <x:v>[7]</x:v>
      </x:c>
      <x:c r="N125" s="28" t="str">
        <x:v>研究并量化一个连续的因变量与两个或多个自变量之间的线性关系。</x:v>
      </x:c>
      <x:c r="O125" s="28" t="str">
        <x:v>我们需要利用“残差分析”等诊断工具来判断，比如检查残差是否随机分布、是否服从正态分布、是否存在异方差。</x:v>
      </x:c>
      <x:c r="P125" s="22" t="str">
        <x:v>2025秋:2025秋-数学模型-问答记录导出20260502导出_已标注_已更新.xlsx:问答记录:24</x:v>
      </x:c>
      <x:c r="Q125" s="22" t="str">
        <x:v>evidence/valid_dialogues.jsonl:120</x:v>
      </x:c>
    </x:row>
    <x:row r="126" ht="85" customHeight="1">
      <x:c r="A126" s="21" t="str">
        <x:v>2025秋:259790</x:v>
      </x:c>
      <x:c r="B126" s="22" t="str">
        <x:v>S0060</x:v>
      </x:c>
      <x:c r="C126" s="22" t="str">
        <x:v>概率统计与随机过程</x:v>
      </x:c>
      <x:c r="D126" s="22" t="str">
        <x:v>s3</x:v>
      </x:c>
      <x:c r="E126" s="22" t="str">
        <x:v>topic-04</x:v>
      </x:c>
      <x:c r="F126" s="22" t="str">
        <x:v>topic-04</x:v>
      </x:c>
      <x:c r="G126" s="22" t="str">
        <x:v>低</x:v>
      </x:c>
      <x:c r="H126" s="22" t="str">
        <x:v>高</x:v>
      </x:c>
      <x:c r="I126" s="22" t="n">
        <x:v>1.5573770491803278</x:v>
      </x:c>
      <x:c r="J126" s="22" t="n">
        <x:v>3.8109393579072535</x:v>
      </x:c>
      <x:c r="K126" s="22" t="n">
        <x:v>2.2535623087269254</x:v>
      </x:c>
      <x:c r="L126" s="22" t="str">
        <x:v>[3]</x:v>
      </x:c>
      <x:c r="M126" s="22" t="str">
        <x:v>[29]</x:v>
      </x:c>
      <x:c r="N126" s="28" t="str">
        <x:v>给材料设计工程师提供更佳准确的参考，大量减少了试错成本</x:v>
      </x:c>
      <x:c r="O126" s="28" t="str">
        <x:v>根据参数接收概率进行调整</x:v>
      </x:c>
      <x:c r="P126" s="22" t="str">
        <x:v>2025秋:2025秋-数学模型-问答记录导出20260502导出_已标注_已更新.xlsx:问答记录:63</x:v>
      </x:c>
      <x:c r="Q126" s="22" t="str">
        <x:v>evidence/valid_dialogues.jsonl:121</x:v>
      </x:c>
    </x:row>
    <x:row r="127" ht="85" customHeight="1">
      <x:c r="A127" s="21" t="str">
        <x:v>2025秋:259843</x:v>
      </x:c>
      <x:c r="B127" s="22" t="str">
        <x:v>S0080</x:v>
      </x:c>
      <x:c r="C127" s="22" t="str">
        <x:v>概率统计与随机过程</x:v>
      </x:c>
      <x:c r="D127" s="22" t="str">
        <x:v>s3</x:v>
      </x:c>
      <x:c r="E127" s="22" t="str">
        <x:v>topic-04</x:v>
      </x:c>
      <x:c r="F127" s="22" t="str">
        <x:v>topic-04</x:v>
      </x:c>
      <x:c r="G127" s="22" t="str">
        <x:v>低</x:v>
      </x:c>
      <x:c r="H127" s="22" t="str">
        <x:v>低</x:v>
      </x:c>
      <x:c r="I127" s="22" t="n">
        <x:v>1.555014605647517</x:v>
      </x:c>
      <x:c r="J127" s="22" t="n">
        <x:v>1.555014605647517</x:v>
      </x:c>
      <x:c r="K127" s="22" t="n">
        <x:v>0</x:v>
      </x:c>
      <x:c r="L127" s="22" t="str">
        <x:v>[3]</x:v>
      </x:c>
      <x:c r="M127" s="22" t="str">
        <x:v>[3]</x:v>
      </x:c>
      <x:c r="N127" s="28" t="str">
        <x:v>通过大量随机抽样的统计结果，来估算确定性问题的数值特征。</x:v>
      </x:c>
      <x:c r="O127" s="28" t="str">
        <x:v>通过大量随机抽样的统计结果，来估算确定性问题的数值特征。</x:v>
      </x:c>
      <x:c r="P127" s="22" t="str">
        <x:v>2025秋:2025秋-数学模型-问答记录导出20260502导出_已标注_已更新.xlsx:问答记录:83</x:v>
      </x:c>
      <x:c r="Q127" s="22" t="str">
        <x:v>evidence/valid_dialogues.jsonl:122</x:v>
      </x:c>
    </x:row>
    <x:row r="128" ht="85" customHeight="1">
      <x:c r="A128" s="21" t="str">
        <x:v>2025秋:259851</x:v>
      </x:c>
      <x:c r="B128" s="22" t="str">
        <x:v>S0057</x:v>
      </x:c>
      <x:c r="C128" s="22" t="str">
        <x:v>优化与运筹</x:v>
      </x:c>
      <x:c r="D128" s="22" t="str">
        <x:v>s3</x:v>
      </x:c>
      <x:c r="E128" s="22" t="str">
        <x:v>topic-01</x:v>
      </x:c>
      <x:c r="F128" s="22" t="str">
        <x:v>topic-01</x:v>
      </x:c>
      <x:c r="G128" s="22" t="str">
        <x:v>低</x:v>
      </x:c>
      <x:c r="H128" s="22" t="str">
        <x:v>中</x:v>
      </x:c>
      <x:c r="I128" s="22" t="n">
        <x:v>1.4780701754385965</x:v>
      </x:c>
      <x:c r="J128" s="22" t="n">
        <x:v>2.0141467727674622</x:v>
      </x:c>
      <x:c r="K128" s="22" t="n">
        <x:v>0.5360765973288657</x:v>
      </x:c>
      <x:c r="L128" s="22" t="str">
        <x:v>[3]</x:v>
      </x:c>
      <x:c r="M128" s="22" t="str">
        <x:v>[3]</x:v>
      </x:c>
      <x:c r="N128" s="28" t="str">
        <x:v>不回朔，不考虑未来影响</x:v>
      </x:c>
      <x:c r="O128" s="28" t="str">
        <x:v>每一步决策都选择当前局部最优的方案，不回朔，不考虑未来影响，期望通过一系列局部最优选择积累得到全局最优解</x:v>
      </x:c>
      <x:c r="P128" s="22" t="str">
        <x:v>2025秋:2025秋-数学模型-问答记录导出20260502导出_已标注_已更新.xlsx:问答记录:59</x:v>
      </x:c>
      <x:c r="Q128" s="22" t="str">
        <x:v>evidence/valid_dialogues.jsonl:123</x:v>
      </x:c>
    </x:row>
    <x:row r="129" ht="85" customHeight="1">
      <x:c r="A129" s="21" t="str">
        <x:v>2025秋:259854</x:v>
      </x:c>
      <x:c r="B129" s="22" t="str">
        <x:v>S0274</x:v>
      </x:c>
      <x:c r="C129" s="22" t="str">
        <x:v>机器学习与人工智能</x:v>
      </x:c>
      <x:c r="D129" s="22" t="str">
        <x:v>s3</x:v>
      </x:c>
      <x:c r="E129" s="22" t="str">
        <x:v>topic-06</x:v>
      </x:c>
      <x:c r="F129" s="22" t="str">
        <x:v>topic-06</x:v>
      </x:c>
      <x:c r="G129" s="22" t="str">
        <x:v>低</x:v>
      </x:c>
      <x:c r="H129" s="22" t="str">
        <x:v>中</x:v>
      </x:c>
      <x:c r="I129" s="22" t="n">
        <x:v>1.5021645021645023</x:v>
      </x:c>
      <x:c r="J129" s="22" t="n">
        <x:v>2.282051282051282</x:v>
      </x:c>
      <x:c r="K129" s="22" t="n">
        <x:v>0.7798867798867797</x:v>
      </x:c>
      <x:c r="L129" s="22" t="str">
        <x:v>[3]</x:v>
      </x:c>
      <x:c r="M129" s="22" t="str">
        <x:v>[7]</x:v>
      </x:c>
      <x:c r="N129" s="28" t="str">
        <x:v>存在至少一个超平面能够将两类样本完全无误地分隔在两侧。</x:v>
      </x:c>
      <x:c r="O129" s="28" t="str">
        <x:v>宽间隔意味着决策边界对输入数据的小扰动最不敏感，因此对新样本的分类结果最稳定、最可信。这是防止过</x:v>
      </x:c>
      <x:c r="P129" s="22" t="str">
        <x:v>2025秋:2025秋-数学模型-问答记录导出20260502导出_已标注_已更新.xlsx:问答记录:282</x:v>
      </x:c>
      <x:c r="Q129" s="22" t="str">
        <x:v>evidence/valid_dialogues.jsonl:124</x:v>
      </x:c>
    </x:row>
    <x:row r="130" ht="85" customHeight="1">
      <x:c r="A130" s="21" t="str">
        <x:v>2025秋:259863</x:v>
      </x:c>
      <x:c r="B130" s="22" t="str">
        <x:v>S0278</x:v>
      </x:c>
      <x:c r="C130" s="22" t="str">
        <x:v>微分方程与动态系统</x:v>
      </x:c>
      <x:c r="D130" s="22" t="str">
        <x:v>s3</x:v>
      </x:c>
      <x:c r="E130" s="22" t="str">
        <x:v>topic-03</x:v>
      </x:c>
      <x:c r="F130" s="22" t="str">
        <x:v>topic-03</x:v>
      </x:c>
      <x:c r="G130" s="22" t="str">
        <x:v>中</x:v>
      </x:c>
      <x:c r="H130" s="22" t="str">
        <x:v>高</x:v>
      </x:c>
      <x:c r="I130" s="22" t="n">
        <x:v>2.0730282375851994</x:v>
      </x:c>
      <x:c r="J130" s="22" t="n">
        <x:v>3.5036764705882355</x:v>
      </x:c>
      <x:c r="K130" s="22" t="n">
        <x:v>1.4306482330030361</x:v>
      </x:c>
      <x:c r="L130" s="22" t="str">
        <x:v>[3]</x:v>
      </x:c>
      <x:c r="M130" s="22" t="str">
        <x:v>[13]</x:v>
      </x:c>
      <x:c r="N130" s="28" t="str">
        <x:v>自然增长（出生率与死亡率）
2. 人口迁移（流入与流出）
3. 城市资源与环境承载能力</x:v>
      </x:c>
      <x:c r="O130" s="28" t="str">
        <x:v>会的，现实中的承载量 K 不是固定的，它是动态变化的。
在实际城市发展中，K 会随着环境、经济</x:v>
      </x:c>
      <x:c r="P130" s="22" t="str">
        <x:v>2025秋:2025秋-数学模型-问答记录导出20260502导出_已标注_已更新.xlsx:问答记录:286</x:v>
      </x:c>
      <x:c r="Q130" s="22" t="str">
        <x:v>evidence/valid_dialogues.jsonl:125</x:v>
      </x:c>
    </x:row>
    <x:row r="131" ht="85" customHeight="1">
      <x:c r="A131" s="21" t="str">
        <x:v>2025秋:259863</x:v>
      </x:c>
      <x:c r="B131" s="22" t="str">
        <x:v>S0268</x:v>
      </x:c>
      <x:c r="C131" s="22" t="str">
        <x:v>微分方程与动态系统</x:v>
      </x:c>
      <x:c r="D131" s="22" t="str">
        <x:v>s3</x:v>
      </x:c>
      <x:c r="E131" s="22" t="str">
        <x:v>topic-03</x:v>
      </x:c>
      <x:c r="F131" s="22" t="str">
        <x:v>topic-03</x:v>
      </x:c>
      <x:c r="G131" s="22" t="str">
        <x:v>高</x:v>
      </x:c>
      <x:c r="H131" s="22" t="str">
        <x:v>高</x:v>
      </x:c>
      <x:c r="I131" s="22" t="n">
        <x:v>3.5036764705882355</x:v>
      </x:c>
      <x:c r="J131" s="22" t="n">
        <x:v>3.5036764705882355</x:v>
      </x:c>
      <x:c r="K131" s="22" t="n">
        <x:v>0</x:v>
      </x:c>
      <x:c r="L131" s="22" t="str">
        <x:v>[3]</x:v>
      </x:c>
      <x:c r="M131" s="22" t="str">
        <x:v>[15]</x:v>
      </x:c>
      <x:c r="N131" s="28" t="str">
        <x:v>资源与环境承载能力：住房、土地、教育、交通是否充足会限制人口增长。</x:v>
      </x:c>
      <x:c r="O131" s="28" t="str">
        <x:v>S 型增长规律比指数模型更符合现实，因为指数增长只体现“越积越快”，而实际情况通常是“前期慢、中</x:v>
      </x:c>
      <x:c r="P131" s="22" t="str">
        <x:v>2025秋:2025秋-数学模型-问答记录导出20260502导出_已标注_已更新.xlsx:问答记录:276</x:v>
      </x:c>
      <x:c r="Q131" s="22" t="str">
        <x:v>evidence/valid_dialogues.jsonl:126</x:v>
      </x:c>
    </x:row>
    <x:row r="132" ht="85" customHeight="1">
      <x:c r="A132" s="21" t="str">
        <x:v>2025秋:259865</x:v>
      </x:c>
      <x:c r="B132" s="22" t="str">
        <x:v>S0397</x:v>
      </x:c>
      <x:c r="C132" s="22" t="str">
        <x:v>机器学习与人工智能</x:v>
      </x:c>
      <x:c r="D132" s="22" t="str">
        <x:v>s3</x:v>
      </x:c>
      <x:c r="E132" s="22" t="str">
        <x:v>topic-06</x:v>
      </x:c>
      <x:c r="F132" s="22" t="str">
        <x:v>topic-06</x:v>
      </x:c>
      <x:c r="G132" s="22" t="str">
        <x:v>中</x:v>
      </x:c>
      <x:c r="H132" s="22" t="str">
        <x:v>高</x:v>
      </x:c>
      <x:c r="I132" s="22" t="n">
        <x:v>2.282051282051282</x:v>
      </x:c>
      <x:c r="J132" s="22" t="n">
        <x:v>3.905597014925373</x:v>
      </x:c>
      <x:c r="K132" s="22" t="n">
        <x:v>1.6235457328740912</x:v>
      </x:c>
      <x:c r="L132" s="22" t="str">
        <x:v>[3]</x:v>
      </x:c>
      <x:c r="M132" s="22" t="str">
        <x:v>[7]</x:v>
      </x:c>
      <x:c r="N132" s="28" t="str">
        <x:v>沿着函数梯度（最陡峭下降）的反方向更新参数，从而最小化目标函数</x:v>
      </x:c>
      <x:c r="O132" s="28" t="str">
        <x:v>一个最经典的应用是在线性回归模型中优化模型参数。  场景设定：我们的目标是找到一个线性函数 y </x:v>
      </x:c>
      <x:c r="P132" s="22" t="str">
        <x:v>2025秋:2025秋-数学模型-问答记录导出20260502导出_已标注_已更新.xlsx:问答记录:408</x:v>
      </x:c>
      <x:c r="Q132" s="22" t="str">
        <x:v>evidence/valid_dialogues.jsonl:127</x:v>
      </x:c>
    </x:row>
    <x:row r="133" ht="85" customHeight="1">
      <x:c r="A133" s="21" t="str">
        <x:v>2025秋:259869</x:v>
      </x:c>
      <x:c r="B133" s="22" t="str">
        <x:v>S0220</x:v>
      </x:c>
      <x:c r="C133" s="22" t="str">
        <x:v>数学建模综合与案例</x:v>
      </x:c>
      <x:c r="D133" s="22" t="str">
        <x:v>s6</x:v>
      </x:c>
      <x:c r="E133" s="22" t="str">
        <x:v>topic-09</x:v>
      </x:c>
      <x:c r="F133" s="22" t="str">
        <x:v>topic-09</x:v>
      </x:c>
      <x:c r="G133" s="22" t="str">
        <x:v>L1</x:v>
      </x:c>
      <x:c r="H133" s="22" t="str">
        <x:v>L6</x:v>
      </x:c>
      <x:c r="I133" s="22" t="n">
        <x:v>1</x:v>
      </x:c>
      <x:c r="J133" s="22" t="n">
        <x:v>6</x:v>
      </x:c>
      <x:c r="K133" s="22" t="n">
        <x:v>5</x:v>
      </x:c>
      <x:c r="L133" s="22" t="str">
        <x:v>[3]</x:v>
      </x:c>
      <x:c r="M133" s="22" t="str">
        <x:v>[9]</x:v>
      </x:c>
      <x:c r="N133" s="28" t="str">
        <x:v>方向不变：速度方向恒定。</x:v>
      </x:c>
      <x:c r="O133" s="28" t="str">
        <x:v>一架无人机要能覆盖从点 i 到点 j 的航迹段，必须同时满足：
对于段内所有相邻点对：其计算出的速度都在 [120, 180] km/h 范围内。
对于段内所有连续三点：都满足“中点条件”。
知识库中的表格只提供了第一个条件（速度范围）的初步判断。
如何利用“是/否”矩阵优化贪心算法
这个“是/否”矩阵（我们称…</x:v>
      </x:c>
      <x:c r="P133" s="22" t="str">
        <x:v>2025秋:2025秋-数学模型-问答记录导出20260502导出_已标注_已更新.xlsx:问答记录:225</x:v>
      </x:c>
      <x:c r="Q133" s="22" t="str">
        <x:v>evidence/valid_dialogues.jsonl:128</x:v>
      </x:c>
    </x:row>
    <x:row r="134" ht="85" customHeight="1">
      <x:c r="A134" s="21" t="str">
        <x:v>2025秋:259873</x:v>
      </x:c>
      <x:c r="B134" s="22" t="str">
        <x:v>S0160</x:v>
      </x:c>
      <x:c r="C134" s="22" t="str">
        <x:v>机器学习与人工智能</x:v>
      </x:c>
      <x:c r="D134" s="22" t="str">
        <x:v>s3</x:v>
      </x:c>
      <x:c r="E134" s="22" t="str">
        <x:v>topic-06</x:v>
      </x:c>
      <x:c r="F134" s="22" t="str">
        <x:v>topic-06</x:v>
      </x:c>
      <x:c r="G134" s="22" t="str">
        <x:v>中</x:v>
      </x:c>
      <x:c r="H134" s="22" t="str">
        <x:v>中</x:v>
      </x:c>
      <x:c r="I134" s="22" t="n">
        <x:v>2.277888844462215</x:v>
      </x:c>
      <x:c r="J134" s="22" t="n">
        <x:v>2.277888844462215</x:v>
      </x:c>
      <x:c r="K134" s="22" t="n">
        <x:v>0</x:v>
      </x:c>
      <x:c r="L134" s="22" t="str">
        <x:v>[3]</x:v>
      </x:c>
      <x:c r="M134" s="22" t="str">
        <x:v>[5]</x:v>
      </x:c>
      <x:c r="N134" s="28" t="str">
        <x:v>是若干类似神经元的处理单元相互连接而构成的庞大信息处理系统</x:v>
      </x:c>
      <x:c r="O134" s="28" t="str">
        <x:v>用梯度下降算法调整权重以降低误差，相当于把“学习”过程转化为可计算的数学优化问题。</x:v>
      </x:c>
      <x:c r="P134" s="22" t="str">
        <x:v>2025秋:2025秋-数学模型-问答记录导出20260502导出_已标注_已更新.xlsx:问答记录:163</x:v>
      </x:c>
      <x:c r="Q134" s="22" t="str">
        <x:v>evidence/valid_dialogues.jsonl:129</x:v>
      </x:c>
    </x:row>
    <x:row r="135" ht="85" customHeight="1">
      <x:c r="A135" s="21" t="str">
        <x:v>2025秋:259877</x:v>
      </x:c>
      <x:c r="B135" s="22" t="str">
        <x:v>S0194</x:v>
      </x:c>
      <x:c r="C135" s="22" t="str">
        <x:v>图论与网络</x:v>
      </x:c>
      <x:c r="D135" s="22" t="str">
        <x:v>s3</x:v>
      </x:c>
      <x:c r="E135" s="22" t="str">
        <x:v>topic-02</x:v>
      </x:c>
      <x:c r="F135" s="22" t="str">
        <x:v>topic-02</x:v>
      </x:c>
      <x:c r="G135" s="22" t="str">
        <x:v>低</x:v>
      </x:c>
      <x:c r="H135" s="22" t="str">
        <x:v>中</x:v>
      </x:c>
      <x:c r="I135" s="22" t="n">
        <x:v>1.303549571603427</x:v>
      </x:c>
      <x:c r="J135" s="22" t="n">
        <x:v>2.283557046979866</x:v>
      </x:c>
      <x:c r="K135" s="22" t="n">
        <x:v>0.9800074753764387</x:v>
      </x:c>
      <x:c r="L135" s="22" t="str">
        <x:v>[3]</x:v>
      </x:c>
      <x:c r="M135" s="22" t="str">
        <x:v>[7]</x:v>
      </x:c>
      <x:c r="N135" s="28" t="str">
        <x:v>整体完全连通且不存在任何环路</x:v>
      </x:c>
      <x:c r="O135" s="28" t="str">
        <x:v>贪心算法优先选择权重最低的边，同时严格避免形成环路</x:v>
      </x:c>
      <x:c r="P135" s="22" t="str">
        <x:v>2025秋:2025秋-数学模型-问答记录导出20260502导出_已标注_已更新.xlsx:问答记录:199</x:v>
      </x:c>
      <x:c r="Q135" s="22" t="str">
        <x:v>evidence/valid_dialogues.jsonl:130</x:v>
      </x:c>
    </x:row>
    <x:row r="136" ht="85" customHeight="1">
      <x:c r="A136" s="21" t="str">
        <x:v>2025秋:259885</x:v>
      </x:c>
      <x:c r="B136" s="22" t="str">
        <x:v>S0386</x:v>
      </x:c>
      <x:c r="C136" s="22" t="str">
        <x:v>优化与运筹</x:v>
      </x:c>
      <x:c r="D136" s="22" t="str">
        <x:v>s3</x:v>
      </x:c>
      <x:c r="E136" s="22" t="str">
        <x:v>topic-01</x:v>
      </x:c>
      <x:c r="F136" s="22" t="str">
        <x:v>topic-01</x:v>
      </x:c>
      <x:c r="G136" s="22" t="str">
        <x:v>中</x:v>
      </x:c>
      <x:c r="H136" s="22" t="str">
        <x:v>中</x:v>
      </x:c>
      <x:c r="I136" s="22" t="n">
        <x:v>2.0141467727674622</x:v>
      </x:c>
      <x:c r="J136" s="22" t="n">
        <x:v>2.0141467727674622</x:v>
      </x:c>
      <x:c r="K136" s="22" t="n">
        <x:v>0</x:v>
      </x:c>
      <x:c r="L136" s="22" t="str">
        <x:v>[3]</x:v>
      </x:c>
      <x:c r="M136" s="22" t="str">
        <x:v>[3]</x:v>
      </x:c>
      <x:c r="N136" s="28" t="str">
        <x:v>可行域从连续区域变为离散点集，问题从连续优化转变为离散优化</x:v>
      </x:c>
      <x:c r="O136" s="28" t="str">
        <x:v>整数约束：决策变量必须取整数值。这使得可行域从连续区域变为离散点集</x:v>
      </x:c>
      <x:c r="P136" s="22" t="str">
        <x:v>2025秋:2025秋-数学模型-问答记录导出20260502导出_已标注_已更新.xlsx:问答记录:397</x:v>
      </x:c>
      <x:c r="Q136" s="22" t="str">
        <x:v>evidence/valid_dialogues.jsonl:131</x:v>
      </x:c>
    </x:row>
    <x:row r="137" ht="85" customHeight="1">
      <x:c r="A137" s="21" t="str">
        <x:v>2025秋:259895</x:v>
      </x:c>
      <x:c r="B137" s="22" t="str">
        <x:v>S0407</x:v>
      </x:c>
      <x:c r="C137" s="22" t="str">
        <x:v>优化与运筹</x:v>
      </x:c>
      <x:c r="D137" s="22" t="str">
        <x:v>s3</x:v>
      </x:c>
      <x:c r="E137" s="22" t="str">
        <x:v>topic-01</x:v>
      </x:c>
      <x:c r="F137" s="22" t="str">
        <x:v>topic-01</x:v>
      </x:c>
      <x:c r="G137" s="22" t="str">
        <x:v>中</x:v>
      </x:c>
      <x:c r="H137" s="22" t="str">
        <x:v>高</x:v>
      </x:c>
      <x:c r="I137" s="22" t="n">
        <x:v>2.051719238420006</x:v>
      </x:c>
      <x:c r="J137" s="22" t="n">
        <x:v>3.95672131147541</x:v>
      </x:c>
      <x:c r="K137" s="22" t="n">
        <x:v>1.905002073055404</x:v>
      </x:c>
      <x:c r="L137" s="22" t="str">
        <x:v>[3]</x:v>
      </x:c>
      <x:c r="M137" s="22" t="str">
        <x:v>[13]</x:v>
      </x:c>
      <x:c r="N137" s="28" t="str">
        <x:v>目标函数可能不连续、不可微，甚至没有明确的数学表达式</x:v>
      </x:c>
      <x:c r="O137" s="28" t="str">
        <x:v>智能优化算法在动态环境中实现“感知-理解-调整”的循环，其核心在于构建一个能够持续感知环境变化、</x:v>
      </x:c>
      <x:c r="P137" s="22" t="str">
        <x:v>2025秋:2025秋-数学模型-问答记录导出20260502导出_已标注_已更新.xlsx:问答记录:418</x:v>
      </x:c>
      <x:c r="Q137" s="22" t="str">
        <x:v>evidence/valid_dialogues.jsonl:132</x:v>
      </x:c>
    </x:row>
    <x:row r="138" ht="85" customHeight="1">
      <x:c r="A138" s="21" t="str">
        <x:v>2025秋:259896</x:v>
      </x:c>
      <x:c r="B138" s="22" t="str">
        <x:v>S0117</x:v>
      </x:c>
      <x:c r="C138" s="22" t="str">
        <x:v>优化与运筹</x:v>
      </x:c>
      <x:c r="D138" s="22" t="str">
        <x:v>s3</x:v>
      </x:c>
      <x:c r="E138" s="22" t="str">
        <x:v>topic-01</x:v>
      </x:c>
      <x:c r="F138" s="22" t="str">
        <x:v>topic-01</x:v>
      </x:c>
      <x:c r="G138" s="22" t="str">
        <x:v>低</x:v>
      </x:c>
      <x:c r="H138" s="22" t="str">
        <x:v>中</x:v>
      </x:c>
      <x:c r="I138" s="22" t="n">
        <x:v>1.4431818181818181</x:v>
      </x:c>
      <x:c r="J138" s="22" t="n">
        <x:v>2.051719238420006</x:v>
      </x:c>
      <x:c r="K138" s="22" t="n">
        <x:v>0.6085374202381877</x:v>
      </x:c>
      <x:c r="L138" s="22" t="str">
        <x:v>[3]</x:v>
      </x:c>
      <x:c r="M138" s="22" t="str">
        <x:v>[5]</x:v>
      </x:c>
      <x:c r="N138" s="28" t="str">
        <x:v>要求旅行商访问所有城市一次并返回起点，路径总长度最短</x:v>
      </x:c>
      <x:c r="O138" s="28" t="str">
        <x:v>其解空间规模随城市数量呈指数增长（n!），属于NP难问题。这种复杂性使其成为理论研究的基准问题。</x:v>
      </x:c>
      <x:c r="P138" s="22" t="str">
        <x:v>2025秋:2025秋-数学模型-问答记录导出20260502导出_已标注_已更新.xlsx:问答记录:120</x:v>
      </x:c>
      <x:c r="Q138" s="22" t="str">
        <x:v>evidence/valid_dialogues.jsonl:133</x:v>
      </x:c>
    </x:row>
    <x:row r="139" ht="85" customHeight="1">
      <x:c r="A139" s="21" t="str">
        <x:v>2025秋:259899</x:v>
      </x:c>
      <x:c r="B139" s="22" t="str">
        <x:v>S0318</x:v>
      </x:c>
      <x:c r="C139" s="22" t="str">
        <x:v>概率统计与随机过程</x:v>
      </x:c>
      <x:c r="D139" s="22" t="str">
        <x:v>s3</x:v>
      </x:c>
      <x:c r="E139" s="22" t="str">
        <x:v>topic-04</x:v>
      </x:c>
      <x:c r="F139" s="22" t="str">
        <x:v>topic-04</x:v>
      </x:c>
      <x:c r="G139" s="22" t="str">
        <x:v>低</x:v>
      </x:c>
      <x:c r="H139" s="22" t="str">
        <x:v>低</x:v>
      </x:c>
      <x:c r="I139" s="22" t="n">
        <x:v>1.5573770491803278</x:v>
      </x:c>
      <x:c r="J139" s="22" t="n">
        <x:v>1.5573770491803278</x:v>
      </x:c>
      <x:c r="K139" s="22" t="n">
        <x:v>0</x:v>
      </x:c>
      <x:c r="L139" s="22" t="str">
        <x:v>[3]</x:v>
      </x:c>
      <x:c r="M139" s="22" t="str">
        <x:v>[9]</x:v>
      </x:c>
      <x:c r="N139" s="28" t="str">
        <x:v>多个点位下的信道测量结果</x:v>
      </x:c>
      <x:c r="O139" s="28" t="str">
        <x:v>时延扩展、角度扩展等</x:v>
      </x:c>
      <x:c r="P139" s="22" t="str">
        <x:v>2025秋:2025秋-数学模型-问答记录导出20260502导出_已标注_已更新.xlsx:问答记录:326</x:v>
      </x:c>
      <x:c r="Q139" s="22" t="str">
        <x:v>evidence/valid_dialogues.jsonl:134</x:v>
      </x:c>
    </x:row>
    <x:row r="140" ht="85" customHeight="1">
      <x:c r="A140" s="21" t="str">
        <x:v>2025秋:259917</x:v>
      </x:c>
      <x:c r="B140" s="22" t="str">
        <x:v>S0244</x:v>
      </x:c>
      <x:c r="C140" s="22" t="str">
        <x:v>机器学习与人工智能</x:v>
      </x:c>
      <x:c r="D140" s="22" t="str">
        <x:v>s3</x:v>
      </x:c>
      <x:c r="E140" s="22" t="str">
        <x:v>topic-06</x:v>
      </x:c>
      <x:c r="F140" s="22" t="str">
        <x:v>topic-06</x:v>
      </x:c>
      <x:c r="G140" s="22" t="str">
        <x:v>低</x:v>
      </x:c>
      <x:c r="H140" s="22" t="str">
        <x:v>中</x:v>
      </x:c>
      <x:c r="I140" s="22" t="n">
        <x:v>1.5021645021645023</x:v>
      </x:c>
      <x:c r="J140" s="22" t="n">
        <x:v>2.282051282051282</x:v>
      </x:c>
      <x:c r="K140" s="22" t="n">
        <x:v>0.7798867798867797</x:v>
      </x:c>
      <x:c r="L140" s="22" t="str">
        <x:v>[3]</x:v>
      </x:c>
      <x:c r="M140" s="22" t="str">
        <x:v>[9]</x:v>
      </x:c>
      <x:c r="N140" s="28" t="str">
        <x:v>由rgb，0-225像素值堆叠形成的像素图片</x:v>
      </x:c>
      <x:c r="O140" s="28" t="str">
        <x:v>图片预处理，制作标签，训练模型，测试结果</x:v>
      </x:c>
      <x:c r="P140" s="22" t="str">
        <x:v>2025秋:2025秋-数学模型-问答记录导出20260502导出_已标注_已更新.xlsx:问答记录:250</x:v>
      </x:c>
      <x:c r="Q140" s="22" t="str">
        <x:v>evidence/valid_dialogues.jsonl:135</x:v>
      </x:c>
    </x:row>
    <x:row r="141" ht="85" customHeight="1">
      <x:c r="A141" s="21" t="str">
        <x:v>2025秋:259919</x:v>
      </x:c>
      <x:c r="B141" s="22" t="str">
        <x:v>S0279</x:v>
      </x:c>
      <x:c r="C141" s="22" t="str">
        <x:v>优化与运筹</x:v>
      </x:c>
      <x:c r="D141" s="22" t="str">
        <x:v>s3</x:v>
      </x:c>
      <x:c r="E141" s="22" t="str">
        <x:v>topic-01</x:v>
      </x:c>
      <x:c r="F141" s="22" t="str">
        <x:v>topic-01</x:v>
      </x:c>
      <x:c r="G141" s="22" t="str">
        <x:v>高</x:v>
      </x:c>
      <x:c r="H141" s="22" t="str">
        <x:v>高</x:v>
      </x:c>
      <x:c r="I141" s="22" t="n">
        <x:v>3.9131968948482707</x:v>
      </x:c>
      <x:c r="J141" s="22" t="n">
        <x:v>3.9131968948482707</x:v>
      </x:c>
      <x:c r="K141" s="22" t="n">
        <x:v>0</x:v>
      </x:c>
      <x:c r="L141" s="22" t="str">
        <x:v>[3]</x:v>
      </x:c>
      <x:c r="M141" s="22" t="str">
        <x:v>[3]</x:v>
      </x:c>
      <x:c r="N141" s="28" t="str">
        <x:v>如果子问题不重叠（每个路口只被经过一次），就不会出现 “重复计算同一个路口到学校的路径” 的情况，那么 “记录子问题解” 的操作就没有必要</x:v>
      </x:c>
      <x:c r="O141" s="28" t="str">
        <x:v>如果子问题不重叠（每个路口只被经过一次），就不会出现 “重复计算同一个路口到学校的路径” 的情况，那么 “记录子问题解” 的操作就没有必要</x:v>
      </x:c>
      <x:c r="P141" s="22" t="str">
        <x:v>2025秋:2025秋-数学模型-问答记录导出20260502导出_已标注_已更新.xlsx:问答记录:287</x:v>
      </x:c>
      <x:c r="Q141" s="22" t="str">
        <x:v>evidence/valid_dialogues.jsonl:136</x:v>
      </x:c>
    </x:row>
    <x:row r="142" ht="85" customHeight="1">
      <x:c r="A142" s="21" t="str">
        <x:v>2025秋:259921</x:v>
      </x:c>
      <x:c r="B142" s="22" t="str">
        <x:v>S0276</x:v>
      </x:c>
      <x:c r="C142" s="22" t="str">
        <x:v>机器学习与人工智能</x:v>
      </x:c>
      <x:c r="D142" s="22" t="str">
        <x:v>s3</x:v>
      </x:c>
      <x:c r="E142" s="22" t="str">
        <x:v>topic-06</x:v>
      </x:c>
      <x:c r="F142" s="22" t="str">
        <x:v>topic-06</x:v>
      </x:c>
      <x:c r="G142" s="22" t="str">
        <x:v>中</x:v>
      </x:c>
      <x:c r="H142" s="22" t="str">
        <x:v>中</x:v>
      </x:c>
      <x:c r="I142" s="22" t="n">
        <x:v>2.2546497823506133</x:v>
      </x:c>
      <x:c r="J142" s="22" t="n">
        <x:v>2.2546497823506133</x:v>
      </x:c>
      <x:c r="K142" s="22" t="n">
        <x:v>0</x:v>
      </x:c>
      <x:c r="L142" s="22" t="str">
        <x:v>[3]</x:v>
      </x:c>
      <x:c r="M142" s="22" t="str">
        <x:v>[9]</x:v>
      </x:c>
      <x:c r="N142" s="28" t="str">
        <x:v>从大量数据中自动学习和概括规律，比传统“写死规则”的编程方式更有效。</x:v>
      </x:c>
      <x:c r="O142" s="28" t="str">
        <x:v>训练过久时，神经网络开始“记住训练数据里的噪声和偶然细节”，从“学规律”退化成“背数据”，于是对</x:v>
      </x:c>
      <x:c r="P142" s="22" t="str">
        <x:v>2025秋:2025秋-数学模型-问答记录导出20260502导出_已标注_已更新.xlsx:问答记录:284</x:v>
      </x:c>
      <x:c r="Q142" s="22" t="str">
        <x:v>evidence/valid_dialogues.jsonl:137</x:v>
      </x:c>
    </x:row>
    <x:row r="143" ht="85" customHeight="1">
      <x:c r="A143" s="21" t="str">
        <x:v>2025秋:259927</x:v>
      </x:c>
      <x:c r="B143" s="22" t="str">
        <x:v>S0271</x:v>
      </x:c>
      <x:c r="C143" s="22" t="str">
        <x:v>机器学习与人工智能</x:v>
      </x:c>
      <x:c r="D143" s="22" t="str">
        <x:v>s3</x:v>
      </x:c>
      <x:c r="E143" s="22" t="str">
        <x:v>topic-06</x:v>
      </x:c>
      <x:c r="F143" s="22" t="str">
        <x:v>topic-06</x:v>
      </x:c>
      <x:c r="G143" s="22" t="str">
        <x:v>低</x:v>
      </x:c>
      <x:c r="H143" s="22" t="str">
        <x:v>低</x:v>
      </x:c>
      <x:c r="I143" s="22" t="n">
        <x:v>1.4338028169014085</x:v>
      </x:c>
      <x:c r="J143" s="22" t="n">
        <x:v>1.4338028169014085</x:v>
      </x:c>
      <x:c r="K143" s="22" t="n">
        <x:v>0</x:v>
      </x:c>
      <x:c r="L143" s="22" t="str">
        <x:v>[3]</x:v>
      </x:c>
      <x:c r="M143" s="22" t="str">
        <x:v>[3]</x:v>
      </x:c>
      <x:c r="N143" s="28" t="str">
        <x:v>因为存在梯度消失和梯度爆炸的问题</x:v>
      </x:c>
      <x:c r="O143" s="28" t="str">
        <x:v>因为存在梯度消失和梯度爆炸的问题</x:v>
      </x:c>
      <x:c r="P143" s="22" t="str">
        <x:v>2025秋:2025秋-数学模型-问答记录导出20260502导出_已标注_已更新.xlsx:问答记录:279</x:v>
      </x:c>
      <x:c r="Q143" s="22" t="str">
        <x:v>evidence/valid_dialogues.jsonl:138</x:v>
      </x:c>
    </x:row>
    <x:row r="144" ht="85" customHeight="1">
      <x:c r="A144" s="21" t="str">
        <x:v>2025秋:259944</x:v>
      </x:c>
      <x:c r="B144" s="22" t="str">
        <x:v>S0168</x:v>
      </x:c>
      <x:c r="C144" s="22" t="str">
        <x:v>数值计算与科学计算</x:v>
      </x:c>
      <x:c r="D144" s="22" t="str">
        <x:v>s3</x:v>
      </x:c>
      <x:c r="E144" s="22" t="str">
        <x:v>topic-05</x:v>
      </x:c>
      <x:c r="F144" s="22" t="str">
        <x:v>topic-05</x:v>
      </x:c>
      <x:c r="G144" s="22" t="str">
        <x:v>中</x:v>
      </x:c>
      <x:c r="H144" s="22" t="str">
        <x:v>高</x:v>
      </x:c>
      <x:c r="I144" s="22" t="n">
        <x:v>2.026122148638705</x:v>
      </x:c>
      <x:c r="J144" s="22" t="n">
        <x:v>2.807634730538922</x:v>
      </x:c>
      <x:c r="K144" s="22" t="n">
        <x:v>0.7815125819002171</x:v>
      </x:c>
      <x:c r="L144" s="22" t="str">
        <x:v>[3]</x:v>
      </x:c>
      <x:c r="M144" s="22" t="str">
        <x:v>[9]</x:v>
      </x:c>
      <x:c r="N144" s="28" t="str">
        <x:v>SciPy建立在NumPy的基础上是因为这是一种模块化的设计思路，SciPy主要是NumPy的功能高校拓展</x:v>
      </x:c>
      <x:c r="O144" s="28" t="str">
        <x:v>子问题频域分析则需要使用到scipy.fftpack(傅里叶变换)模块，将时域信号变为频域信号；</x:v>
      </x:c>
      <x:c r="P144" s="22" t="str">
        <x:v>2025秋:2025秋-数学模型-问答记录导出20260502导出_已标注_已更新.xlsx:问答记录:171</x:v>
      </x:c>
      <x:c r="Q144" s="22" t="str">
        <x:v>evidence/valid_dialogues.jsonl:139</x:v>
      </x:c>
    </x:row>
    <x:row r="145" ht="85" customHeight="1">
      <x:c r="A145" s="21" t="str">
        <x:v>2025秋:259952</x:v>
      </x:c>
      <x:c r="B145" s="22" t="str">
        <x:v>S0277</x:v>
      </x:c>
      <x:c r="C145" s="22" t="str">
        <x:v>优化与运筹</x:v>
      </x:c>
      <x:c r="D145" s="22" t="str">
        <x:v>s3</x:v>
      </x:c>
      <x:c r="E145" s="22" t="str">
        <x:v>topic-01</x:v>
      </x:c>
      <x:c r="F145" s="22" t="str">
        <x:v>topic-01</x:v>
      </x:c>
      <x:c r="G145" s="22" t="str">
        <x:v>中</x:v>
      </x:c>
      <x:c r="H145" s="22" t="str">
        <x:v>高</x:v>
      </x:c>
      <x:c r="I145" s="22" t="n">
        <x:v>2.040922619047619</x:v>
      </x:c>
      <x:c r="J145" s="22" t="n">
        <x:v>3.9503444998812065</x:v>
      </x:c>
      <x:c r="K145" s="22" t="n">
        <x:v>1.9094218808335874</x:v>
      </x:c>
      <x:c r="L145" s="22" t="str">
        <x:v>[3]</x:v>
      </x:c>
      <x:c r="M145" s="22" t="str">
        <x:v>[7]</x:v>
      </x:c>
      <x:c r="N145" s="28" t="str">
        <x:v>在李群的切空间（即李代数）中进行梯度运算，再利用指数映射回归流形</x:v>
      </x:c>
      <x:c r="O145" s="28" t="str">
        <x:v>在机器人视觉SLAM中优化相机位姿：将无数个相机拍摄时的三维旋转和平移（约束在SE(3)流形上）</x:v>
      </x:c>
      <x:c r="P145" s="22" t="str">
        <x:v>2025秋:2025秋-数学模型-问答记录导出20260502导出_已标注_已更新.xlsx:问答记录:285</x:v>
      </x:c>
      <x:c r="Q145" s="22" t="str">
        <x:v>evidence/valid_dialogues.jsonl:140</x:v>
      </x:c>
    </x:row>
    <x:row r="146" ht="85" customHeight="1">
      <x:c r="A146" s="21" t="str">
        <x:v>2025秋:259958</x:v>
      </x:c>
      <x:c r="B146" s="22" t="str">
        <x:v>S0183</x:v>
      </x:c>
      <x:c r="C146" s="22" t="str">
        <x:v>数值计算与科学计算</x:v>
      </x:c>
      <x:c r="D146" s="22" t="str">
        <x:v>s3</x:v>
      </x:c>
      <x:c r="E146" s="22" t="str">
        <x:v>topic-05</x:v>
      </x:c>
      <x:c r="F146" s="22" t="str">
        <x:v>topic-05</x:v>
      </x:c>
      <x:c r="G146" s="22" t="str">
        <x:v>高</x:v>
      </x:c>
      <x:c r="H146" s="22" t="str">
        <x:v>高</x:v>
      </x:c>
      <x:c r="I146" s="22" t="n">
        <x:v>2.828522920203735</x:v>
      </x:c>
      <x:c r="J146" s="22" t="n">
        <x:v>2.828522920203735</x:v>
      </x:c>
      <x:c r="K146" s="22" t="n">
        <x:v>0</x:v>
      </x:c>
      <x:c r="L146" s="22" t="str">
        <x:v>[3]</x:v>
      </x:c>
      <x:c r="M146" s="22" t="str">
        <x:v>[13]</x:v>
      </x:c>
      <x:c r="N146" s="28" t="str">
        <x:v>当木条被固定在几个关键的点上时，它会自然的调整自己的形状，以使整个系统的弹性势能最小。</x:v>
      </x:c>
      <x:c r="O146" s="28" t="str">
        <x:v>最合适的应该是周期边界条件。因为数据本身的周期特征性</x:v>
      </x:c>
      <x:c r="P146" s="22" t="str">
        <x:v>2025秋:2025秋-数学模型-问答记录导出20260502导出_已标注_已更新.xlsx:问答记录:186</x:v>
      </x:c>
      <x:c r="Q146" s="22" t="str">
        <x:v>evidence/valid_dialogues.jsonl:141</x:v>
      </x:c>
    </x:row>
    <x:row r="147" ht="85" customHeight="1">
      <x:c r="A147" s="21" t="str">
        <x:v>2025秋:259961</x:v>
      </x:c>
      <x:c r="B147" s="22" t="str">
        <x:v>S0296</x:v>
      </x:c>
      <x:c r="C147" s="22" t="str">
        <x:v>优化与运筹</x:v>
      </x:c>
      <x:c r="D147" s="22" t="str">
        <x:v>s3</x:v>
      </x:c>
      <x:c r="E147" s="22" t="str">
        <x:v>topic-01</x:v>
      </x:c>
      <x:c r="F147" s="22" t="str">
        <x:v>topic-01</x:v>
      </x:c>
      <x:c r="G147" s="22" t="str">
        <x:v>低</x:v>
      </x:c>
      <x:c r="H147" s="22" t="str">
        <x:v>高</x:v>
      </x:c>
      <x:c r="I147" s="22" t="n">
        <x:v>1.4789319983312474</x:v>
      </x:c>
      <x:c r="J147" s="22" t="n">
        <x:v>3.9444831915190406</x:v>
      </x:c>
      <x:c r="K147" s="22" t="n">
        <x:v>2.4655511931877934</x:v>
      </x:c>
      <x:c r="L147" s="22" t="str">
        <x:v>[3]</x:v>
      </x:c>
      <x:c r="M147" s="22" t="str">
        <x:v>[7]</x:v>
      </x:c>
      <x:c r="N147" s="28" t="str">
        <x:v>外卖骑手午高峰，共享充电宝运维，机场摆渡车</x:v>
      </x:c>
      <x:c r="O147" s="28" t="str">
        <x:v>我挑“实时扰动”这个角度聊聊：
理论 TSP 假设“点不动、边权不变”，可外卖骑手最怕的就是——</x:v>
      </x:c>
      <x:c r="P147" s="22" t="str">
        <x:v>2025秋:2025秋-数学模型-问答记录导出20260502导出_已标注_已更新.xlsx:问答记录:304</x:v>
      </x:c>
      <x:c r="Q147" s="22" t="str">
        <x:v>evidence/valid_dialogues.jsonl:142</x:v>
      </x:c>
    </x:row>
    <x:row r="148" ht="85" customHeight="1">
      <x:c r="A148" s="21" t="str">
        <x:v>2025秋:25A081</x:v>
      </x:c>
      <x:c r="B148" s="22" t="str">
        <x:v>S0411</x:v>
      </x:c>
      <x:c r="C148" s="22" t="str">
        <x:v>优化与运筹</x:v>
      </x:c>
      <x:c r="D148" s="22" t="str">
        <x:v>s3</x:v>
      </x:c>
      <x:c r="E148" s="22" t="str">
        <x:v>topic-01</x:v>
      </x:c>
      <x:c r="F148" s="22" t="str">
        <x:v>topic-01</x:v>
      </x:c>
      <x:c r="G148" s="22" t="str">
        <x:v>低</x:v>
      </x:c>
      <x:c r="H148" s="22" t="str">
        <x:v>高</x:v>
      </x:c>
      <x:c r="I148" s="22" t="n">
        <x:v>1.469617404351088</x:v>
      </x:c>
      <x:c r="J148" s="22" t="n">
        <x:v>3.9503444998812065</x:v>
      </x:c>
      <x:c r="K148" s="22" t="n">
        <x:v>2.480727095530119</x:v>
      </x:c>
      <x:c r="L148" s="22" t="str">
        <x:v>[3]</x:v>
      </x:c>
      <x:c r="M148" s="22" t="str">
        <x:v>[11]</x:v>
      </x:c>
      <x:c r="N148" s="28" t="str">
        <x:v>每个粒子根据自身历史最优经验（个体经验）和群体历史最优经验（群体经验）</x:v>
      </x:c>
      <x:c r="O148" s="28" t="str">
        <x:v>wpt系统通常为强非线性，多峰值的。POS后期收敛太快，粒子集中在局部区域，导致错过全局最优。</x:v>
      </x:c>
      <x:c r="P148" s="22" t="str">
        <x:v>2025秋:2025秋-数学模型-问答记录导出20260502导出_已标注_已更新.xlsx:问答记录:422</x:v>
      </x:c>
      <x:c r="Q148" s="22" t="str">
        <x:v>evidence/valid_dialogues.jsonl:143</x:v>
      </x:c>
    </x:row>
    <x:row r="149" ht="85" customHeight="1">
      <x:c r="A149" s="21" t="str">
        <x:v>2025秋:25A085</x:v>
      </x:c>
      <x:c r="B149" s="22" t="str">
        <x:v>S0138</x:v>
      </x:c>
      <x:c r="C149" s="22" t="str">
        <x:v>概率统计与随机过程</x:v>
      </x:c>
      <x:c r="D149" s="22" t="str">
        <x:v>s3</x:v>
      </x:c>
      <x:c r="E149" s="22" t="str">
        <x:v>topic-04</x:v>
      </x:c>
      <x:c r="F149" s="22" t="str">
        <x:v>topic-04</x:v>
      </x:c>
      <x:c r="G149" s="22" t="str">
        <x:v>低</x:v>
      </x:c>
      <x:c r="H149" s="22" t="str">
        <x:v>中</x:v>
      </x:c>
      <x:c r="I149" s="22" t="n">
        <x:v>1.4254510921177588</x:v>
      </x:c>
      <x:c r="J149" s="22" t="n">
        <x:v>2.1019167835437123</x:v>
      </x:c>
      <x:c r="K149" s="22" t="n">
        <x:v>0.6764656914259535</x:v>
      </x:c>
      <x:c r="L149" s="22" t="str">
        <x:v>[3]</x:v>
      </x:c>
      <x:c r="M149" s="22" t="str">
        <x:v>[7]</x:v>
      </x:c>
      <x:c r="N149" s="28" t="str">
        <x:v>样本数据过少</x:v>
      </x:c>
      <x:c r="O149" s="28" t="str">
        <x:v>会使模型参数偏离中心位置的程度降低</x:v>
      </x:c>
      <x:c r="P149" s="22" t="str">
        <x:v>2025秋:2025秋-数学模型-问答记录导出20260502导出_已标注_已更新.xlsx:问答记录:141</x:v>
      </x:c>
      <x:c r="Q149" s="22" t="str">
        <x:v>evidence/valid_dialogues.jsonl:144</x:v>
      </x:c>
    </x:row>
    <x:row r="150" ht="85" customHeight="1">
      <x:c r="A150" s="21" t="str">
        <x:v>2025秋:25A086</x:v>
      </x:c>
      <x:c r="B150" s="22" t="str">
        <x:v>S0246</x:v>
      </x:c>
      <x:c r="C150" s="22" t="str">
        <x:v>概率统计与随机过程</x:v>
      </x:c>
      <x:c r="D150" s="22" t="str">
        <x:v>s3</x:v>
      </x:c>
      <x:c r="E150" s="22" t="str">
        <x:v>topic-04</x:v>
      </x:c>
      <x:c r="F150" s="22" t="str">
        <x:v>topic-04</x:v>
      </x:c>
      <x:c r="G150" s="22" t="str">
        <x:v>高</x:v>
      </x:c>
      <x:c r="H150" s="22" t="str">
        <x:v>高</x:v>
      </x:c>
      <x:c r="I150" s="22" t="n">
        <x:v>4.087750958718701</x:v>
      </x:c>
      <x:c r="J150" s="22" t="n">
        <x:v>4.087750958718701</x:v>
      </x:c>
      <x:c r="K150" s="22" t="n">
        <x:v>0</x:v>
      </x:c>
      <x:c r="L150" s="22" t="str">
        <x:v>[3]</x:v>
      </x:c>
      <x:c r="M150" s="22" t="str">
        <x:v>[3]</x:v>
      </x:c>
      <x:c r="N150" s="28" t="str">
        <x:v>不同科目的考试难度、评分标准和分数分布可能差别很大</x:v>
      </x:c>
      <x:c r="O150" s="28" t="str">
        <x:v>不同科目的考试难度、评分标准和分数分布可能差别很大</x:v>
      </x:c>
      <x:c r="P150" s="22" t="str">
        <x:v>2025秋:2025秋-数学模型-问答记录导出20260502导出_已标注_已更新.xlsx:问答记录:252</x:v>
      </x:c>
      <x:c r="Q150" s="22" t="str">
        <x:v>evidence/valid_dialogues.jsonl:145</x:v>
      </x:c>
    </x:row>
    <x:row r="151" ht="85" customHeight="1">
      <x:c r="A151" s="21" t="str">
        <x:v>2025秋:25A134</x:v>
      </x:c>
      <x:c r="B151" s="22" t="str">
        <x:v>S0311</x:v>
      </x:c>
      <x:c r="C151" s="22" t="str">
        <x:v>概率统计与随机过程</x:v>
      </x:c>
      <x:c r="D151" s="22" t="str">
        <x:v>s3</x:v>
      </x:c>
      <x:c r="E151" s="22" t="str">
        <x:v>topic-04</x:v>
      </x:c>
      <x:c r="F151" s="22" t="str">
        <x:v>topic-04</x:v>
      </x:c>
      <x:c r="G151" s="22" t="str">
        <x:v>低</x:v>
      </x:c>
      <x:c r="H151" s="22" t="str">
        <x:v>高</x:v>
      </x:c>
      <x:c r="I151" s="22" t="n">
        <x:v>1.4254510921177588</x:v>
      </x:c>
      <x:c r="J151" s="22" t="n">
        <x:v>3.8638281549673956</x:v>
      </x:c>
      <x:c r="K151" s="22" t="n">
        <x:v>2.4383770628496366</x:v>
      </x:c>
      <x:c r="L151" s="22" t="str">
        <x:v>[3]</x:v>
      </x:c>
      <x:c r="M151" s="22" t="str">
        <x:v>[21]</x:v>
      </x:c>
      <x:c r="N151" s="28" t="str">
        <x:v>不能 因为他违反了“要求序列的统计特性不随时间平移而变化，具体是均值和协方差保持稳定。”</x:v>
      </x:c>
      <x:c r="O151" s="28" t="str">
        <x:v>进行差分，通过计算序列相邻观测值之间的差值，可以有效地消除趋势和季节性，得到一个平稳的序列。基于</x:v>
      </x:c>
      <x:c r="P151" s="22" t="str">
        <x:v>2025秋:2025秋-数学模型-问答记录导出20260502导出_已标注_已更新.xlsx:问答记录:319</x:v>
      </x:c>
      <x:c r="Q151" s="22" t="str">
        <x:v>evidence/valid_dialogues.jsonl:146</x:v>
      </x:c>
    </x:row>
    <x:row r="152" ht="85" customHeight="1">
      <x:c r="A152" s="21" t="str">
        <x:v>2025秋:25A146</x:v>
      </x:c>
      <x:c r="B152" s="22" t="str">
        <x:v>S0256</x:v>
      </x:c>
      <x:c r="C152" s="22" t="str">
        <x:v>图论与网络</x:v>
      </x:c>
      <x:c r="D152" s="22" t="str">
        <x:v>s3</x:v>
      </x:c>
      <x:c r="E152" s="22" t="str">
        <x:v>topic-02</x:v>
      </x:c>
      <x:c r="F152" s="22" t="str">
        <x:v>topic-02</x:v>
      </x:c>
      <x:c r="G152" s="22" t="str">
        <x:v>中</x:v>
      </x:c>
      <x:c r="H152" s="22" t="str">
        <x:v>高</x:v>
      </x:c>
      <x:c r="I152" s="22" t="n">
        <x:v>2.283557046979866</x:v>
      </x:c>
      <x:c r="J152" s="22" t="n">
        <x:v>3.7468944099378882</x:v>
      </x:c>
      <x:c r="K152" s="22" t="n">
        <x:v>1.4633373629580224</x:v>
      </x:c>
      <x:c r="L152" s="22" t="str">
        <x:v>[3]</x:v>
      </x:c>
      <x:c r="M152" s="22" t="str">
        <x:v>[11]</x:v>
      </x:c>
      <x:c r="N152" s="28" t="str">
        <x:v>无向图来说能从A到B一定就能从B到A，路径天然构成了双向通道；但有向图不一定</x:v>
      </x:c>
      <x:c r="O152" s="28" t="str">
        <x:v>Kosaraju算法的精妙之处在于它利用了一个关键的数学洞察：将有向图视为由强连通分量构成的DA</x:v>
      </x:c>
      <x:c r="P152" s="22" t="str">
        <x:v>2025秋:2025秋-数学模型-问答记录导出20260502导出_已标注_已更新.xlsx:问答记录:264</x:v>
      </x:c>
      <x:c r="Q152" s="22" t="str">
        <x:v>evidence/valid_dialogues.jsonl:147</x:v>
      </x:c>
    </x:row>
    <x:row r="153" ht="85" customHeight="1">
      <x:c r="A153" s="21" t="str">
        <x:v>2025秋:25A148</x:v>
      </x:c>
      <x:c r="B153" s="22" t="str">
        <x:v>S0067</x:v>
      </x:c>
      <x:c r="C153" s="22" t="str">
        <x:v>优化与运筹</x:v>
      </x:c>
      <x:c r="D153" s="22" t="str">
        <x:v>s3</x:v>
      </x:c>
      <x:c r="E153" s="22" t="str">
        <x:v>topic-01</x:v>
      </x:c>
      <x:c r="F153" s="22" t="str">
        <x:v>topic-01</x:v>
      </x:c>
      <x:c r="G153" s="22" t="str">
        <x:v>中</x:v>
      </x:c>
      <x:c r="H153" s="22" t="str">
        <x:v>高</x:v>
      </x:c>
      <x:c r="I153" s="22" t="n">
        <x:v>2.1308049535603715</x:v>
      </x:c>
      <x:c r="J153" s="22" t="n">
        <x:v>3.9444831915190406</x:v>
      </x:c>
      <x:c r="K153" s="22" t="n">
        <x:v>1.8136782379586691</x:v>
      </x:c>
      <x:c r="L153" s="22" t="str">
        <x:v>[3]</x:v>
      </x:c>
      <x:c r="M153" s="22" t="str">
        <x:v>[15]</x:v>
      </x:c>
      <x:c r="N153" s="28" t="str">
        <x:v>将实际问题的目标、约束和决策变量通过数学公式表达，转化为标准的优化问题形式，以便于使用优化方法进行求解。</x:v>
      </x:c>
      <x:c r="O153" s="28" t="str">
        <x:v>将传统的静态优化模型升级为一个能与实时交通数据及动态客户订单交互、并持续自我调整的自适应系统。</x:v>
      </x:c>
      <x:c r="P153" s="22" t="str">
        <x:v>2025秋:2025秋-数学模型-问答记录导出20260502导出_已标注_已更新.xlsx:问答记录:70</x:v>
      </x:c>
      <x:c r="Q153" s="22" t="str">
        <x:v>evidence/valid_dialogues.jsonl:148</x:v>
      </x:c>
    </x:row>
    <x:row r="154" ht="85" customHeight="1">
      <x:c r="A154" s="21" t="str">
        <x:v>2025秋:25A168</x:v>
      </x:c>
      <x:c r="B154" s="22" t="str">
        <x:v>S0429</x:v>
      </x:c>
      <x:c r="C154" s="22" t="str">
        <x:v>机器学习与人工智能</x:v>
      </x:c>
      <x:c r="D154" s="22" t="str">
        <x:v>s3</x:v>
      </x:c>
      <x:c r="E154" s="22" t="str">
        <x:v>topic-06</x:v>
      </x:c>
      <x:c r="F154" s="22" t="str">
        <x:v>topic-06</x:v>
      </x:c>
      <x:c r="G154" s="22" t="str">
        <x:v>中</x:v>
      </x:c>
      <x:c r="H154" s="22" t="str">
        <x:v>高</x:v>
      </x:c>
      <x:c r="I154" s="22" t="n">
        <x:v>2.282051282051282</x:v>
      </x:c>
      <x:c r="J154" s="22" t="n">
        <x:v>3.905597014925373</x:v>
      </x:c>
      <x:c r="K154" s="22" t="n">
        <x:v>1.6235457328740912</x:v>
      </x:c>
      <x:c r="L154" s="22" t="str">
        <x:v>[3]</x:v>
      </x:c>
      <x:c r="M154" s="22" t="str">
        <x:v>[7]</x:v>
      </x:c>
      <x:c r="N154" s="28" t="str">
        <x:v>跳出了传统 “规则驱动” 的计算框架，转向了 “数据驱动” 的智能涌现模式</x:v>
      </x:c>
      <x:c r="O154" s="28" t="str">
        <x:v>深度学习模型实现 “从数据中自动学习规律” 的核心学习机制是基于反向传播算法，结合梯度下降优化策</x:v>
      </x:c>
      <x:c r="P154" s="22" t="str">
        <x:v>2025秋:2025秋-数学模型-问答记录导出20260502导出_已标注_已更新.xlsx:问答记录:440</x:v>
      </x:c>
      <x:c r="Q154" s="22" t="str">
        <x:v>evidence/valid_dialogues.jsonl:149</x:v>
      </x:c>
    </x:row>
    <x:row r="155" ht="85" customHeight="1">
      <x:c r="A155" s="21" t="str">
        <x:v>2025秋:25A168</x:v>
      </x:c>
      <x:c r="B155" s="22" t="str">
        <x:v>S0472</x:v>
      </x:c>
      <x:c r="C155" s="22" t="str">
        <x:v>概率统计与随机过程</x:v>
      </x:c>
      <x:c r="D155" s="22" t="str">
        <x:v>s3</x:v>
      </x:c>
      <x:c r="E155" s="22" t="str">
        <x:v>topic-04</x:v>
      </x:c>
      <x:c r="F155" s="22" t="str">
        <x:v>topic-04</x:v>
      </x:c>
      <x:c r="G155" s="22" t="str">
        <x:v>中</x:v>
      </x:c>
      <x:c r="H155" s="22" t="str">
        <x:v>高</x:v>
      </x:c>
      <x:c r="I155" s="22" t="n">
        <x:v>2.120723362658847</x:v>
      </x:c>
      <x:c r="J155" s="22" t="n">
        <x:v>4.087750958718701</x:v>
      </x:c>
      <x:c r="K155" s="22" t="n">
        <x:v>1.9670275960598538</x:v>
      </x:c>
      <x:c r="L155" s="22" t="str">
        <x:v>[3]</x:v>
      </x:c>
      <x:c r="M155" s="22" t="str">
        <x:v>[9]</x:v>
      </x:c>
      <x:c r="N155" s="28" t="str">
        <x:v>让垂直于自变量轴方向的残差平方和最小</x:v>
      </x:c>
      <x:c r="O155" s="28" t="str">
        <x:v>雷达 / SAR 成像的系统校准实验中就符合这种模式，比如通过控制发射信号的频率 x（可通过信号源精确设定，误差可忽略），测量接收端的回波幅度 y（受信道噪声、天线增益波动等影响，存在测量误差）；还有在材料力学的拉伸实验中，控制试件的拉伸位移 x（通过试验机精准控制），测量对应的拉力 y（由力传感器测量，存在传感器精度…</x:v>
      </x:c>
      <x:c r="P155" s="22" t="str">
        <x:v>2025秋:2025秋-数学模型-问答记录导出20260502导出_已标注_已更新.xlsx:问答记录:484</x:v>
      </x:c>
      <x:c r="Q155" s="22" t="str">
        <x:v>evidence/valid_dialogues.jsonl:150</x:v>
      </x:c>
    </x:row>
    <x:row r="156" ht="85" customHeight="1">
      <x:c r="A156" s="21" t="str">
        <x:v>2025秋:25A168</x:v>
      </x:c>
      <x:c r="B156" s="22" t="str">
        <x:v>S0201</x:v>
      </x:c>
      <x:c r="C156" s="22" t="str">
        <x:v>优化与运筹</x:v>
      </x:c>
      <x:c r="D156" s="22" t="str">
        <x:v>s3</x:v>
      </x:c>
      <x:c r="E156" s="22" t="str">
        <x:v>topic-01</x:v>
      </x:c>
      <x:c r="F156" s="22" t="str">
        <x:v>topic-01</x:v>
      </x:c>
      <x:c r="G156" s="22" t="str">
        <x:v>高</x:v>
      </x:c>
      <x:c r="H156" s="22" t="str">
        <x:v>高</x:v>
      </x:c>
      <x:c r="I156" s="22" t="n">
        <x:v>3.9444831915190406</x:v>
      </x:c>
      <x:c r="J156" s="22" t="n">
        <x:v>3.9444831915190406</x:v>
      </x:c>
      <x:c r="K156" s="22" t="n">
        <x:v>0</x:v>
      </x:c>
      <x:c r="L156" s="22" t="str">
        <x:v>[3]</x:v>
      </x:c>
      <x:c r="M156" s="22" t="str">
        <x:v>[11]</x:v>
      </x:c>
      <x:c r="N156" s="28" t="str">
        <x:v>可行域内部的任意一点都可以表示为其顶点的凸组合，对于线性目标函数来说，该点的函数值也会是对应顶点函数值的凸组合</x:v>
      </x:c>
      <x:c r="O156" s="28" t="str">
        <x:v>若某台设备的负荷过高、需要维护，可调整生产组合，降低该设备的使用量，同时保持利润不变；</x:v>
      </x:c>
      <x:c r="P156" s="22" t="str">
        <x:v>2025秋:2025秋-数学模型-问答记录导出20260502导出_已标注_已更新.xlsx:问答记录:206</x:v>
      </x:c>
      <x:c r="Q156" s="22" t="str">
        <x:v>evidence/valid_dialogues.jsonl:151</x:v>
      </x:c>
    </x:row>
    <x:row r="157" ht="85" customHeight="1">
      <x:c r="A157" s="21" t="str">
        <x:v>2025秋:25A171</x:v>
      </x:c>
      <x:c r="B157" s="22" t="str">
        <x:v>S0258</x:v>
      </x:c>
      <x:c r="C157" s="22" t="str">
        <x:v>微分方程与动态系统</x:v>
      </x:c>
      <x:c r="D157" s="22" t="str">
        <x:v>s3</x:v>
      </x:c>
      <x:c r="E157" s="22" t="str">
        <x:v>topic-03</x:v>
      </x:c>
      <x:c r="F157" s="22" t="str">
        <x:v>topic-03</x:v>
      </x:c>
      <x:c r="G157" s="22" t="str">
        <x:v>低</x:v>
      </x:c>
      <x:c r="H157" s="22" t="str">
        <x:v>低</x:v>
      </x:c>
      <x:c r="I157" s="22" t="n">
        <x:v>1.4269662921348316</x:v>
      </x:c>
      <x:c r="J157" s="22" t="n">
        <x:v>1.4269662921348316</x:v>
      </x:c>
      <x:c r="K157" s="22" t="n">
        <x:v>0</x:v>
      </x:c>
      <x:c r="L157" s="22" t="str">
        <x:v>[3]</x:v>
      </x:c>
      <x:c r="M157" s="22" t="str">
        <x:v>[3]</x:v>
      </x:c>
      <x:c r="N157" s="28" t="str">
        <x:v>它是不连续的离散点</x:v>
      </x:c>
      <x:c r="O157" s="28" t="str">
        <x:v>它是不连续的离散点</x:v>
      </x:c>
      <x:c r="P157" s="22" t="str">
        <x:v>2025秋:2025秋-数学模型-问答记录导出20260502导出_已标注_已更新.xlsx:问答记录:266</x:v>
      </x:c>
      <x:c r="Q157" s="22" t="str">
        <x:v>evidence/valid_dialogues.jsonl:152</x:v>
      </x:c>
    </x:row>
    <x:row r="158" ht="85" customHeight="1">
      <x:c r="A158" s="21" t="str">
        <x:v>2025秋:25P025</x:v>
      </x:c>
      <x:c r="B158" s="22" t="str">
        <x:v>S0130</x:v>
      </x:c>
      <x:c r="C158" s="22" t="str">
        <x:v>优化与运筹</x:v>
      </x:c>
      <x:c r="D158" s="22" t="str">
        <x:v>s3</x:v>
      </x:c>
      <x:c r="E158" s="22" t="str">
        <x:v>topic-01</x:v>
      </x:c>
      <x:c r="F158" s="22" t="str">
        <x:v>topic-01</x:v>
      </x:c>
      <x:c r="G158" s="22" t="str">
        <x:v>中</x:v>
      </x:c>
      <x:c r="H158" s="22" t="str">
        <x:v>高</x:v>
      </x:c>
      <x:c r="I158" s="22" t="n">
        <x:v>2.0141467727674622</x:v>
      </x:c>
      <x:c r="J158" s="22" t="n">
        <x:v>3.9131968948482707</x:v>
      </x:c>
      <x:c r="K158" s="22" t="n">
        <x:v>1.8990501220808085</x:v>
      </x:c>
      <x:c r="L158" s="22" t="str">
        <x:v>[3]</x:v>
      </x:c>
      <x:c r="M158" s="22" t="str">
        <x:v>[9]</x:v>
      </x:c>
      <x:c r="N158" s="28" t="str">
        <x:v>凸规划：在凸集上最小化凸函数的优化问题。</x:v>
      </x:c>
      <x:c r="O158" s="28" t="str">
        <x:v>适用性评估取决于问题能否建模为凸形式以及对解全局性的要求强度</x:v>
      </x:c>
      <x:c r="P158" s="22" t="str">
        <x:v>2025秋:2025秋-数学模型-问答记录导出20260502导出_已标注_已更新.xlsx:问答记录:133</x:v>
      </x:c>
      <x:c r="Q158" s="22" t="str">
        <x:v>evidence/valid_dialogues.jsonl:153</x:v>
      </x:c>
    </x:row>
    <x:row r="159" ht="85" customHeight="1">
      <x:c r="A159" s="21" t="str">
        <x:v>2025秋:260001</x:v>
      </x:c>
      <x:c r="B159" s="22" t="str">
        <x:v>S0466</x:v>
      </x:c>
      <x:c r="C159" s="22" t="str">
        <x:v>微分方程与动态系统</x:v>
      </x:c>
      <x:c r="D159" s="22" t="str">
        <x:v>s3</x:v>
      </x:c>
      <x:c r="E159" s="22" t="str">
        <x:v>topic-03</x:v>
      </x:c>
      <x:c r="F159" s="22" t="str">
        <x:v>topic-03</x:v>
      </x:c>
      <x:c r="G159" s="22" t="str">
        <x:v>低</x:v>
      </x:c>
      <x:c r="H159" s="22" t="str">
        <x:v>低</x:v>
      </x:c>
      <x:c r="I159" s="22" t="n">
        <x:v>1.521825396825397</x:v>
      </x:c>
      <x:c r="J159" s="22" t="n">
        <x:v>1.521825396825397</x:v>
      </x:c>
      <x:c r="K159" s="22" t="n">
        <x:v>0</x:v>
      </x:c>
      <x:c r="L159" s="22" t="str">
        <x:v>[3]</x:v>
      </x:c>
      <x:c r="M159" s="22" t="str">
        <x:v>[7]</x:v>
      </x:c>
      <x:c r="N159" s="28" t="str">
        <x:v>植物的生长是逐渐增长的</x:v>
      </x:c>
      <x:c r="O159" s="28" t="str">
        <x:v>考虑限制阳光的强度和水量的大小</x:v>
      </x:c>
      <x:c r="P159" s="22" t="str">
        <x:v>2025秋:2025秋-数学模型-问答记录导出20260502导出_已标注_已更新.xlsx:问答记录:478</x:v>
      </x:c>
      <x:c r="Q159" s="22" t="str">
        <x:v>evidence/valid_dialogues.jsonl:154</x:v>
      </x:c>
    </x:row>
    <x:row r="160" ht="85" customHeight="1">
      <x:c r="A160" s="21" t="str">
        <x:v>2026春:250695</x:v>
      </x:c>
      <x:c r="B160" s="22" t="str">
        <x:v>S0818</x:v>
      </x:c>
      <x:c r="C160" s="22" t="str">
        <x:v>数学基础</x:v>
      </x:c>
      <x:c r="D160" s="22" t="str">
        <x:v>s6</x:v>
      </x:c>
      <x:c r="E160" s="22" t="str">
        <x:v>topic-10</x:v>
      </x:c>
      <x:c r="F160" s="22" t="str">
        <x:v>topic-10</x:v>
      </x:c>
      <x:c r="G160" s="22" t="str">
        <x:v>L1</x:v>
      </x:c>
      <x:c r="H160" s="22" t="str">
        <x:v>L2</x:v>
      </x:c>
      <x:c r="I160" s="22" t="n">
        <x:v>1</x:v>
      </x:c>
      <x:c r="J160" s="22" t="n">
        <x:v>2</x:v>
      </x:c>
      <x:c r="K160" s="22" t="n">
        <x:v>1</x:v>
      </x:c>
      <x:c r="L160" s="22" t="str">
        <x:v>[3]</x:v>
      </x:c>
      <x:c r="M160" s="22" t="str">
        <x:v>[5]</x:v>
      </x:c>
      <x:c r="N160" s="28" t="str">
        <x:v>度量空间刻画了点与点之间的“距离”概念。</x:v>
      </x:c>
      <x:c r="O160" s="28" t="str">
        <x:v>内积空间在线性空间上进行定义</x:v>
      </x:c>
      <x:c r="P160" s="22" t="str">
        <x:v>2026春:问答记录导出0919_已更新.xlsx:问答记录:2</x:v>
      </x:c>
      <x:c r="Q160" s="22" t="str">
        <x:v>evidence/valid_dialogues.jsonl:155</x:v>
      </x:c>
    </x:row>
    <x:row r="161" ht="85" customHeight="1">
      <x:c r="A161" s="21" t="str">
        <x:v>2026春:250845</x:v>
      </x:c>
      <x:c r="B161" s="22" t="str">
        <x:v>S0825</x:v>
      </x:c>
      <x:c r="C161" s="22" t="str">
        <x:v>数学建模综合与案例</x:v>
      </x:c>
      <x:c r="D161" s="22" t="str">
        <x:v>s6</x:v>
      </x:c>
      <x:c r="E161" s="22" t="str">
        <x:v>topic-09</x:v>
      </x:c>
      <x:c r="F161" s="22" t="str">
        <x:v>topic-09</x:v>
      </x:c>
      <x:c r="G161" s="22" t="str">
        <x:v>L1</x:v>
      </x:c>
      <x:c r="H161" s="22" t="str">
        <x:v>L1</x:v>
      </x:c>
      <x:c r="I161" s="22" t="n">
        <x:v>1</x:v>
      </x:c>
      <x:c r="J161" s="22" t="n">
        <x:v>1</x:v>
      </x:c>
      <x:c r="K161" s="22" t="n">
        <x:v>0</x:v>
      </x:c>
      <x:c r="L161" s="22" t="str">
        <x:v>[3]</x:v>
      </x:c>
      <x:c r="M161" s="22" t="str">
        <x:v>[3]</x:v>
      </x:c>
      <x:c r="N161" s="28" t="str">
        <x:v>在毫米波大规模MIMO场景下，信道在角度域具有稀疏性</x:v>
      </x:c>
      <x:c r="O161" s="28" t="str">
        <x:v>在毫米波大规模MIMO场景下，信道在角度域具有稀疏性</x:v>
      </x:c>
      <x:c r="P161" s="22" t="str">
        <x:v>2026春:问答记录导出0919_已更新.xlsx:问答记录:9</x:v>
      </x:c>
      <x:c r="Q161" s="22" t="str">
        <x:v>evidence/valid_dialogues.jsonl:156</x:v>
      </x:c>
    </x:row>
    <x:row r="162" ht="85" customHeight="1">
      <x:c r="A162" s="21" t="str">
        <x:v>2026春:250868</x:v>
      </x:c>
      <x:c r="B162" s="22" t="str">
        <x:v>S0828</x:v>
      </x:c>
      <x:c r="C162" s="22" t="str">
        <x:v>优化与运筹</x:v>
      </x:c>
      <x:c r="D162" s="22" t="str">
        <x:v>s3</x:v>
      </x:c>
      <x:c r="E162" s="22" t="str">
        <x:v>topic-01</x:v>
      </x:c>
      <x:c r="F162" s="22" t="str">
        <x:v>topic-01</x:v>
      </x:c>
      <x:c r="G162" s="22" t="str">
        <x:v>低</x:v>
      </x:c>
      <x:c r="H162" s="22" t="str">
        <x:v>中</x:v>
      </x:c>
      <x:c r="I162" s="22" t="n">
        <x:v>1.5105820105820105</x:v>
      </x:c>
      <x:c r="J162" s="22" t="n">
        <x:v>2.1268939393939394</x:v>
      </x:c>
      <x:c r="K162" s="22" t="n">
        <x:v>0.616311928811929</x:v>
      </x:c>
      <x:c r="L162" s="22" t="str">
        <x:v>[3]</x:v>
      </x:c>
      <x:c r="M162" s="22" t="str">
        <x:v>[5]</x:v>
      </x:c>
      <x:c r="N162" s="28" t="str">
        <x:v>用几何方法求线性规划最优解</x:v>
      </x:c>
      <x:c r="O162" s="28" t="str">
        <x:v>边缘，因为可行域对应目标函数的高度是平面，不存在内部的最高点</x:v>
      </x:c>
      <x:c r="P162" s="22" t="str">
        <x:v>2026春:问答记录导出0919_已更新.xlsx:问答记录:12</x:v>
      </x:c>
      <x:c r="Q162" s="22" t="str">
        <x:v>evidence/valid_dialogues.jsonl:157</x:v>
      </x:c>
    </x:row>
    <x:row r="163" ht="85" customHeight="1">
      <x:c r="A163" s="21" t="str">
        <x:v>2026春:258955</x:v>
      </x:c>
      <x:c r="B163" s="22" t="str">
        <x:v>S0838</x:v>
      </x:c>
      <x:c r="C163" s="22" t="str">
        <x:v>优化与运筹</x:v>
      </x:c>
      <x:c r="D163" s="22" t="str">
        <x:v>s3</x:v>
      </x:c>
      <x:c r="E163" s="22" t="str">
        <x:v>topic-01</x:v>
      </x:c>
      <x:c r="F163" s="22" t="str">
        <x:v>topic-01</x:v>
      </x:c>
      <x:c r="G163" s="22" t="str">
        <x:v>中</x:v>
      </x:c>
      <x:c r="H163" s="22" t="str">
        <x:v>中</x:v>
      </x:c>
      <x:c r="I163" s="22" t="n">
        <x:v>2.1308049535603715</x:v>
      </x:c>
      <x:c r="J163" s="22" t="n">
        <x:v>2.1308049535603715</x:v>
      </x:c>
      <x:c r="K163" s="22" t="n">
        <x:v>0</x:v>
      </x:c>
      <x:c r="L163" s="22" t="str">
        <x:v>[3]</x:v>
      </x:c>
      <x:c r="M163" s="22" t="str">
        <x:v>[5]</x:v>
      </x:c>
      <x:c r="N163" s="28" t="str">
        <x:v>多目标优化就是针对于不同的数学指标优化，射频电路中关注增益，带宽，噪声，线性度等</x:v>
      </x:c>
      <x:c r="O163" s="28" t="str">
        <x:v>增大增益往往会导致带宽下降，功耗上升等等</x:v>
      </x:c>
      <x:c r="P163" s="22" t="str">
        <x:v>2026春:问答记录导出0919_已更新.xlsx:问答记录:22</x:v>
      </x:c>
      <x:c r="Q163" s="22" t="str">
        <x:v>evidence/valid_dialogues.jsonl:158</x:v>
      </x:c>
    </x:row>
    <x:row r="164" ht="85" customHeight="1">
      <x:c r="A164" s="21" t="str">
        <x:v>2026春:259443</x:v>
      </x:c>
      <x:c r="B164" s="22" t="str">
        <x:v>S0850</x:v>
      </x:c>
      <x:c r="C164" s="22" t="str">
        <x:v>优化与运筹</x:v>
      </x:c>
      <x:c r="D164" s="22" t="str">
        <x:v>s3</x:v>
      </x:c>
      <x:c r="E164" s="22" t="str">
        <x:v>topic-01</x:v>
      </x:c>
      <x:c r="F164" s="22" t="str">
        <x:v>topic-01</x:v>
      </x:c>
      <x:c r="G164" s="22" t="str">
        <x:v>中</x:v>
      </x:c>
      <x:c r="H164" s="22" t="str">
        <x:v>高</x:v>
      </x:c>
      <x:c r="I164" s="22" t="n">
        <x:v>2.051719238420006</x:v>
      </x:c>
      <x:c r="J164" s="22" t="n">
        <x:v>3.95672131147541</x:v>
      </x:c>
      <x:c r="K164" s="22" t="n">
        <x:v>1.905002073055404</x:v>
      </x:c>
      <x:c r="L164" s="22" t="str">
        <x:v>[3]</x:v>
      </x:c>
      <x:c r="M164" s="22" t="str">
        <x:v>[7]</x:v>
      </x:c>
      <x:c r="N164" s="28" t="str">
        <x:v>在满足一定约束条件的前提下，从所有可能的方案中，寻找使某个目标函数达到最小值（或最大值）的那个最优解。</x:v>
      </x:c>
      <x:c r="O164" s="28" t="str">
        <x:v>在水电站中，水轮机叶片的设计最核心的矛盾在于：水流是复杂的三维湍流，而叶片形状直接决定了能量转换效率、结构强度以及是否会产生破坏性的空化现象。
针对场景C：水电站水轮机叶片设计，应用最优化方法的具体逻辑如下：
1. 优化目标是什么？
根据水电站的具体需求（是基荷运行还是调峰运行），优化目标通常是多目标的，最常见的有…</x:v>
      </x:c>
      <x:c r="P164" s="22" t="str">
        <x:v>2026春:问答记录导出0919_已更新.xlsx:问答记录:34</x:v>
      </x:c>
      <x:c r="Q164" s="22" t="str">
        <x:v>evidence/valid_dialogues.jsonl:159</x:v>
      </x:c>
    </x:row>
    <x:row r="165" ht="85" customHeight="1">
      <x:c r="A165" s="21" t="str">
        <x:v>2026春:25A071</x:v>
      </x:c>
      <x:c r="B165" s="22" t="str">
        <x:v>S0868</x:v>
      </x:c>
      <x:c r="C165" s="22" t="str">
        <x:v>图论与网络</x:v>
      </x:c>
      <x:c r="D165" s="22" t="str">
        <x:v>s3</x:v>
      </x:c>
      <x:c r="E165" s="22" t="str">
        <x:v>topic-02</x:v>
      </x:c>
      <x:c r="F165" s="22" t="str">
        <x:v>topic-02</x:v>
      </x:c>
      <x:c r="G165" s="22" t="str">
        <x:v>低</x:v>
      </x:c>
      <x:c r="H165" s="22" t="str">
        <x:v>高</x:v>
      </x:c>
      <x:c r="I165" s="22" t="n">
        <x:v>1.3673780487804879</x:v>
      </x:c>
      <x:c r="J165" s="22" t="n">
        <x:v>3.6825127334465195</x:v>
      </x:c>
      <x:c r="K165" s="22" t="n">
        <x:v>2.315134684666032</x:v>
      </x:c>
      <x:c r="L165" s="22" t="str">
        <x:v>[3]</x:v>
      </x:c>
      <x:c r="M165" s="22" t="str">
        <x:v>[13]</x:v>
      </x:c>
      <x:c r="N165" s="28" t="str">
        <x:v>深度优先搜索‌是一种用于遍历或搜索‌树‌或‌图‌的算法，核心思想是“一条路走到黑”。</x:v>
      </x:c>
      <x:c r="O165" s="28" t="str">
        <x:v>场景适配：回溯、枚举、树图遍历选用 DFS，深结构用迭代栈实现，规避栈溢出；
算法融合：结合 BFS、启发式搜索、剪枝策略，解决 DFS 盲目搜索、难寻最优解的问题；
细节优化：调整遍历顺序、压缩空间、增加深度限制，减少无效遍历与资源消耗；
工程创新：混合算法动态切换、并行遍历，提升复杂项目下的稳定性与运行效率。</x:v>
      </x:c>
      <x:c r="P165" s="22" t="str">
        <x:v>2026春:问答记录导出0919_已更新.xlsx:问答记录:52</x:v>
      </x:c>
      <x:c r="Q165" s="22" t="str">
        <x:v>evidence/valid_dialogues.jsonl:160</x:v>
      </x:c>
    </x:row>
    <x:row r="166" ht="85" customHeight="1">
      <x:c r="A166" s="21" t="str">
        <x:v>2026春:268112</x:v>
      </x:c>
      <x:c r="B166" s="22" t="str">
        <x:v>S0889</x:v>
      </x:c>
      <x:c r="C166" s="22" t="str">
        <x:v>优化与运筹</x:v>
      </x:c>
      <x:c r="D166" s="22" t="str">
        <x:v>s3</x:v>
      </x:c>
      <x:c r="E166" s="22" t="str">
        <x:v>topic-01</x:v>
      </x:c>
      <x:c r="F166" s="22" t="str">
        <x:v>topic-01</x:v>
      </x:c>
      <x:c r="G166" s="22" t="str">
        <x:v>中</x:v>
      </x:c>
      <x:c r="H166" s="22" t="str">
        <x:v>高</x:v>
      </x:c>
      <x:c r="I166" s="22" t="n">
        <x:v>2.1268939393939394</x:v>
      </x:c>
      <x:c r="J166" s="22" t="n">
        <x:v>3.918001033057851</x:v>
      </x:c>
      <x:c r="K166" s="22" t="n">
        <x:v>1.7911070936639115</x:v>
      </x:c>
      <x:c r="L166" s="22" t="str">
        <x:v>[3]</x:v>
      </x:c>
      <x:c r="M166" s="22" t="str">
        <x:v>[9]</x:v>
      </x:c>
      <x:c r="N166" s="28" t="str">
        <x:v>要求他每个城市只去一次、不能重复逛，把所有城市全部走完后，还要回到最一开始的出发点</x:v>
      </x:c>
      <x:c r="O166" s="28" t="str">
        <x:v>1. 算法的搜索策略
是算法「怎么找路线」的底层逻辑：
比如蚁群算法靠信息素浓度引导选路、遗传算法靠路线交叉 / 变异重组、模拟退火靠概率跳转、禁忌搜索限制重复坏路线。
策略决定了：优先走已有优质路径，还是随机开辟新路径、怎么迭代更新路线。
2. 局部最优的规避能力
TSP 解空间坑极多：很容易算出一条「小范围最短路线…</x:v>
      </x:c>
      <x:c r="P166" s="22" t="str">
        <x:v>2026春:问答记录导出0919_已更新.xlsx:问答记录:1516</x:v>
      </x:c>
      <x:c r="Q166" s="22" t="str">
        <x:v>evidence/valid_dialogues.jsonl:161</x:v>
      </x:c>
    </x:row>
    <x:row r="167" ht="85" customHeight="1">
      <x:c r="A167" s="21" t="str">
        <x:v>2026春:268115</x:v>
      </x:c>
      <x:c r="B167" s="22" t="str">
        <x:v>S0897</x:v>
      </x:c>
      <x:c r="C167" s="22" t="str">
        <x:v>优化与运筹</x:v>
      </x:c>
      <x:c r="D167" s="22" t="str">
        <x:v>s3</x:v>
      </x:c>
      <x:c r="E167" s="22" t="str">
        <x:v>topic-01</x:v>
      </x:c>
      <x:c r="F167" s="22" t="str">
        <x:v>topic-01</x:v>
      </x:c>
      <x:c r="G167" s="22" t="str">
        <x:v>中</x:v>
      </x:c>
      <x:c r="H167" s="22" t="str">
        <x:v>高</x:v>
      </x:c>
      <x:c r="I167" s="22" t="n">
        <x:v>2.051719238420006</x:v>
      </x:c>
      <x:c r="J167" s="22" t="n">
        <x:v>3.95672131147541</x:v>
      </x:c>
      <x:c r="K167" s="22" t="n">
        <x:v>1.905002073055404</x:v>
      </x:c>
      <x:c r="L167" s="22" t="str">
        <x:v>[3]</x:v>
      </x:c>
      <x:c r="M167" s="22" t="str">
        <x:v>[11]</x:v>
      </x:c>
      <x:c r="N167" s="28" t="str">
        <x:v>这个遗传算法在射频天线领域也有应用，比如用遗传算法优化八木天线</x:v>
      </x:c>
      <x:c r="O167" s="28" t="str">
        <x:v>还有驻波比、带宽等等，其与增益同样重要，因此需要根据工程要求等等来调整这个适应度函数</x:v>
      </x:c>
      <x:c r="P167" s="22" t="str">
        <x:v>2026春:问答记录导出0919_已更新.xlsx:问答记录:1524</x:v>
      </x:c>
      <x:c r="Q167" s="22" t="str">
        <x:v>evidence/valid_dialogues.jsonl:162</x:v>
      </x:c>
    </x:row>
    <x:row r="168" ht="85" customHeight="1">
      <x:c r="A168" s="21" t="str">
        <x:v>2026春:268121</x:v>
      </x:c>
      <x:c r="B168" s="22" t="str">
        <x:v>S0915</x:v>
      </x:c>
      <x:c r="C168" s="22" t="str">
        <x:v>优化与运筹</x:v>
      </x:c>
      <x:c r="D168" s="22" t="str">
        <x:v>s3</x:v>
      </x:c>
      <x:c r="E168" s="22" t="str">
        <x:v>topic-01</x:v>
      </x:c>
      <x:c r="F168" s="22" t="str">
        <x:v>topic-01</x:v>
      </x:c>
      <x:c r="G168" s="22" t="str">
        <x:v>中</x:v>
      </x:c>
      <x:c r="H168" s="22" t="str">
        <x:v>高</x:v>
      </x:c>
      <x:c r="I168" s="22" t="n">
        <x:v>2.1308049535603715</x:v>
      </x:c>
      <x:c r="J168" s="22" t="n">
        <x:v>3.9444831915190406</x:v>
      </x:c>
      <x:c r="K168" s="22" t="n">
        <x:v>1.8136782379586691</x:v>
      </x:c>
      <x:c r="L168" s="22" t="str">
        <x:v>[3]</x:v>
      </x:c>
      <x:c r="M168" s="22" t="str">
        <x:v>[7]</x:v>
      </x:c>
      <x:c r="N168" s="28" t="str">
        <x:v>在面对多个相互冲突的目标时，不再追求单一的最优解，而是寻找一组“折中解”（即帕累托最优解），并让决策者根据自己的偏好从中做出权衡和选择。</x:v>
      </x:c>
      <x:c r="O168" s="28" t="str">
        <x:v>想让旅客换乘方便，就得让登机口等待旅客，从而提高成本以及利用率。
想最小化运营成本、最大化登机口的利用率，就得打破旅客和登机口的配对，结果就会导致旅客就得在航站楼里的换乘时间直接失控。</x:v>
      </x:c>
      <x:c r="P168" s="22" t="str">
        <x:v>2026春:问答记录导出0919_已更新.xlsx:问答记录:1542</x:v>
      </x:c>
      <x:c r="Q168" s="22" t="str">
        <x:v>evidence/valid_dialogues.jsonl:163</x:v>
      </x:c>
    </x:row>
    <x:row r="169" ht="85" customHeight="1">
      <x:c r="A169" s="21" t="str">
        <x:v>2026春:268126</x:v>
      </x:c>
      <x:c r="B169" s="22" t="str">
        <x:v>S0931</x:v>
      </x:c>
      <x:c r="C169" s="22" t="str">
        <x:v>机器学习与人工智能</x:v>
      </x:c>
      <x:c r="D169" s="22" t="str">
        <x:v>s3</x:v>
      </x:c>
      <x:c r="E169" s="22" t="str">
        <x:v>topic-06</x:v>
      </x:c>
      <x:c r="F169" s="22" t="str">
        <x:v>topic-06</x:v>
      </x:c>
      <x:c r="G169" s="22" t="str">
        <x:v>中</x:v>
      </x:c>
      <x:c r="H169" s="22" t="str">
        <x:v>高</x:v>
      </x:c>
      <x:c r="I169" s="22" t="n">
        <x:v>2.1350124801452237</x:v>
      </x:c>
      <x:c r="J169" s="22" t="n">
        <x:v>3.8822412155745485</x:v>
      </x:c>
      <x:c r="K169" s="22" t="n">
        <x:v>1.7472287354293248</x:v>
      </x:c>
      <x:c r="L169" s="22" t="str">
        <x:v>[3]</x:v>
      </x:c>
      <x:c r="M169" s="22" t="str">
        <x:v>[9]</x:v>
      </x:c>
      <x:c r="N169" s="28" t="str">
        <x:v>核心目标就是检测出我们比较关心的目标特征信息</x:v>
      </x:c>
      <x:c r="O169" s="28" t="str">
        <x:v>使用fft或者小波变换等生成频谱，使用神经网络的方法对频谱图特征进行提取并重建，获得异常值分数，设立阈值后进行异常检测</x:v>
      </x:c>
      <x:c r="P169" s="22" t="str">
        <x:v>2026春:问答记录导出0919_已更新.xlsx:问答记录:1558</x:v>
      </x:c>
      <x:c r="Q169" s="22" t="str">
        <x:v>evidence/valid_dialogues.jsonl:164</x:v>
      </x:c>
    </x:row>
    <x:row r="170" ht="85" customHeight="1">
      <x:c r="A170" s="21" t="str">
        <x:v>2026春:268127</x:v>
      </x:c>
      <x:c r="B170" s="22" t="str">
        <x:v>S0935</x:v>
      </x:c>
      <x:c r="C170" s="22" t="str">
        <x:v>优化与运筹</x:v>
      </x:c>
      <x:c r="D170" s="22" t="str">
        <x:v>s3</x:v>
      </x:c>
      <x:c r="E170" s="22" t="str">
        <x:v>topic-01</x:v>
      </x:c>
      <x:c r="F170" s="22" t="str">
        <x:v>topic-01</x:v>
      </x:c>
      <x:c r="G170" s="22" t="str">
        <x:v>中</x:v>
      </x:c>
      <x:c r="H170" s="22" t="str">
        <x:v>高</x:v>
      </x:c>
      <x:c r="I170" s="22" t="n">
        <x:v>2.040922619047619</x:v>
      </x:c>
      <x:c r="J170" s="22" t="n">
        <x:v>3.9503444998812065</x:v>
      </x:c>
      <x:c r="K170" s="22" t="n">
        <x:v>1.9094218808335874</x:v>
      </x:c>
      <x:c r="L170" s="22" t="str">
        <x:v>[3]</x:v>
      </x:c>
      <x:c r="M170" s="22" t="str">
        <x:v>[13]</x:v>
      </x:c>
      <x:c r="N170" s="28" t="str">
        <x:v>在线性规划的基础上，要求一部分或者全部决策变量，必须取整数的优化模型。</x:v>
      </x:c>
      <x:c r="O170" s="28" t="str">
        <x:v># 问题6 创新性建议 完整回答
结合星地一体化、无蜂窝MIMO、用户关联+负载均衡+功率分配+Max‑min公平的研究场景，从**算法改进**和**多技术融合**两个维度，给出具体、落地、具备学术创新度的设想，兼顾现有缺陷改良与前沿跨界融合。
## 6.1 针对现有近似算法局限性的创新性改进思路
### 1. 自适…</x:v>
      </x:c>
      <x:c r="P170" s="22" t="str">
        <x:v>2026春:问答记录导出0919_已更新.xlsx:问答记录:1562</x:v>
      </x:c>
      <x:c r="Q170" s="22" t="str">
        <x:v>evidence/valid_dialogues.jsonl:165</x:v>
      </x:c>
    </x:row>
    <x:row r="171" ht="85" customHeight="1">
      <x:c r="A171" s="21" t="str">
        <x:v>2026春:268130</x:v>
      </x:c>
      <x:c r="B171" s="22" t="str">
        <x:v>S0938</x:v>
      </x:c>
      <x:c r="C171" s="22" t="str">
        <x:v>机器学习与人工智能</x:v>
      </x:c>
      <x:c r="D171" s="22" t="str">
        <x:v>s3</x:v>
      </x:c>
      <x:c r="E171" s="22" t="str">
        <x:v>topic-06</x:v>
      </x:c>
      <x:c r="F171" s="22" t="str">
        <x:v>topic-06</x:v>
      </x:c>
      <x:c r="G171" s="22" t="str">
        <x:v>低</x:v>
      </x:c>
      <x:c r="H171" s="22" t="str">
        <x:v>中</x:v>
      </x:c>
      <x:c r="I171" s="22" t="n">
        <x:v>1.5142857142857142</x:v>
      </x:c>
      <x:c r="J171" s="22" t="n">
        <x:v>2.2546497823506133</x:v>
      </x:c>
      <x:c r="K171" s="22" t="n">
        <x:v>0.7403640680648991</x:v>
      </x:c>
      <x:c r="L171" s="22" t="str">
        <x:v>[3]</x:v>
      </x:c>
      <x:c r="M171" s="22" t="str">
        <x:v>[9]</x:v>
      </x:c>
      <x:c r="N171" s="28" t="str">
        <x:v>人工构造的周期性结构，具有不同于自然界材料的电磁特性</x:v>
      </x:c>
      <x:c r="O171" s="28" t="str">
        <x:v>传感器感知环境变化，收集数据通过边缘智能进行决策，进而控制超表面</x:v>
      </x:c>
      <x:c r="P171" s="22" t="str">
        <x:v>2026春:问答记录导出0919_已更新.xlsx:问答记录:1565</x:v>
      </x:c>
      <x:c r="Q171" s="22" t="str">
        <x:v>evidence/valid_dialogues.jsonl:166</x:v>
      </x:c>
    </x:row>
    <x:row r="172" ht="85" customHeight="1">
      <x:c r="A172" s="21" t="str">
        <x:v>2026春:268133</x:v>
      </x:c>
      <x:c r="B172" s="22" t="str">
        <x:v>S0944</x:v>
      </x:c>
      <x:c r="C172" s="22" t="str">
        <x:v>优化与运筹</x:v>
      </x:c>
      <x:c r="D172" s="22" t="str">
        <x:v>s3</x:v>
      </x:c>
      <x:c r="E172" s="22" t="str">
        <x:v>topic-01</x:v>
      </x:c>
      <x:c r="F172" s="22" t="str">
        <x:v>topic-01</x:v>
      </x:c>
      <x:c r="G172" s="22" t="str">
        <x:v>低</x:v>
      </x:c>
      <x:c r="H172" s="22" t="str">
        <x:v>中</x:v>
      </x:c>
      <x:c r="I172" s="22" t="n">
        <x:v>1.4789319983312474</x:v>
      </x:c>
      <x:c r="J172" s="22" t="n">
        <x:v>2.1308049535603715</x:v>
      </x:c>
      <x:c r="K172" s="22" t="n">
        <x:v>0.651872955229124</x:v>
      </x:c>
      <x:c r="L172" s="22" t="str">
        <x:v>[3]</x:v>
      </x:c>
      <x:c r="M172" s="22" t="str">
        <x:v>[9]</x:v>
      </x:c>
      <x:c r="N172" s="28" t="str">
        <x:v>模拟了自然界的生物遗传过程</x:v>
      </x:c>
      <x:c r="O172" s="28" t="str">
        <x:v>选择交配个体，交叉可以选出新的个体，变异避免陷入局部最优</x:v>
      </x:c>
      <x:c r="P172" s="22" t="str">
        <x:v>2026春:问答记录导出0919_已更新.xlsx:问答记录:1571</x:v>
      </x:c>
      <x:c r="Q172" s="22" t="str">
        <x:v>evidence/valid_dialogues.jsonl:167</x:v>
      </x:c>
    </x:row>
    <x:row r="173" ht="85" customHeight="1">
      <x:c r="A173" s="21" t="str">
        <x:v>2026春:268135</x:v>
      </x:c>
      <x:c r="B173" s="22" t="str">
        <x:v>S0948</x:v>
      </x:c>
      <x:c r="C173" s="22" t="str">
        <x:v>机器学习与人工智能</x:v>
      </x:c>
      <x:c r="D173" s="22" t="str">
        <x:v>s3</x:v>
      </x:c>
      <x:c r="E173" s="22" t="str">
        <x:v>topic-06</x:v>
      </x:c>
      <x:c r="F173" s="22" t="str">
        <x:v>topic-06</x:v>
      </x:c>
      <x:c r="G173" s="22" t="str">
        <x:v>中</x:v>
      </x:c>
      <x:c r="H173" s="22" t="str">
        <x:v>高</x:v>
      </x:c>
      <x:c r="I173" s="22" t="n">
        <x:v>2.2546497823506133</x:v>
      </x:c>
      <x:c r="J173" s="22" t="n">
        <x:v>3.8539599934948776</x:v>
      </x:c>
      <x:c r="K173" s="22" t="n">
        <x:v>1.5993102111442643</x:v>
      </x:c>
      <x:c r="L173" s="22" t="str">
        <x:v>[3]</x:v>
      </x:c>
      <x:c r="M173" s="22" t="str">
        <x:v>[9]</x:v>
      </x:c>
      <x:c r="N173" s="28" t="str">
        <x:v>强化学习（如指针网络、注意力模型）（让网络自己“试错”学策略，选下一个城市）</x:v>
      </x:c>
      <x:c r="O173" s="28" t="str">
        <x:v>问题7️⃣：克服纯强化学习局限性的改进策略
监督预训练 + 强化学习微调：先用大量最优解（或启发式解）做有监督学习，让模型快速找到好的初始策略，再通过强化学习微调提升泛化能力——主要解决样本效率低和初始探索困难。
图神经网络（GNN）编码：将城市视为节点，距离等特征为边，用消息传递捕捉全局拓扑关系——解决可扩展性差（…</x:v>
      </x:c>
      <x:c r="P173" s="22" t="str">
        <x:v>2026春:问答记录导出0919_已更新.xlsx:问答记录:1575</x:v>
      </x:c>
      <x:c r="Q173" s="22" t="str">
        <x:v>evidence/valid_dialogues.jsonl:168</x:v>
      </x:c>
    </x:row>
    <x:row r="174" ht="85" customHeight="1">
      <x:c r="A174" s="21" t="str">
        <x:v>2026春:268139</x:v>
      </x:c>
      <x:c r="B174" s="22" t="str">
        <x:v>S0956</x:v>
      </x:c>
      <x:c r="C174" s="22" t="str">
        <x:v>概率统计与随机过程</x:v>
      </x:c>
      <x:c r="D174" s="22" t="str">
        <x:v>s3</x:v>
      </x:c>
      <x:c r="E174" s="22" t="str">
        <x:v>topic-04</x:v>
      </x:c>
      <x:c r="F174" s="22" t="str">
        <x:v>topic-04</x:v>
      </x:c>
      <x:c r="G174" s="22" t="str">
        <x:v>中</x:v>
      </x:c>
      <x:c r="H174" s="22" t="str">
        <x:v>高</x:v>
      </x:c>
      <x:c r="I174" s="22" t="n">
        <x:v>2.05982905982906</x:v>
      </x:c>
      <x:c r="J174" s="22" t="n">
        <x:v>3.8109393579072535</x:v>
      </x:c>
      <x:c r="K174" s="22" t="n">
        <x:v>1.7511102980781934</x:v>
      </x:c>
      <x:c r="L174" s="22" t="str">
        <x:v>[3]</x:v>
      </x:c>
      <x:c r="M174" s="22" t="str">
        <x:v>[5]</x:v>
      </x:c>
      <x:c r="N174" s="28" t="str">
        <x:v>我们现在选择双HFM（下扫频-间隔-上扫频）信号做前导码，用它进行多普勒扩展因子的估计。</x:v>
      </x:c>
      <x:c r="O174" s="28" t="str">
        <x:v>我知道用相关结果做能量检测比较易于快速实现，我们现在也有这套代码。我现在想从理论出发寻找在复杂度可接受的范围内，更精确一些的做法。你说的AIC/MDL我没有听说过，下面请你仔细讲讲；另外，我不知道经典的检测理论（如LRT，GLRT是否可以应用在这个问题上）。另外对于压缩感知方案，我认为其实水声信道并不能简单的认为非常稀…</x:v>
      </x:c>
      <x:c r="P174" s="22" t="str">
        <x:v>2026春:问答记录导出0919_已更新.xlsx:问答记录:1583</x:v>
      </x:c>
      <x:c r="Q174" s="22" t="str">
        <x:v>evidence/valid_dialogues.jsonl:169</x:v>
      </x:c>
    </x:row>
    <x:row r="175" ht="85" customHeight="1">
      <x:c r="A175" s="21" t="str">
        <x:v>2026春:268140</x:v>
      </x:c>
      <x:c r="B175" s="22" t="str">
        <x:v>S0964</x:v>
      </x:c>
      <x:c r="C175" s="22" t="str">
        <x:v>优化与运筹</x:v>
      </x:c>
      <x:c r="D175" s="22" t="str">
        <x:v>s3</x:v>
      </x:c>
      <x:c r="E175" s="22" t="str">
        <x:v>topic-01</x:v>
      </x:c>
      <x:c r="F175" s="22" t="str">
        <x:v>topic-01</x:v>
      </x:c>
      <x:c r="G175" s="22" t="str">
        <x:v>低</x:v>
      </x:c>
      <x:c r="H175" s="22" t="str">
        <x:v>高</x:v>
      </x:c>
      <x:c r="I175" s="22" t="n">
        <x:v>1.4431818181818181</x:v>
      </x:c>
      <x:c r="J175" s="22" t="n">
        <x:v>3.95672131147541</x:v>
      </x:c>
      <x:c r="K175" s="22" t="n">
        <x:v>2.5135394932935915</x:v>
      </x:c>
      <x:c r="L175" s="22" t="str">
        <x:v>[3]</x:v>
      </x:c>
      <x:c r="M175" s="22" t="str">
        <x:v>[9]</x:v>
      </x:c>
      <x:c r="N175" s="28" t="str">
        <x:v>PSO在全局随机用很多粒子来计算目标函数然后比较各粒子的结果来进行优化</x:v>
      </x:c>
      <x:c r="O175" s="28" t="str">
        <x:v>可以先用PSO找初始值再用拟牛顿在最优值附近做精细，但是PSO仍然很费时间，尤其在变量多的情况下</x:v>
      </x:c>
      <x:c r="P175" s="22" t="str">
        <x:v>2026春:问答记录导出0919_已更新.xlsx:问答记录:1591</x:v>
      </x:c>
      <x:c r="Q175" s="22" t="str">
        <x:v>evidence/valid_dialogues.jsonl:170</x:v>
      </x:c>
    </x:row>
    <x:row r="176" ht="85" customHeight="1">
      <x:c r="A176" s="21" t="str">
        <x:v>2026春:268144</x:v>
      </x:c>
      <x:c r="B176" s="22" t="str">
        <x:v>S0983</x:v>
      </x:c>
      <x:c r="C176" s="22" t="str">
        <x:v>优化与运筹</x:v>
      </x:c>
      <x:c r="D176" s="22" t="str">
        <x:v>s3</x:v>
      </x:c>
      <x:c r="E176" s="22" t="str">
        <x:v>topic-01</x:v>
      </x:c>
      <x:c r="F176" s="22" t="str">
        <x:v>topic-01</x:v>
      </x:c>
      <x:c r="G176" s="22" t="str">
        <x:v>中</x:v>
      </x:c>
      <x:c r="H176" s="22" t="str">
        <x:v>高</x:v>
      </x:c>
      <x:c r="I176" s="22" t="n">
        <x:v>2.1268939393939394</x:v>
      </x:c>
      <x:c r="J176" s="22" t="n">
        <x:v>3.918001033057851</x:v>
      </x:c>
      <x:c r="K176" s="22" t="n">
        <x:v>1.7911070936639115</x:v>
      </x:c>
      <x:c r="L176" s="22" t="str">
        <x:v>[3]</x:v>
      </x:c>
      <x:c r="M176" s="22" t="str">
        <x:v>[13]</x:v>
      </x:c>
      <x:c r="N176" s="28" t="str">
        <x:v>核心是不断迭代最优种群，使用遗传与变异的手段进行进化，但有时也会陷入局部最优的困境</x:v>
      </x:c>
      <x:c r="O176" s="28" t="str">
        <x:v>一般会使用方向图计算公式，RCS越低，得分越高</x:v>
      </x:c>
      <x:c r="P176" s="22" t="str">
        <x:v>2026春:问答记录导出0919_已更新.xlsx:问答记录:1610</x:v>
      </x:c>
      <x:c r="Q176" s="22" t="str">
        <x:v>evidence/valid_dialogues.jsonl:171</x:v>
      </x:c>
    </x:row>
    <x:row r="177" ht="85" customHeight="1">
      <x:c r="A177" s="21" t="str">
        <x:v>2026春:268151</x:v>
      </x:c>
      <x:c r="B177" s="22" t="str">
        <x:v>S1004</x:v>
      </x:c>
      <x:c r="C177" s="22" t="str">
        <x:v>优化与运筹</x:v>
      </x:c>
      <x:c r="D177" s="22" t="str">
        <x:v>s3</x:v>
      </x:c>
      <x:c r="E177" s="22" t="str">
        <x:v>topic-01</x:v>
      </x:c>
      <x:c r="F177" s="22" t="str">
        <x:v>topic-01</x:v>
      </x:c>
      <x:c r="G177" s="22" t="str">
        <x:v>低</x:v>
      </x:c>
      <x:c r="H177" s="22" t="str">
        <x:v>低</x:v>
      </x:c>
      <x:c r="I177" s="22" t="n">
        <x:v>1.4780701754385965</x:v>
      </x:c>
      <x:c r="J177" s="22" t="n">
        <x:v>1.4780701754385965</x:v>
      </x:c>
      <x:c r="K177" s="22" t="n">
        <x:v>0</x:v>
      </x:c>
      <x:c r="L177" s="22" t="str">
        <x:v>[3]</x:v>
      </x:c>
      <x:c r="M177" s="22" t="str">
        <x:v>[3]</x:v>
      </x:c>
      <x:c r="N177" s="28" t="str">
        <x:v>遗传算法模拟了生物界进化的自然现象</x:v>
      </x:c>
      <x:c r="O177" s="28" t="str">
        <x:v>遗传算法模拟了生物界进化的自然现象，包括了繁衍、进化、死亡、变异等</x:v>
      </x:c>
      <x:c r="P177" s="22" t="str">
        <x:v>2026春:问答记录导出0919_已更新.xlsx:问答记录:1631</x:v>
      </x:c>
      <x:c r="Q177" s="22" t="str">
        <x:v>evidence/valid_dialogues.jsonl:172</x:v>
      </x:c>
    </x:row>
    <x:row r="178" ht="85" customHeight="1">
      <x:c r="A178" s="21" t="str">
        <x:v>2026春:268154</x:v>
      </x:c>
      <x:c r="B178" s="22" t="str">
        <x:v>S1009</x:v>
      </x:c>
      <x:c r="C178" s="22" t="str">
        <x:v>优化与运筹</x:v>
      </x:c>
      <x:c r="D178" s="22" t="str">
        <x:v>s3</x:v>
      </x:c>
      <x:c r="E178" s="22" t="str">
        <x:v>topic-01</x:v>
      </x:c>
      <x:c r="F178" s="22" t="str">
        <x:v>topic-01</x:v>
      </x:c>
      <x:c r="G178" s="22" t="str">
        <x:v>中</x:v>
      </x:c>
      <x:c r="H178" s="22" t="str">
        <x:v>高</x:v>
      </x:c>
      <x:c r="I178" s="22" t="n">
        <x:v>2.1308049535603715</x:v>
      </x:c>
      <x:c r="J178" s="22" t="n">
        <x:v>3.9444831915190406</x:v>
      </x:c>
      <x:c r="K178" s="22" t="n">
        <x:v>1.8136782379586691</x:v>
      </x:c>
      <x:c r="L178" s="22" t="str">
        <x:v>[3]</x:v>
      </x:c>
      <x:c r="M178" s="22" t="str">
        <x:v>[11]</x:v>
      </x:c>
      <x:c r="N178" s="28" t="str">
        <x:v>多目标优化存在一组权衡解，即帕累托最优解</x:v>
      </x:c>
      <x:c r="O178" s="28" t="str">
        <x:v>我们往往更倾向于用“启发式算法”或“代理模型”去换取一个“足够好且足够快”的解</x:v>
      </x:c>
      <x:c r="P178" s="22" t="str">
        <x:v>2026春:问答记录导出0919_已更新.xlsx:问答记录:1636</x:v>
      </x:c>
      <x:c r="Q178" s="22" t="str">
        <x:v>evidence/valid_dialogues.jsonl:173</x:v>
      </x:c>
    </x:row>
    <x:row r="179" ht="85" customHeight="1">
      <x:c r="A179" s="21" t="str">
        <x:v>2026春:268162</x:v>
      </x:c>
      <x:c r="B179" s="22" t="str">
        <x:v>S1027</x:v>
      </x:c>
      <x:c r="C179" s="22" t="str">
        <x:v>优化与运筹</x:v>
      </x:c>
      <x:c r="D179" s="22" t="str">
        <x:v>s3</x:v>
      </x:c>
      <x:c r="E179" s="22" t="str">
        <x:v>topic-01</x:v>
      </x:c>
      <x:c r="F179" s="22" t="str">
        <x:v>topic-01</x:v>
      </x:c>
      <x:c r="G179" s="22" t="str">
        <x:v>中</x:v>
      </x:c>
      <x:c r="H179" s="22" t="str">
        <x:v>高</x:v>
      </x:c>
      <x:c r="I179" s="22" t="n">
        <x:v>2.1308049535603715</x:v>
      </x:c>
      <x:c r="J179" s="22" t="n">
        <x:v>3.9444831915190406</x:v>
      </x:c>
      <x:c r="K179" s="22" t="n">
        <x:v>1.8136782379586691</x:v>
      </x:c>
      <x:c r="L179" s="22" t="str">
        <x:v>[3]</x:v>
      </x:c>
      <x:c r="M179" s="22" t="str">
        <x:v>[9]</x:v>
      </x:c>
      <x:c r="N179" s="28" t="str">
        <x:v>让一群可能的答案自己去“生宝宝”和“突变”，同时只让“最厉害”的那些答案有最多的繁殖机会。</x:v>
      </x:c>
      <x:c r="O179" s="28" t="str">
        <x:v>种群过小、变异率太低或适应度太平坦则易早熟或停滞</x:v>
      </x:c>
      <x:c r="P179" s="22" t="str">
        <x:v>2026春:问答记录导出0919_已更新.xlsx:问答记录:1654</x:v>
      </x:c>
      <x:c r="Q179" s="22" t="str">
        <x:v>evidence/valid_dialogues.jsonl:174</x:v>
      </x:c>
    </x:row>
    <x:row r="180" ht="85" customHeight="1">
      <x:c r="A180" s="21" t="str">
        <x:v>2026春:268174</x:v>
      </x:c>
      <x:c r="B180" s="22" t="str">
        <x:v>S1044</x:v>
      </x:c>
      <x:c r="C180" s="22" t="str">
        <x:v>优化与运筹</x:v>
      </x:c>
      <x:c r="D180" s="22" t="str">
        <x:v>s3</x:v>
      </x:c>
      <x:c r="E180" s="22" t="str">
        <x:v>topic-01</x:v>
      </x:c>
      <x:c r="F180" s="22" t="str">
        <x:v>topic-01</x:v>
      </x:c>
      <x:c r="G180" s="22" t="str">
        <x:v>中</x:v>
      </x:c>
      <x:c r="H180" s="22" t="str">
        <x:v>高</x:v>
      </x:c>
      <x:c r="I180" s="22" t="n">
        <x:v>2.1268939393939394</x:v>
      </x:c>
      <x:c r="J180" s="22" t="n">
        <x:v>3.918001033057851</x:v>
      </x:c>
      <x:c r="K180" s="22" t="n">
        <x:v>1.7911070936639115</x:v>
      </x:c>
      <x:c r="L180" s="22" t="str">
        <x:v>[3]</x:v>
      </x:c>
      <x:c r="M180" s="22" t="str">
        <x:v>[19]</x:v>
      </x:c>
      <x:c r="N180" s="28" t="str">
        <x:v>对单个argument求gradient，然后iteratively的按照argument index做gradient descent</x:v>
      </x:c>
      <x:c r="O180" s="28" t="str">
        <x:v>初始化一个由tuple (w,theta)组成的集合。建立一个判定机制，判定这个集合里面的元素是多了还是少了</x:v>
      </x:c>
      <x:c r="P180" s="22" t="str">
        <x:v>2026春:问答记录导出0919_已更新.xlsx:问答记录:1671</x:v>
      </x:c>
      <x:c r="Q180" s="22" t="str">
        <x:v>evidence/valid_dialogues.jsonl:175</x:v>
      </x:c>
    </x:row>
    <x:row r="181" ht="85" customHeight="1">
      <x:c r="A181" s="21" t="str">
        <x:v>2026春:268176</x:v>
      </x:c>
      <x:c r="B181" s="22" t="str">
        <x:v>S1047</x:v>
      </x:c>
      <x:c r="C181" s="22" t="str">
        <x:v>优化与运筹</x:v>
      </x:c>
      <x:c r="D181" s="22" t="str">
        <x:v>s3</x:v>
      </x:c>
      <x:c r="E181" s="22" t="str">
        <x:v>topic-01</x:v>
      </x:c>
      <x:c r="F181" s="22" t="str">
        <x:v>topic-01</x:v>
      </x:c>
      <x:c r="G181" s="22" t="str">
        <x:v>中</x:v>
      </x:c>
      <x:c r="H181" s="22" t="str">
        <x:v>中</x:v>
      </x:c>
      <x:c r="I181" s="22" t="n">
        <x:v>2.0141467727674622</x:v>
      </x:c>
      <x:c r="J181" s="22" t="n">
        <x:v>2.0141467727674622</x:v>
      </x:c>
      <x:c r="K181" s="22" t="n">
        <x:v>0</x:v>
      </x:c>
      <x:c r="L181" s="22" t="str">
        <x:v>[3]</x:v>
      </x:c>
      <x:c r="M181" s="22" t="str">
        <x:v>[5]</x:v>
      </x:c>
      <x:c r="N181" s="28" t="str">
        <x:v>通过适应度评价、选择、交叉和变异等操作，使较优方案不断保留和进化</x:v>
      </x:c>
      <x:c r="O181" s="28" t="str">
        <x:v>变异提供了随机的“新点子”，防止大家困在一个还不错的解上原地踏步</x:v>
      </x:c>
      <x:c r="P181" s="22" t="str">
        <x:v>2026春:问答记录导出0919_已更新.xlsx:问答记录:1674</x:v>
      </x:c>
      <x:c r="Q181" s="22" t="str">
        <x:v>evidence/valid_dialogues.jsonl:176</x:v>
      </x:c>
    </x:row>
    <x:row r="182" ht="85" customHeight="1">
      <x:c r="A182" s="21" t="str">
        <x:v>2026春:268183</x:v>
      </x:c>
      <x:c r="B182" s="22" t="str">
        <x:v>S1051</x:v>
      </x:c>
      <x:c r="C182" s="22" t="str">
        <x:v>优化与运筹</x:v>
      </x:c>
      <x:c r="D182" s="22" t="str">
        <x:v>s3</x:v>
      </x:c>
      <x:c r="E182" s="22" t="str">
        <x:v>topic-01</x:v>
      </x:c>
      <x:c r="F182" s="22" t="str">
        <x:v>topic-01</x:v>
      </x:c>
      <x:c r="G182" s="22" t="str">
        <x:v>中</x:v>
      </x:c>
      <x:c r="H182" s="22" t="str">
        <x:v>高</x:v>
      </x:c>
      <x:c r="I182" s="22" t="n">
        <x:v>2.040922619047619</x:v>
      </x:c>
      <x:c r="J182" s="22" t="n">
        <x:v>3.9503444998812065</x:v>
      </x:c>
      <x:c r="K182" s="22" t="n">
        <x:v>1.9094218808335874</x:v>
      </x:c>
      <x:c r="L182" s="22" t="str">
        <x:v>[3]</x:v>
      </x:c>
      <x:c r="M182" s="22" t="str">
        <x:v>[7]</x:v>
      </x:c>
      <x:c r="N182" s="28" t="str">
        <x:v>通过是建筑频率失谐实现避开共振</x:v>
      </x:c>
      <x:c r="O182" s="28" t="str">
        <x:v>如果阻尼大了鲁棒性会变强，但是减振率减弱</x:v>
      </x:c>
      <x:c r="P182" s="22" t="str">
        <x:v>2026春:问答记录导出0919_已更新.xlsx:问答记录:1678</x:v>
      </x:c>
      <x:c r="Q182" s="22" t="str">
        <x:v>evidence/valid_dialogues.jsonl:177</x:v>
      </x:c>
    </x:row>
    <x:row r="183" ht="85" customHeight="1">
      <x:c r="A183" s="21" t="str">
        <x:v>2026春:268184</x:v>
      </x:c>
      <x:c r="B183" s="22" t="str">
        <x:v>S1054</x:v>
      </x:c>
      <x:c r="C183" s="22" t="str">
        <x:v>优化与运筹</x:v>
      </x:c>
      <x:c r="D183" s="22" t="str">
        <x:v>s3</x:v>
      </x:c>
      <x:c r="E183" s="22" t="str">
        <x:v>topic-01</x:v>
      </x:c>
      <x:c r="F183" s="22" t="str">
        <x:v>topic-01</x:v>
      </x:c>
      <x:c r="G183" s="22" t="str">
        <x:v>中</x:v>
      </x:c>
      <x:c r="H183" s="22" t="str">
        <x:v>高</x:v>
      </x:c>
      <x:c r="I183" s="22" t="n">
        <x:v>2.1308049535603715</x:v>
      </x:c>
      <x:c r="J183" s="22" t="n">
        <x:v>3.9444831915190406</x:v>
      </x:c>
      <x:c r="K183" s="22" t="n">
        <x:v>1.8136782379586691</x:v>
      </x:c>
      <x:c r="L183" s="22" t="str">
        <x:v>[3]</x:v>
      </x:c>
      <x:c r="M183" s="22" t="str">
        <x:v>[7]</x:v>
      </x:c>
      <x:c r="N183" s="28" t="str">
        <x:v>要想改善一个目标，就必然要牺牲至少另一个目标</x:v>
      </x:c>
      <x:c r="O183" s="28" t="str">
        <x:v>选定配方附近小范围波动含水率和砖渣实际含水状态，去评估它的表现</x:v>
      </x:c>
      <x:c r="P183" s="22" t="str">
        <x:v>2026春:问答记录导出0919_已更新.xlsx:问答记录:1681</x:v>
      </x:c>
      <x:c r="Q183" s="22" t="str">
        <x:v>evidence/valid_dialogues.jsonl:178</x:v>
      </x:c>
    </x:row>
    <x:row r="184" ht="85" customHeight="1">
      <x:c r="A184" s="21" t="str">
        <x:v>2026春:268194</x:v>
      </x:c>
      <x:c r="B184" s="22" t="str">
        <x:v>S1067</x:v>
      </x:c>
      <x:c r="C184" s="22" t="str">
        <x:v>优化与运筹</x:v>
      </x:c>
      <x:c r="D184" s="22" t="str">
        <x:v>s3</x:v>
      </x:c>
      <x:c r="E184" s="22" t="str">
        <x:v>topic-01</x:v>
      </x:c>
      <x:c r="F184" s="22" t="str">
        <x:v>topic-01</x:v>
      </x:c>
      <x:c r="G184" s="22" t="str">
        <x:v>中</x:v>
      </x:c>
      <x:c r="H184" s="22" t="str">
        <x:v>高</x:v>
      </x:c>
      <x:c r="I184" s="22" t="n">
        <x:v>2.051719238420006</x:v>
      </x:c>
      <x:c r="J184" s="22" t="n">
        <x:v>3.95672131147541</x:v>
      </x:c>
      <x:c r="K184" s="22" t="n">
        <x:v>1.905002073055404</x:v>
      </x:c>
      <x:c r="L184" s="22" t="str">
        <x:v>[3]</x:v>
      </x:c>
      <x:c r="M184" s="22" t="str">
        <x:v>[7]</x:v>
      </x:c>
      <x:c r="N184" s="28" t="str">
        <x:v>适应度高的个体更容易被保留下来，并通过“交叉”和“变异”产生新的解</x:v>
      </x:c>
      <x:c r="O184" s="28" t="str">
        <x:v>个体 = 城市访问顺序；适应度 = 路径总距离的反向评价</x:v>
      </x:c>
      <x:c r="P184" s="22" t="str">
        <x:v>2026春:问答记录导出0919_已更新.xlsx:问答记录:1694</x:v>
      </x:c>
      <x:c r="Q184" s="22" t="str">
        <x:v>evidence/valid_dialogues.jsonl:179</x:v>
      </x:c>
    </x:row>
    <x:row r="185" ht="85" customHeight="1">
      <x:c r="A185" s="21" t="str">
        <x:v>2026春:268195</x:v>
      </x:c>
      <x:c r="B185" s="22" t="str">
        <x:v>S1076</x:v>
      </x:c>
      <x:c r="C185" s="22" t="str">
        <x:v>数学建模综合与案例</x:v>
      </x:c>
      <x:c r="D185" s="22" t="str">
        <x:v>s6</x:v>
      </x:c>
      <x:c r="E185" s="22" t="str">
        <x:v>topic-09</x:v>
      </x:c>
      <x:c r="F185" s="22" t="str">
        <x:v>topic-09</x:v>
      </x:c>
      <x:c r="G185" s="22" t="str">
        <x:v>L1</x:v>
      </x:c>
      <x:c r="H185" s="22" t="str">
        <x:v>L2</x:v>
      </x:c>
      <x:c r="I185" s="22" t="n">
        <x:v>1</x:v>
      </x:c>
      <x:c r="J185" s="22" t="n">
        <x:v>2</x:v>
      </x:c>
      <x:c r="K185" s="22" t="n">
        <x:v>1</x:v>
      </x:c>
      <x:c r="L185" s="22" t="str">
        <x:v>[3]</x:v>
      </x:c>
      <x:c r="M185" s="22" t="str">
        <x:v>[5]</x:v>
      </x:c>
      <x:c r="N185" s="28" t="str">
        <x:v>根据已有的数据，预测其他情况下的数据</x:v>
      </x:c>
      <x:c r="O185" s="28" t="str">
        <x:v>除了桩基承载力，还有腐蚀数据，比如腐蚀深度，腐蚀程度，无法将所有情况下的试验都做完</x:v>
      </x:c>
      <x:c r="P185" s="22" t="str">
        <x:v>2026春:问答记录导出0919_已更新.xlsx:问答记录:1703</x:v>
      </x:c>
      <x:c r="Q185" s="22" t="str">
        <x:v>evidence/valid_dialogues.jsonl:180</x:v>
      </x:c>
    </x:row>
    <x:row r="186" ht="85" customHeight="1">
      <x:c r="A186" s="21" t="str">
        <x:v>2026春:268195</x:v>
      </x:c>
      <x:c r="B186" s="22" t="str">
        <x:v>S1075</x:v>
      </x:c>
      <x:c r="C186" s="22" t="str">
        <x:v>概率统计与随机过程</x:v>
      </x:c>
      <x:c r="D186" s="22" t="str">
        <x:v>s3</x:v>
      </x:c>
      <x:c r="E186" s="22" t="str">
        <x:v>topic-04</x:v>
      </x:c>
      <x:c r="F186" s="22" t="str">
        <x:v>topic-04</x:v>
      </x:c>
      <x:c r="G186" s="22" t="str">
        <x:v>低</x:v>
      </x:c>
      <x:c r="H186" s="22" t="str">
        <x:v>中</x:v>
      </x:c>
      <x:c r="I186" s="22" t="n">
        <x:v>1.5573770491803278</x:v>
      </x:c>
      <x:c r="J186" s="22" t="n">
        <x:v>2.05982905982906</x:v>
      </x:c>
      <x:c r="K186" s="22" t="n">
        <x:v>0.5024520106487322</x:v>
      </x:c>
      <x:c r="L186" s="22" t="str">
        <x:v>[3]</x:v>
      </x:c>
      <x:c r="M186" s="22" t="str">
        <x:v>[7]</x:v>
      </x:c>
      <x:c r="N186" s="28" t="str">
        <x:v>解决一些预测问题，在已有数据的基础上外推</x:v>
      </x:c>
      <x:c r="O186" s="28" t="str">
        <x:v>数据平滑、有单调增长趋势</x:v>
      </x:c>
      <x:c r="P186" s="22" t="str">
        <x:v>2026春:问答记录导出0919_已更新.xlsx:问答记录:1702</x:v>
      </x:c>
      <x:c r="Q186" s="22" t="str">
        <x:v>evidence/valid_dialogues.jsonl:181</x:v>
      </x:c>
    </x:row>
    <x:row r="187" ht="85" customHeight="1">
      <x:c r="A187" s="21" t="str">
        <x:v>2026春:268206</x:v>
      </x:c>
      <x:c r="B187" s="22" t="str">
        <x:v>S1083</x:v>
      </x:c>
      <x:c r="C187" s="22" t="str">
        <x:v>概率统计与随机过程</x:v>
      </x:c>
      <x:c r="D187" s="22" t="str">
        <x:v>s3</x:v>
      </x:c>
      <x:c r="E187" s="22" t="str">
        <x:v>topic-04</x:v>
      </x:c>
      <x:c r="F187" s="22" t="str">
        <x:v>topic-04</x:v>
      </x:c>
      <x:c r="G187" s="22" t="str">
        <x:v>低</x:v>
      </x:c>
      <x:c r="H187" s="22" t="str">
        <x:v>高</x:v>
      </x:c>
      <x:c r="I187" s="22" t="n">
        <x:v>1.5243589743589745</x:v>
      </x:c>
      <x:c r="J187" s="22" t="n">
        <x:v>4.087750958718701</x:v>
      </x:c>
      <x:c r="K187" s="22" t="n">
        <x:v>2.5633919843597264</x:v>
      </x:c>
      <x:c r="L187" s="22" t="str">
        <x:v>[3]</x:v>
      </x:c>
      <x:c r="M187" s="22" t="str">
        <x:v>[13]</x:v>
      </x:c>
      <x:c r="N187" s="28" t="str">
        <x:v>数据按照时序排列的，有时候具有周期性</x:v>
      </x:c>
      <x:c r="O187" s="28" t="str">
        <x:v>极端天气黑天鹅 则加入自适应判断算法，或者是其他的进行模型修正</x:v>
      </x:c>
      <x:c r="P187" s="22" t="str">
        <x:v>2026春:问答记录导出0919_已更新.xlsx:问答记录:1710</x:v>
      </x:c>
      <x:c r="Q187" s="22" t="str">
        <x:v>evidence/valid_dialogues.jsonl:182</x:v>
      </x:c>
    </x:row>
    <x:row r="188" ht="85" customHeight="1">
      <x:c r="A188" s="21" t="str">
        <x:v>2026春:268219</x:v>
      </x:c>
      <x:c r="B188" s="22" t="str">
        <x:v>S1094</x:v>
      </x:c>
      <x:c r="C188" s="22" t="str">
        <x:v>学习过程与工具使用</x:v>
      </x:c>
      <x:c r="D188" s="22" t="str">
        <x:v>s3</x:v>
      </x:c>
      <x:c r="E188" s="22" t="str">
        <x:v>topic-11</x:v>
      </x:c>
      <x:c r="F188" s="22" t="str">
        <x:v>topic-11</x:v>
      </x:c>
      <x:c r="G188" s="22" t="str">
        <x:v>中</x:v>
      </x:c>
      <x:c r="H188" s="22" t="str">
        <x:v>中</x:v>
      </x:c>
      <x:c r="I188" s="22" t="n">
        <x:v>2.282560706401766</x:v>
      </x:c>
      <x:c r="J188" s="22" t="n">
        <x:v>2.282560706401766</x:v>
      </x:c>
      <x:c r="K188" s="22" t="n">
        <x:v>0</x:v>
      </x:c>
      <x:c r="L188" s="22" t="str">
        <x:v>[3]</x:v>
      </x:c>
      <x:c r="M188" s="22" t="str">
        <x:v>[9]</x:v>
      </x:c>
      <x:c r="N188" s="28" t="str">
        <x:v>钢结构的结构优化设计、抗侵彻爆炸试验的数据分析处理</x:v>
      </x:c>
      <x:c r="O188" s="28" t="str">
        <x:v>可以减轻结构重量，提高防护效率</x:v>
      </x:c>
      <x:c r="P188" s="22" t="str">
        <x:v>2026春:问答记录导出0919_已更新.xlsx:问答记录:1721</x:v>
      </x:c>
      <x:c r="Q188" s="22" t="str">
        <x:v>evidence/valid_dialogues.jsonl:183</x:v>
      </x:c>
    </x:row>
    <x:row r="189" ht="85" customHeight="1">
      <x:c r="A189" s="21" t="str">
        <x:v>2026春:268240</x:v>
      </x:c>
      <x:c r="B189" s="22" t="str">
        <x:v>S1113</x:v>
      </x:c>
      <x:c r="C189" s="22" t="str">
        <x:v>优化与运筹</x:v>
      </x:c>
      <x:c r="D189" s="22" t="str">
        <x:v>s3</x:v>
      </x:c>
      <x:c r="E189" s="22" t="str">
        <x:v>topic-01</x:v>
      </x:c>
      <x:c r="F189" s="22" t="str">
        <x:v>topic-01</x:v>
      </x:c>
      <x:c r="G189" s="22" t="str">
        <x:v>低</x:v>
      </x:c>
      <x:c r="H189" s="22" t="str">
        <x:v>高</x:v>
      </x:c>
      <x:c r="I189" s="22" t="n">
        <x:v>1.5105820105820105</x:v>
      </x:c>
      <x:c r="J189" s="22" t="n">
        <x:v>3.918001033057851</x:v>
      </x:c>
      <x:c r="K189" s="22" t="n">
        <x:v>2.4074190224758407</x:v>
      </x:c>
      <x:c r="L189" s="22" t="str">
        <x:v>[3]</x:v>
      </x:c>
      <x:c r="M189" s="22" t="str">
        <x:v>[9]</x:v>
      </x:c>
      <x:c r="N189" s="28" t="str">
        <x:v>选择交叉变异等方式找到最优</x:v>
      </x:c>
      <x:c r="O189" s="28" t="str">
        <x:v>老板关心送的快快，以及能不能每个都送到。</x:v>
      </x:c>
      <x:c r="P189" s="22" t="str">
        <x:v>2026春:问答记录导出0919_已更新.xlsx:问答记录:1740</x:v>
      </x:c>
      <x:c r="Q189" s="22" t="str">
        <x:v>evidence/valid_dialogues.jsonl:184</x:v>
      </x:c>
    </x:row>
    <x:row r="190" ht="85" customHeight="1">
      <x:c r="A190" s="21" t="str">
        <x:v>2026春:268246</x:v>
      </x:c>
      <x:c r="B190" s="22" t="str">
        <x:v>S1133</x:v>
      </x:c>
      <x:c r="C190" s="22" t="str">
        <x:v>机器学习与人工智能</x:v>
      </x:c>
      <x:c r="D190" s="22" t="str">
        <x:v>s3</x:v>
      </x:c>
      <x:c r="E190" s="22" t="str">
        <x:v>topic-06</x:v>
      </x:c>
      <x:c r="F190" s="22" t="str">
        <x:v>topic-06</x:v>
      </x:c>
      <x:c r="G190" s="22" t="str">
        <x:v>中</x:v>
      </x:c>
      <x:c r="H190" s="22" t="str">
        <x:v>高</x:v>
      </x:c>
      <x:c r="I190" s="22" t="n">
        <x:v>2.277888844462215</x:v>
      </x:c>
      <x:c r="J190" s="22" t="n">
        <x:v>3.922043891254504</x:v>
      </x:c>
      <x:c r="K190" s="22" t="n">
        <x:v>1.6441550467922887</x:v>
      </x:c>
      <x:c r="L190" s="22" t="str">
        <x:v>[3]</x:v>
      </x:c>
      <x:c r="M190" s="22" t="str">
        <x:v>[5]</x:v>
      </x:c>
      <x:c r="N190" s="28" t="str">
        <x:v>新权重 = 旧权重 - 学习率 × 梯度</x:v>
      </x:c>
      <x:c r="O190" s="28" t="str">
        <x:v>给每个突触的权重增加一个短期时间状态变量，例如残留钙浓度或可用囊泡数量</x:v>
      </x:c>
      <x:c r="P190" s="22" t="str">
        <x:v>2026春:问答记录导出0919_已更新.xlsx:问答记录:1760</x:v>
      </x:c>
      <x:c r="Q190" s="22" t="str">
        <x:v>evidence/valid_dialogues.jsonl:185</x:v>
      </x:c>
    </x:row>
    <x:row r="191" ht="85" customHeight="1">
      <x:c r="A191" s="21" t="str">
        <x:v>2026春:268246</x:v>
      </x:c>
      <x:c r="B191" s="22" t="str">
        <x:v>S1132</x:v>
      </x:c>
      <x:c r="C191" s="22" t="str">
        <x:v>机器学习与人工智能</x:v>
      </x:c>
      <x:c r="D191" s="22" t="str">
        <x:v>s3</x:v>
      </x:c>
      <x:c r="E191" s="22" t="str">
        <x:v>topic-06</x:v>
      </x:c>
      <x:c r="F191" s="22" t="str">
        <x:v>topic-06</x:v>
      </x:c>
      <x:c r="G191" s="22" t="str">
        <x:v>低</x:v>
      </x:c>
      <x:c r="H191" s="22" t="str">
        <x:v>低</x:v>
      </x:c>
      <x:c r="I191" s="22" t="n">
        <x:v>1.505832449628844</x:v>
      </x:c>
      <x:c r="J191" s="22" t="n">
        <x:v>1.505832449628844</x:v>
      </x:c>
      <x:c r="K191" s="22" t="n">
        <x:v>0</x:v>
      </x:c>
      <x:c r="L191" s="22" t="str">
        <x:v>[3]</x:v>
      </x:c>
      <x:c r="M191" s="22" t="str">
        <x:v>[3]</x:v>
      </x:c>
      <x:c r="N191" s="28" t="str">
        <x:v>已经在单一器件中实现了光控的电导下降和上升</x:v>
      </x:c>
      <x:c r="O191" s="28" t="str">
        <x:v>已经在单一器件中实现了光控的电导下降和上升</x:v>
      </x:c>
      <x:c r="P191" s="22" t="str">
        <x:v>2026春:问答记录导出0919_已更新.xlsx:问答记录:1759</x:v>
      </x:c>
      <x:c r="Q191" s="22" t="str">
        <x:v>evidence/valid_dialogues.jsonl:186</x:v>
      </x:c>
    </x:row>
    <x:row r="192" ht="85" customHeight="1">
      <x:c r="A192" s="21" t="str">
        <x:v>2026春:268248</x:v>
      </x:c>
      <x:c r="B192" s="22" t="str">
        <x:v>S1144</x:v>
      </x:c>
      <x:c r="C192" s="22" t="str">
        <x:v>机器学习与人工智能</x:v>
      </x:c>
      <x:c r="D192" s="22" t="str">
        <x:v>s3</x:v>
      </x:c>
      <x:c r="E192" s="22" t="str">
        <x:v>topic-06</x:v>
      </x:c>
      <x:c r="F192" s="22" t="str">
        <x:v>topic-06</x:v>
      </x:c>
      <x:c r="G192" s="22" t="str">
        <x:v>高</x:v>
      </x:c>
      <x:c r="H192" s="22" t="str">
        <x:v>高</x:v>
      </x:c>
      <x:c r="I192" s="22" t="n">
        <x:v>3.8822412155745485</x:v>
      </x:c>
      <x:c r="J192" s="22" t="n">
        <x:v>3.8822412155745485</x:v>
      </x:c>
      <x:c r="K192" s="22" t="n">
        <x:v>0</x:v>
      </x:c>
      <x:c r="L192" s="22" t="str">
        <x:v>[3]</x:v>
      </x:c>
      <x:c r="M192" s="22" t="str">
        <x:v>[5]</x:v>
      </x:c>
      <x:c r="N192" s="28" t="str">
        <x:v>损耗是因为无源光器件的传播通常损耗很大，不能长期级联</x:v>
      </x:c>
      <x:c r="O192" s="28" t="str">
        <x:v>损耗太大，比如一个逻辑门损耗很大，我们都知道逻辑门要连接起来算才有意义，如果连3个就不行了，那系统也实现不了。</x:v>
      </x:c>
      <x:c r="P192" s="22" t="str">
        <x:v>2026春:问答记录导出0919_已更新.xlsx:问答记录:1771</x:v>
      </x:c>
      <x:c r="Q192" s="22" t="str">
        <x:v>evidence/valid_dialogues.jsonl:187</x:v>
      </x:c>
    </x:row>
    <x:row r="193" ht="85" customHeight="1">
      <x:c r="A193" s="21" t="str">
        <x:v>2026春:268248</x:v>
      </x:c>
      <x:c r="B193" s="22" t="str">
        <x:v>S1143</x:v>
      </x:c>
      <x:c r="C193" s="22" t="str">
        <x:v>机器学习与人工智能</x:v>
      </x:c>
      <x:c r="D193" s="22" t="str">
        <x:v>s3</x:v>
      </x:c>
      <x:c r="E193" s="22" t="str">
        <x:v>topic-06</x:v>
      </x:c>
      <x:c r="F193" s="22" t="str">
        <x:v>topic-06</x:v>
      </x:c>
      <x:c r="G193" s="22" t="str">
        <x:v>中</x:v>
      </x:c>
      <x:c r="H193" s="22" t="str">
        <x:v>高</x:v>
      </x:c>
      <x:c r="I193" s="22" t="n">
        <x:v>2.1350124801452237</x:v>
      </x:c>
      <x:c r="J193" s="22" t="n">
        <x:v>3.8822412155745485</x:v>
      </x:c>
      <x:c r="K193" s="22" t="n">
        <x:v>1.7472287354293248</x:v>
      </x:c>
      <x:c r="L193" s="22" t="str">
        <x:v>[3]</x:v>
      </x:c>
      <x:c r="M193" s="22" t="str">
        <x:v>[7]</x:v>
      </x:c>
      <x:c r="N193" s="28" t="str">
        <x:v>希望找到一条“最稳妥”的分界线，让两类数据离这条线都尽可能远一些</x:v>
      </x:c>
      <x:c r="O193" s="28" t="str">
        <x:v>这些边界邮件对SVM特别重要，因为它们会直接影响最终分界线的位置。</x:v>
      </x:c>
      <x:c r="P193" s="22" t="str">
        <x:v>2026春:问答记录导出0919_已更新.xlsx:问答记录:1770</x:v>
      </x:c>
      <x:c r="Q193" s="22" t="str">
        <x:v>evidence/valid_dialogues.jsonl:188</x:v>
      </x:c>
    </x:row>
    <x:row r="194" ht="85" customHeight="1">
      <x:c r="A194" s="21" t="str">
        <x:v>2026春:268248</x:v>
      </x:c>
      <x:c r="B194" s="22" t="str">
        <x:v>S1142</x:v>
      </x:c>
      <x:c r="C194" s="22" t="str">
        <x:v>机器学习与人工智能</x:v>
      </x:c>
      <x:c r="D194" s="22" t="str">
        <x:v>s3</x:v>
      </x:c>
      <x:c r="E194" s="22" t="str">
        <x:v>topic-06</x:v>
      </x:c>
      <x:c r="F194" s="22" t="str">
        <x:v>topic-06</x:v>
      </x:c>
      <x:c r="G194" s="22" t="str">
        <x:v>中</x:v>
      </x:c>
      <x:c r="H194" s="22" t="str">
        <x:v>高</x:v>
      </x:c>
      <x:c r="I194" s="22" t="n">
        <x:v>2.1350124801452237</x:v>
      </x:c>
      <x:c r="J194" s="22" t="n">
        <x:v>3.8822412155745485</x:v>
      </x:c>
      <x:c r="K194" s="22" t="n">
        <x:v>1.7472287354293248</x:v>
      </x:c>
      <x:c r="L194" s="22" t="str">
        <x:v>[3]</x:v>
      </x:c>
      <x:c r="M194" s="22" t="str">
        <x:v>[5]</x:v>
      </x:c>
      <x:c r="N194" s="28" t="str">
        <x:v>知道可以用 Lumerical/FDTD 这类软件做光场传播、器件结构和动态响应仿真</x:v>
      </x:c>
      <x:c r="O194" s="28" t="str">
        <x:v>我更倾向于选择 微环谐振器阵列方案。因为这个方向可以结合 Lumerical/FDTD 仿真，和光子器件设计联系更紧密</x:v>
      </x:c>
      <x:c r="P194" s="22" t="str">
        <x:v>2026春:问答记录导出0919_已更新.xlsx:问答记录:1769</x:v>
      </x:c>
      <x:c r="Q194" s="22" t="str">
        <x:v>evidence/valid_dialogues.jsonl:189</x:v>
      </x:c>
    </x:row>
    <x:row r="195" ht="85" customHeight="1">
      <x:c r="A195" s="21" t="str">
        <x:v>2026春:268444</x:v>
      </x:c>
      <x:c r="B195" s="22" t="str">
        <x:v>S1199</x:v>
      </x:c>
      <x:c r="C195" s="22" t="str">
        <x:v>优化与运筹</x:v>
      </x:c>
      <x:c r="D195" s="22" t="str">
        <x:v>s3</x:v>
      </x:c>
      <x:c r="E195" s="22" t="str">
        <x:v>topic-01</x:v>
      </x:c>
      <x:c r="F195" s="22" t="str">
        <x:v>topic-01</x:v>
      </x:c>
      <x:c r="G195" s="22" t="str">
        <x:v>中</x:v>
      </x:c>
      <x:c r="H195" s="22" t="str">
        <x:v>高</x:v>
      </x:c>
      <x:c r="I195" s="22" t="n">
        <x:v>2.0141467727674622</x:v>
      </x:c>
      <x:c r="J195" s="22" t="n">
        <x:v>3.9131968948482707</x:v>
      </x:c>
      <x:c r="K195" s="22" t="n">
        <x:v>1.8990501220808085</x:v>
      </x:c>
      <x:c r="L195" s="22" t="str">
        <x:v>[3]</x:v>
      </x:c>
      <x:c r="M195" s="22" t="str">
        <x:v>[13]</x:v>
      </x:c>
      <x:c r="N195" s="28" t="str">
        <x:v>0-1背包中每件物品最多只能取一次，因此状态转移时只能从上一个物品的状态递推</x:v>
      </x:c>
      <x:c r="O195" s="28" t="str">
        <x:v>可以将DP状态从一维容量扩展为多维：dp[i][j][k][l]表示考虑前i个物品，预算、人力、时间分别用了j,k,l时的最大价值。</x:v>
      </x:c>
      <x:c r="P195" s="22" t="str">
        <x:v>2026春:问答记录导出0919_已更新.xlsx:问答记录:1826</x:v>
      </x:c>
      <x:c r="Q195" s="22" t="str">
        <x:v>evidence/valid_dialogues.jsonl:190</x:v>
      </x:c>
    </x:row>
    <x:row r="196" ht="85" customHeight="1">
      <x:c r="A196" s="21" t="str">
        <x:v>2026春:268498</x:v>
      </x:c>
      <x:c r="B196" s="22" t="str">
        <x:v>S1207</x:v>
      </x:c>
      <x:c r="C196" s="22" t="str">
        <x:v>概率统计与随机过程</x:v>
      </x:c>
      <x:c r="D196" s="22" t="str">
        <x:v>s3</x:v>
      </x:c>
      <x:c r="E196" s="22" t="str">
        <x:v>topic-04</x:v>
      </x:c>
      <x:c r="F196" s="22" t="str">
        <x:v>topic-04</x:v>
      </x:c>
      <x:c r="G196" s="22" t="str">
        <x:v>低</x:v>
      </x:c>
      <x:c r="H196" s="22" t="str">
        <x:v>中</x:v>
      </x:c>
      <x:c r="I196" s="22" t="n">
        <x:v>1.555014605647517</x:v>
      </x:c>
      <x:c r="J196" s="22" t="n">
        <x:v>2.1909774436090226</x:v>
      </x:c>
      <x:c r="K196" s="22" t="n">
        <x:v>0.6359628379615057</x:v>
      </x:c>
      <x:c r="L196" s="22" t="str">
        <x:v>[3]</x:v>
      </x:c>
      <x:c r="M196" s="22" t="str">
        <x:v>[5]</x:v>
      </x:c>
      <x:c r="N196" s="28" t="str">
        <x:v>用新证据不断修正旧看法，让预测在不确定中越变越准</x:v>
      </x:c>
      <x:c r="O196" s="28" t="str">
        <x:v>没有先验知识，无法知道历史数据和经验的总结，新的证据可能会被随机事件带偏</x:v>
      </x:c>
      <x:c r="P196" s="22" t="str">
        <x:v>2026春:问答记录导出0919_已更新.xlsx:问答记录:1834</x:v>
      </x:c>
      <x:c r="Q196" s="22" t="str">
        <x:v>evidence/valid_dialogues.jsonl:191</x:v>
      </x:c>
    </x:row>
    <x:row r="197" ht="85" customHeight="1">
      <x:c r="A197" s="21" t="str">
        <x:v>2026春:268502</x:v>
      </x:c>
      <x:c r="B197" s="22" t="str">
        <x:v>S1220</x:v>
      </x:c>
      <x:c r="C197" s="22" t="str">
        <x:v>概率统计与随机过程</x:v>
      </x:c>
      <x:c r="D197" s="22" t="str">
        <x:v>s3</x:v>
      </x:c>
      <x:c r="E197" s="22" t="str">
        <x:v>topic-04</x:v>
      </x:c>
      <x:c r="F197" s="22" t="str">
        <x:v>topic-04</x:v>
      </x:c>
      <x:c r="G197" s="22" t="str">
        <x:v>中</x:v>
      </x:c>
      <x:c r="H197" s="22" t="str">
        <x:v>高</x:v>
      </x:c>
      <x:c r="I197" s="22" t="n">
        <x:v>2.1909774436090226</x:v>
      </x:c>
      <x:c r="J197" s="22" t="n">
        <x:v>3.9827956989247313</x:v>
      </x:c>
      <x:c r="K197" s="22" t="n">
        <x:v>1.7918182553157087</x:v>
      </x:c>
      <x:c r="L197" s="22" t="str">
        <x:v>[3]</x:v>
      </x:c>
      <x:c r="M197" s="22" t="str">
        <x:v>[7]</x:v>
      </x:c>
      <x:c r="N197" s="28" t="str">
        <x:v>选择一个适当阶数的多项式函数，使该函数尽可能逼近这些数据点，从而刻画变量之间的变化关系。</x:v>
      </x:c>
      <x:c r="O197" s="28" t="str">
        <x:v>从低阶开始（1阶、2阶、3阶）
逐步增加复杂度
避免直接使用高阶（防止过拟合）</x:v>
      </x:c>
      <x:c r="P197" s="22" t="str">
        <x:v>2026春:问答记录导出0919_已更新.xlsx:问答记录:1847</x:v>
      </x:c>
      <x:c r="Q197" s="22" t="str">
        <x:v>evidence/valid_dialogues.jsonl:192</x:v>
      </x:c>
    </x:row>
    <x:row r="198" ht="85" customHeight="1">
      <x:c r="A198" s="21" t="str">
        <x:v>2026春:268520</x:v>
      </x:c>
      <x:c r="B198" s="22" t="str">
        <x:v>S1244</x:v>
      </x:c>
      <x:c r="C198" s="22" t="str">
        <x:v>数学建模综合与案例</x:v>
      </x:c>
      <x:c r="D198" s="22" t="str">
        <x:v>s6</x:v>
      </x:c>
      <x:c r="E198" s="22" t="str">
        <x:v>topic-09</x:v>
      </x:c>
      <x:c r="F198" s="22" t="str">
        <x:v>topic-09</x:v>
      </x:c>
      <x:c r="G198" s="22" t="str">
        <x:v>L5</x:v>
      </x:c>
      <x:c r="H198" s="22" t="str">
        <x:v>L5</x:v>
      </x:c>
      <x:c r="I198" s="22" t="n">
        <x:v>5</x:v>
      </x:c>
      <x:c r="J198" s="22" t="n">
        <x:v>5</x:v>
      </x:c>
      <x:c r="K198" s="22" t="n">
        <x:v>0</x:v>
      </x:c>
      <x:c r="L198" s="22" t="str">
        <x:v>[3]</x:v>
      </x:c>
      <x:c r="M198" s="22" t="str">
        <x:v>[3]</x:v>
      </x:c>
      <x:c r="N198" s="28" t="str">
        <x:v>1、用李群分析交通流PDE的对称性——这个由于我的基础相对薄弱，可能仅作了解，不作为深入展开研究；
2、用对称群研究交通网络拓扑——这个可能我会重点关注，尤其是对于交通分配问题的应用（恒定路网拓扑、恒定待分配总流量、寻找最优分配使总开销最小）</x:v>
      </x:c>
      <x:c r="O198" s="28" t="str">
        <x:v>用对称群研究交通网络拓扑——这个可能我会重点关注，尤其是对于交通分配问题的应用（恒定路网拓扑、恒定待分配总流量、寻找最优分配使总开销最小）。</x:v>
      </x:c>
      <x:c r="P198" s="22" t="str">
        <x:v>2026春:问答记录导出0919_已更新.xlsx:问答记录:1871</x:v>
      </x:c>
      <x:c r="Q198" s="22" t="str">
        <x:v>evidence/valid_dialogues.jsonl:193</x:v>
      </x:c>
    </x:row>
    <x:row r="199" ht="85" customHeight="1">
      <x:c r="A199" s="21" t="str">
        <x:v>2026春:268525</x:v>
      </x:c>
      <x:c r="B199" s="22" t="str">
        <x:v>S1247</x:v>
      </x:c>
      <x:c r="C199" s="22" t="str">
        <x:v>图论与网络</x:v>
      </x:c>
      <x:c r="D199" s="22" t="str">
        <x:v>s3</x:v>
      </x:c>
      <x:c r="E199" s="22" t="str">
        <x:v>topic-02</x:v>
      </x:c>
      <x:c r="F199" s="22" t="str">
        <x:v>topic-02</x:v>
      </x:c>
      <x:c r="G199" s="22" t="str">
        <x:v>低</x:v>
      </x:c>
      <x:c r="H199" s="22" t="str">
        <x:v>高</x:v>
      </x:c>
      <x:c r="I199" s="22" t="n">
        <x:v>1.3360378634212307</x:v>
      </x:c>
      <x:c r="J199" s="22" t="n">
        <x:v>3.704184704184704</x:v>
      </x:c>
      <x:c r="K199" s="22" t="n">
        <x:v>2.3681468407634734</x:v>
      </x:c>
      <x:c r="L199" s="22" t="str">
        <x:v>[3]</x:v>
      </x:c>
      <x:c r="M199" s="22" t="str">
        <x:v>[9]</x:v>
      </x:c>
      <x:c r="N199" s="28" t="str">
        <x:v>是在一个带权连通无向图中，包含所有顶点且边权总和最小的生成树。</x:v>
      </x:c>
      <x:c r="O199" s="28" t="str">
        <x:v>适用场景：稀疏图（边很少）。需要“并查集”来判断是否成环，复杂度为 O(E \log E)。</x:v>
      </x:c>
      <x:c r="P199" s="22" t="str">
        <x:v>2026春:问答记录导出0919_已更新.xlsx:问答记录:1874</x:v>
      </x:c>
      <x:c r="Q199" s="22" t="str">
        <x:v>evidence/valid_dialogues.jsonl:194</x:v>
      </x:c>
    </x:row>
    <x:row r="200" ht="85" customHeight="1">
      <x:c r="A200" s="21" t="str">
        <x:v>2026春:268538</x:v>
      </x:c>
      <x:c r="B200" s="22" t="str">
        <x:v>S1276</x:v>
      </x:c>
      <x:c r="C200" s="22" t="str">
        <x:v>优化与运筹</x:v>
      </x:c>
      <x:c r="D200" s="22" t="str">
        <x:v>s3</x:v>
      </x:c>
      <x:c r="E200" s="22" t="str">
        <x:v>topic-01</x:v>
      </x:c>
      <x:c r="F200" s="22" t="str">
        <x:v>topic-01</x:v>
      </x:c>
      <x:c r="G200" s="22" t="str">
        <x:v>低</x:v>
      </x:c>
      <x:c r="H200" s="22" t="str">
        <x:v>低</x:v>
      </x:c>
      <x:c r="I200" s="22" t="n">
        <x:v>1.5105820105820105</x:v>
      </x:c>
      <x:c r="J200" s="22" t="n">
        <x:v>1.5105820105820105</x:v>
      </x:c>
      <x:c r="K200" s="22" t="n">
        <x:v>0</x:v>
      </x:c>
      <x:c r="L200" s="22" t="str">
        <x:v>[3]</x:v>
      </x:c>
      <x:c r="M200" s="22" t="str">
        <x:v>[5]</x:v>
      </x:c>
      <x:c r="N200" s="28" t="str">
        <x:v>多参数多变量协同调参，建立指标。寻找最优解</x:v>
      </x:c>
      <x:c r="O200" s="28" t="str">
        <x:v>多变量之间可能存在互相制约的关系。</x:v>
      </x:c>
      <x:c r="P200" s="22" t="str">
        <x:v>2026春:问答记录导出0919_已更新.xlsx:问答记录:1903</x:v>
      </x:c>
      <x:c r="Q200" s="22" t="str">
        <x:v>evidence/valid_dialogues.jsonl:195</x:v>
      </x:c>
    </x:row>
  </x:sheetData>
  <x:pageMargins left="0.7" right="0.7" top="0.75" bottom="0.75" header="0.3" footer="0.3"/>
  <x:tableParts count="1">
    <x:tablePart xmlns:r="http://schemas.openxmlformats.org/officeDocument/2006/relationships" r:id="R91d70b05a0ae4a48"/>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30" hidden="0" customWidth="1"/>
    <x:col min="3" max="3" width="12" hidden="0" customWidth="1"/>
    <x:col min="4" max="4" width="15"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55" hidden="0" customWidth="1"/>
    <x:col min="12" max="12" width="12" hidden="0" customWidth="1"/>
    <x:col min="13" max="13" width="42" hidden="0" customWidth="1"/>
    <x:col min="14" max="14" width="12" hidden="0" customWidth="1"/>
  </x:cols>
  <x:sheetData>
    <x:row r="1">
      <x:c r="A1" s="1"/>
      <x:c r="B1" s="1"/>
      <x:c r="C1" s="1"/>
      <x:c r="D1" s="1"/>
      <x:c r="E1" s="1"/>
      <x:c r="F1" s="1"/>
      <x:c r="G1" s="1"/>
      <x:c r="H1" s="1"/>
      <x:c r="I1" s="1"/>
      <x:c r="J1" s="1"/>
      <x:c r="K1" s="1"/>
      <x:c r="L1" s="1"/>
      <x:c r="M1" s="1"/>
      <x:c r="N1" s="1"/>
      <x:c r="O1" s="1"/>
    </x:row>
    <x:row r="2">
      <x:c r="A2" s="2" t="str">
        <x:v>概念CTQ与固定自然基线</x:v>
      </x:c>
      <x:c r="B2" s="1"/>
      <x:c r="C2" s="1"/>
      <x:c r="D2" s="1"/>
      <x:c r="E2" s="1"/>
      <x:c r="F2" s="1"/>
      <x:c r="G2" s="1"/>
      <x:c r="H2" s="1"/>
      <x:c r="I2" s="1"/>
      <x:c r="J2" s="1"/>
      <x:c r="K2" s="1"/>
      <x:c r="L2" s="1"/>
      <x:c r="M2" s="1"/>
      <x:c r="N2" s="1"/>
      <x:c r="O2" s="1"/>
    </x:row>
    <x:row r="3">
      <x:c r="A3" s="3" t="str">
        <x:v>自然基线仅扣一次；按概念×课程模块×量尺分组固定。该情景基线未经独立无AI对照验证。</x:v>
      </x:c>
      <x:c r="B3" s="1"/>
      <x:c r="C3" s="1"/>
      <x:c r="D3" s="1"/>
      <x:c r="E3" s="1"/>
      <x:c r="F3" s="1"/>
      <x:c r="G3" s="1"/>
      <x:c r="H3" s="1"/>
      <x:c r="I3" s="1"/>
      <x:c r="J3" s="1"/>
      <x:c r="K3" s="1"/>
      <x:c r="L3" s="1"/>
      <x:c r="M3" s="1"/>
      <x:c r="N3" s="1"/>
      <x:c r="O3" s="1"/>
    </x:row>
    <x:row r="4">
      <x:c r="A4" s="3" t="str">
        <x:v>来源：strict_concept_components.jsonl；分组自然CTQ及课程参数见matrix_metadata.json。</x:v>
      </x:c>
    </x:row>
    <x:row r="5" ht="42" customHeight="1">
      <x:c r="A5" s="9" t="str">
        <x:v>学生ID</x:v>
      </x:c>
      <x:c r="B5" s="9" t="str">
        <x:v>概念分析单元</x:v>
      </x:c>
      <x:c r="C5" s="9" t="str">
        <x:v>量尺</x:v>
      </x:c>
      <x:c r="D5" s="9" t="str">
        <x:v>课程模块</x:v>
      </x:c>
      <x:c r="E5" s="9" t="str">
        <x:v>before分</x:v>
      </x:c>
      <x:c r="F5" s="9" t="str">
        <x:v>after分</x:v>
      </x:c>
      <x:c r="G5" s="9" t="str">
        <x:v>实际CTQ</x:v>
      </x:c>
      <x:c r="H5" s="9" t="str">
        <x:v>自然CTQ</x:v>
      </x:c>
      <x:c r="I5" s="9" t="str">
        <x:v>重要性权重</x:v>
      </x:c>
      <x:c r="J5" s="9" t="str">
        <x:v>净CTQ</x:v>
      </x:c>
      <x:c r="K5" s="9" t="str">
        <x:v>自然基线分组</x:v>
      </x:c>
      <x:c r="L5" s="9" t="str">
        <x:v>分组n</x:v>
      </x:c>
      <x:c r="M5" s="9" t="str">
        <x:v>证据对话JSON</x:v>
      </x:c>
      <x:c r="N5" s="9" t="str">
        <x:v>同任务</x:v>
      </x:c>
    </x:row>
    <x:row r="6" ht="23" customHeight="1">
      <x:c r="A6" s="21" t="str">
        <x:v>2025秋:240957</x:v>
      </x:c>
      <x:c r="B6" s="22" t="str">
        <x:v>概率统计与随机过程</x:v>
      </x:c>
      <x:c r="C6" s="22" t="str">
        <x:v>s3</x:v>
      </x:c>
      <x:c r="D6" s="22" t="str">
        <x:v>topic-04</x:v>
      </x:c>
      <x:c r="E6" s="22" t="n">
        <x:v>2.1909774436090226</x:v>
      </x:c>
      <x:c r="F6" s="22" t="n">
        <x:v>3.9827956989247313</x:v>
      </x:c>
      <x:c r="G6" s="22" t="n">
        <x:v>0.3583636510631417</x:v>
      </x:c>
      <x:c r="H6" s="22" t="n">
        <x:v>0.13680392675608974</x:v>
      </x:c>
      <x:c r="I6" s="22" t="n">
        <x:v>1</x:v>
      </x:c>
      <x:c r="J6" s="22" t="n">
        <x:v>0.22155972430705198</x:v>
      </x:c>
      <x:c r="K6" s="22" t="str">
        <x:v>概率统计与随机过程|topic-04|s3</x:v>
      </x:c>
      <x:c r="L6" s="24" t="n">
        <x:v>24</x:v>
      </x:c>
      <x:c r="M6" s="22" t="str">
        <x:v>["S0440"]</x:v>
      </x:c>
      <x:c r="N6" s="22" t="str">
        <x:v>是</x:v>
      </x:c>
    </x:row>
    <x:row r="7" ht="23" customHeight="1">
      <x:c r="A7" s="21" t="str">
        <x:v>2025秋:252265</x:v>
      </x:c>
      <x:c r="B7" s="22" t="str">
        <x:v>机器学习与人工智能</x:v>
      </x:c>
      <x:c r="C7" s="22" t="str">
        <x:v>s3</x:v>
      </x:c>
      <x:c r="D7" s="22" t="str">
        <x:v>topic-06</x:v>
      </x:c>
      <x:c r="E7" s="22" t="n">
        <x:v>2.282051282051282</x:v>
      </x:c>
      <x:c r="F7" s="22" t="n">
        <x:v>3.905597014925373</x:v>
      </x:c>
      <x:c r="G7" s="22" t="n">
        <x:v>0.32470914657481825</x:v>
      </x:c>
      <x:c r="H7" s="22" t="n">
        <x:v>0.11788498564075993</x:v>
      </x:c>
      <x:c r="I7" s="22" t="n">
        <x:v>1</x:v>
      </x:c>
      <x:c r="J7" s="22" t="n">
        <x:v>0.2068241609340583</x:v>
      </x:c>
      <x:c r="K7" s="22" t="str">
        <x:v>机器学习与人工智能|topic-06|s3</x:v>
      </x:c>
      <x:c r="L7" s="24" t="n">
        <x:v>20</x:v>
      </x:c>
      <x:c r="M7" s="22" t="str">
        <x:v>["S0248"]</x:v>
      </x:c>
      <x:c r="N7" s="22" t="str">
        <x:v>是</x:v>
      </x:c>
    </x:row>
    <x:row r="8" ht="23" customHeight="1">
      <x:c r="A8" s="21" t="str">
        <x:v>2025秋:258268</x:v>
      </x:c>
      <x:c r="B8" s="22" t="str">
        <x:v>图论与网络</x:v>
      </x:c>
      <x:c r="C8" s="22" t="str">
        <x:v>s3</x:v>
      </x:c>
      <x:c r="D8" s="22" t="str">
        <x:v>topic-02</x:v>
      </x:c>
      <x:c r="E8" s="22" t="n">
        <x:v>1.2777777777777777</x:v>
      </x:c>
      <x:c r="F8" s="22" t="n">
        <x:v>1.2777777777777777</x:v>
      </x:c>
      <x:c r="G8" s="22" t="n">
        <x:v>0</x:v>
      </x:c>
      <x:c r="H8" s="22" t="n">
        <x:v>0.09508562772143313</x:v>
      </x:c>
      <x:c r="I8" s="22" t="n">
        <x:v>0.8</x:v>
      </x:c>
      <x:c r="J8" s="22" t="n">
        <x:v>-0.09508562772143313</x:v>
      </x:c>
      <x:c r="K8" s="22" t="str">
        <x:v>图论与网络|topic-02|s3</x:v>
      </x:c>
      <x:c r="L8" s="24" t="n">
        <x:v>12</x:v>
      </x:c>
      <x:c r="M8" s="22" t="str">
        <x:v>["S0259"]</x:v>
      </x:c>
      <x:c r="N8" s="22" t="str">
        <x:v>是</x:v>
      </x:c>
    </x:row>
    <x:row r="9" ht="23" customHeight="1">
      <x:c r="A9" s="21" t="str">
        <x:v>2025秋:258274</x:v>
      </x:c>
      <x:c r="B9" s="22" t="str">
        <x:v>机器学习与人工智能</x:v>
      </x:c>
      <x:c r="C9" s="22" t="str">
        <x:v>s3</x:v>
      </x:c>
      <x:c r="D9" s="22" t="str">
        <x:v>topic-06</x:v>
      </x:c>
      <x:c r="E9" s="22" t="n">
        <x:v>1.4338028169014085</x:v>
      </x:c>
      <x:c r="F9" s="22" t="n">
        <x:v>1.4338028169014085</x:v>
      </x:c>
      <x:c r="G9" s="22" t="n">
        <x:v>0</x:v>
      </x:c>
      <x:c r="H9" s="22" t="n">
        <x:v>0.11788498564075993</x:v>
      </x:c>
      <x:c r="I9" s="22" t="n">
        <x:v>1</x:v>
      </x:c>
      <x:c r="J9" s="22" t="n">
        <x:v>-0.11788498564075993</x:v>
      </x:c>
      <x:c r="K9" s="22" t="str">
        <x:v>机器学习与人工智能|topic-06|s3</x:v>
      </x:c>
      <x:c r="L9" s="24" t="n">
        <x:v>20</x:v>
      </x:c>
      <x:c r="M9" s="22" t="str">
        <x:v>["S0275"]</x:v>
      </x:c>
      <x:c r="N9" s="22" t="str">
        <x:v>是</x:v>
      </x:c>
    </x:row>
    <x:row r="10" ht="23" customHeight="1">
      <x:c r="A10" s="21" t="str">
        <x:v>2025秋:258425</x:v>
      </x:c>
      <x:c r="B10" s="22" t="str">
        <x:v>微分方程与动态系统</x:v>
      </x:c>
      <x:c r="C10" s="22" t="str">
        <x:v>s3</x:v>
      </x:c>
      <x:c r="D10" s="22" t="str">
        <x:v>topic-03</x:v>
      </x:c>
      <x:c r="E10" s="22" t="n">
        <x:v>1.548148148148148</x:v>
      </x:c>
      <x:c r="F10" s="22" t="n">
        <x:v>1.548148148148148</x:v>
      </x:c>
      <x:c r="G10" s="22" t="n">
        <x:v>0</x:v>
      </x:c>
      <x:c r="H10" s="22" t="n">
        <x:v>0.09397262801602238</x:v>
      </x:c>
      <x:c r="I10" s="22" t="n">
        <x:v>0.8</x:v>
      </x:c>
      <x:c r="J10" s="22" t="n">
        <x:v>-0.09397262801602238</x:v>
      </x:c>
      <x:c r="K10" s="22" t="str">
        <x:v>微分方程与动态系统|topic-03|s3</x:v>
      </x:c>
      <x:c r="L10" s="24" t="n">
        <x:v>7</x:v>
      </x:c>
      <x:c r="M10" s="22" t="str">
        <x:v>["S0319"]</x:v>
      </x:c>
      <x:c r="N10" s="22" t="str">
        <x:v>是</x:v>
      </x:c>
    </x:row>
    <x:row r="11" ht="23" customHeight="1">
      <x:c r="A11" s="21" t="str">
        <x:v>2025秋:258428</x:v>
      </x:c>
      <x:c r="B11" s="22" t="str">
        <x:v>优化与运筹</x:v>
      </x:c>
      <x:c r="C11" s="22" t="str">
        <x:v>s3</x:v>
      </x:c>
      <x:c r="D11" s="22" t="str">
        <x:v>topic-01</x:v>
      </x:c>
      <x:c r="E11" s="22" t="n">
        <x:v>2.051719238420006</x:v>
      </x:c>
      <x:c r="F11" s="22" t="n">
        <x:v>3.95672131147541</x:v>
      </x:c>
      <x:c r="G11" s="22" t="n">
        <x:v>0.3810004146110808</x:v>
      </x:c>
      <x:c r="H11" s="22" t="n">
        <x:v>0.13683228565235026</x:v>
      </x:c>
      <x:c r="I11" s="22" t="n">
        <x:v>1</x:v>
      </x:c>
      <x:c r="J11" s="22" t="n">
        <x:v>0.24416812895873055</x:v>
      </x:c>
      <x:c r="K11" s="22" t="str">
        <x:v>优化与运筹|topic-01|s3</x:v>
      </x:c>
      <x:c r="L11" s="24" t="n">
        <x:v>64</x:v>
      </x:c>
      <x:c r="M11" s="22" t="str">
        <x:v>["S0096"]</x:v>
      </x:c>
      <x:c r="N11" s="22" t="str">
        <x:v>是</x:v>
      </x:c>
    </x:row>
    <x:row r="12" ht="23" customHeight="1">
      <x:c r="A12" s="21" t="str">
        <x:v>2025秋:258430</x:v>
      </x:c>
      <x:c r="B12" s="22" t="str">
        <x:v>数据处理与可视化</x:v>
      </x:c>
      <x:c r="C12" s="22" t="str">
        <x:v>s3</x:v>
      </x:c>
      <x:c r="D12" s="22" t="str">
        <x:v>topic-07</x:v>
      </x:c>
      <x:c r="E12" s="22" t="n">
        <x:v>1.4389140271493213</x:v>
      </x:c>
      <x:c r="F12" s="22" t="n">
        <x:v>3.593855376545523</x:v>
      </x:c>
      <x:c r="G12" s="22" t="n">
        <x:v>0.4309882698792403</x:v>
      </x:c>
      <x:c r="H12" s="22" t="n">
        <x:v>0.09153227001945982</x:v>
      </x:c>
      <x:c r="I12" s="22" t="n">
        <x:v>0.8</x:v>
      </x:c>
      <x:c r="J12" s="22" t="n">
        <x:v>0.3394559998597805</x:v>
      </x:c>
      <x:c r="K12" s="22" t="str">
        <x:v>数据处理与可视化|topic-07|s3</x:v>
      </x:c>
      <x:c r="L12" s="24" t="n">
        <x:v>7</x:v>
      </x:c>
      <x:c r="M12" s="22" t="str">
        <x:v>["S0052"]</x:v>
      </x:c>
      <x:c r="N12" s="22" t="str">
        <x:v>是</x:v>
      </x:c>
    </x:row>
    <x:row r="13" ht="23" customHeight="1">
      <x:c r="A13" s="21" t="str">
        <x:v>2025秋:258431</x:v>
      </x:c>
      <x:c r="B13" s="22" t="str">
        <x:v>优化与运筹</x:v>
      </x:c>
      <x:c r="C13" s="22" t="str">
        <x:v>s3</x:v>
      </x:c>
      <x:c r="D13" s="22" t="str">
        <x:v>topic-01</x:v>
      </x:c>
      <x:c r="E13" s="22" t="n">
        <x:v>2.1268939393939394</x:v>
      </x:c>
      <x:c r="F13" s="22" t="n">
        <x:v>3.918001033057851</x:v>
      </x:c>
      <x:c r="G13" s="22" t="n">
        <x:v>0.3582214187327823</x:v>
      </x:c>
      <x:c r="H13" s="22" t="n">
        <x:v>0.13683228565235026</x:v>
      </x:c>
      <x:c r="I13" s="22" t="n">
        <x:v>1</x:v>
      </x:c>
      <x:c r="J13" s="22" t="n">
        <x:v>0.22138913308043204</x:v>
      </x:c>
      <x:c r="K13" s="22" t="str">
        <x:v>优化与运筹|topic-01|s3</x:v>
      </x:c>
      <x:c r="L13" s="24" t="n">
        <x:v>64</x:v>
      </x:c>
      <x:c r="M13" s="22" t="str">
        <x:v>["S0444","S0667"]</x:v>
      </x:c>
      <x:c r="N13" s="22" t="str">
        <x:v>是</x:v>
      </x:c>
    </x:row>
    <x:row r="14" ht="23" customHeight="1">
      <x:c r="A14" s="21" t="str">
        <x:v>2025秋:258439</x:v>
      </x:c>
      <x:c r="B14" s="22" t="str">
        <x:v>数学建模综合与案例</x:v>
      </x:c>
      <x:c r="C14" s="22" t="str">
        <x:v>s6</x:v>
      </x:c>
      <x:c r="D14" s="22" t="str">
        <x:v>topic-09</x:v>
      </x:c>
      <x:c r="E14" s="22" t="n">
        <x:v>6</x:v>
      </x:c>
      <x:c r="F14" s="22" t="n">
        <x:v>6</x:v>
      </x:c>
      <x:c r="G14" s="22" t="n">
        <x:v>0</x:v>
      </x:c>
      <x:c r="H14" s="22" t="n">
        <x:v>0.15771428571428572</x:v>
      </x:c>
      <x:c r="I14" s="22" t="n">
        <x:v>1</x:v>
      </x:c>
      <x:c r="J14" s="22" t="n">
        <x:v>-0.15771428571428572</x:v>
      </x:c>
      <x:c r="K14" s="22" t="str">
        <x:v>数学建模综合与案例|topic-09|s6</x:v>
      </x:c>
      <x:c r="L14" s="24" t="n">
        <x:v>7</x:v>
      </x:c>
      <x:c r="M14" s="22" t="str">
        <x:v>["S0280"]</x:v>
      </x:c>
      <x:c r="N14" s="22" t="str">
        <x:v>是</x:v>
      </x:c>
    </x:row>
    <x:row r="15" ht="23" customHeight="1">
      <x:c r="A15" s="21" t="str">
        <x:v>2025秋:258440</x:v>
      </x:c>
      <x:c r="B15" s="22" t="str">
        <x:v>图论与网络</x:v>
      </x:c>
      <x:c r="C15" s="22" t="str">
        <x:v>s3</x:v>
      </x:c>
      <x:c r="D15" s="22" t="str">
        <x:v>topic-02</x:v>
      </x:c>
      <x:c r="E15" s="22" t="n">
        <x:v>2.0806100217864927</x:v>
      </x:c>
      <x:c r="F15" s="22" t="n">
        <x:v>2.0806100217864927</x:v>
      </x:c>
      <x:c r="G15" s="22" t="n">
        <x:v>0</x:v>
      </x:c>
      <x:c r="H15" s="22" t="n">
        <x:v>0.09508562772143313</x:v>
      </x:c>
      <x:c r="I15" s="22" t="n">
        <x:v>0.8</x:v>
      </x:c>
      <x:c r="J15" s="22" t="n">
        <x:v>-0.09508562772143313</x:v>
      </x:c>
      <x:c r="K15" s="22" t="str">
        <x:v>图论与网络|topic-02|s3</x:v>
      </x:c>
      <x:c r="L15" s="24" t="n">
        <x:v>12</x:v>
      </x:c>
      <x:c r="M15" s="22" t="str">
        <x:v>["S0350"]</x:v>
      </x:c>
      <x:c r="N15" s="22" t="str">
        <x:v>是</x:v>
      </x:c>
    </x:row>
    <x:row r="16" ht="23" customHeight="1">
      <x:c r="A16" s="21" t="str">
        <x:v>2025秋:258440</x:v>
      </x:c>
      <x:c r="B16" s="22" t="str">
        <x:v>机器学习与人工智能</x:v>
      </x:c>
      <x:c r="C16" s="22" t="str">
        <x:v>s3</x:v>
      </x:c>
      <x:c r="D16" s="22" t="str">
        <x:v>topic-06</x:v>
      </x:c>
      <x:c r="E16" s="22" t="n">
        <x:v>3.8822412155745485</x:v>
      </x:c>
      <x:c r="F16" s="22" t="n">
        <x:v>3.8822412155745485</x:v>
      </x:c>
      <x:c r="G16" s="22" t="n">
        <x:v>0</x:v>
      </x:c>
      <x:c r="H16" s="22" t="n">
        <x:v>0.11788498564075993</x:v>
      </x:c>
      <x:c r="I16" s="22" t="n">
        <x:v>1</x:v>
      </x:c>
      <x:c r="J16" s="22" t="n">
        <x:v>-0.11788498564075993</x:v>
      </x:c>
      <x:c r="K16" s="22" t="str">
        <x:v>机器学习与人工智能|topic-06|s3</x:v>
      </x:c>
      <x:c r="L16" s="24" t="n">
        <x:v>20</x:v>
      </x:c>
      <x:c r="M16" s="22" t="str">
        <x:v>["S0666"]</x:v>
      </x:c>
      <x:c r="N16" s="22" t="str">
        <x:v>是</x:v>
      </x:c>
    </x:row>
    <x:row r="17" ht="23" customHeight="1">
      <x:c r="A17" s="21" t="str">
        <x:v>2025秋:258504</x:v>
      </x:c>
      <x:c r="B17" s="22" t="str">
        <x:v>数学建模综合与案例</x:v>
      </x:c>
      <x:c r="C17" s="22" t="str">
        <x:v>s6</x:v>
      </x:c>
      <x:c r="D17" s="22" t="str">
        <x:v>topic-09</x:v>
      </x:c>
      <x:c r="E17" s="22" t="n">
        <x:v>2</x:v>
      </x:c>
      <x:c r="F17" s="22" t="n">
        <x:v>4</x:v>
      </x:c>
      <x:c r="G17" s="22" t="n">
        <x:v>0.4</x:v>
      </x:c>
      <x:c r="H17" s="22" t="n">
        <x:v>0.15771428571428572</x:v>
      </x:c>
      <x:c r="I17" s="22" t="n">
        <x:v>1</x:v>
      </x:c>
      <x:c r="J17" s="22" t="n">
        <x:v>0.2422857142857143</x:v>
      </x:c>
      <x:c r="K17" s="22" t="str">
        <x:v>数学建模综合与案例|topic-09|s6</x:v>
      </x:c>
      <x:c r="L17" s="24" t="n">
        <x:v>7</x:v>
      </x:c>
      <x:c r="M17" s="22" t="str">
        <x:v>["S0508"]</x:v>
      </x:c>
      <x:c r="N17" s="22" t="str">
        <x:v>是</x:v>
      </x:c>
    </x:row>
    <x:row r="18" ht="23" customHeight="1">
      <x:c r="A18" s="21" t="str">
        <x:v>2025秋:258524</x:v>
      </x:c>
      <x:c r="B18" s="22" t="str">
        <x:v>数学基础</x:v>
      </x:c>
      <x:c r="C18" s="22" t="str">
        <x:v>s6</x:v>
      </x:c>
      <x:c r="D18" s="22" t="str">
        <x:v>topic-10</x:v>
      </x:c>
      <x:c r="E18" s="22" t="n">
        <x:v>1</x:v>
      </x:c>
      <x:c r="F18" s="22" t="n">
        <x:v>5</x:v>
      </x:c>
      <x:c r="G18" s="22" t="n">
        <x:v>0.8</x:v>
      </x:c>
      <x:c r="H18" s="22" t="n">
        <x:v>0.138</x:v>
      </x:c>
      <x:c r="I18" s="22" t="n">
        <x:v>0.8</x:v>
      </x:c>
      <x:c r="J18" s="22" t="n">
        <x:v>0.662</x:v>
      </x:c>
      <x:c r="K18" s="22" t="str">
        <x:v>数学基础|topic-10|s6</x:v>
      </x:c>
      <x:c r="L18" s="24" t="n">
        <x:v>2</x:v>
      </x:c>
      <x:c r="M18" s="22" t="str">
        <x:v>["S0041"]</x:v>
      </x:c>
      <x:c r="N18" s="22" t="str">
        <x:v>是</x:v>
      </x:c>
    </x:row>
    <x:row r="19" ht="23" customHeight="1">
      <x:c r="A19" s="21" t="str">
        <x:v>2025秋:258526</x:v>
      </x:c>
      <x:c r="B19" s="22" t="str">
        <x:v>机器学习与人工智能</x:v>
      </x:c>
      <x:c r="C19" s="22" t="str">
        <x:v>s3</x:v>
      </x:c>
      <x:c r="D19" s="22" t="str">
        <x:v>topic-06</x:v>
      </x:c>
      <x:c r="E19" s="22" t="n">
        <x:v>2.277888844462215</x:v>
      </x:c>
      <x:c r="F19" s="22" t="n">
        <x:v>3.922043891254504</x:v>
      </x:c>
      <x:c r="G19" s="22" t="n">
        <x:v>0.32883100935845777</x:v>
      </x:c>
      <x:c r="H19" s="22" t="n">
        <x:v>0.11788498564075993</x:v>
      </x:c>
      <x:c r="I19" s="22" t="n">
        <x:v>1</x:v>
      </x:c>
      <x:c r="J19" s="22" t="n">
        <x:v>0.21094602371769783</x:v>
      </x:c>
      <x:c r="K19" s="22" t="str">
        <x:v>机器学习与人工智能|topic-06|s3</x:v>
      </x:c>
      <x:c r="L19" s="24" t="n">
        <x:v>20</x:v>
      </x:c>
      <x:c r="M19" s="22" t="str">
        <x:v>["S0300"]</x:v>
      </x:c>
      <x:c r="N19" s="22" t="str">
        <x:v>是</x:v>
      </x:c>
    </x:row>
    <x:row r="20" ht="23" customHeight="1">
      <x:c r="A20" s="21" t="str">
        <x:v>2025秋:258540</x:v>
      </x:c>
      <x:c r="B20" s="22" t="str">
        <x:v>优化与运筹</x:v>
      </x:c>
      <x:c r="C20" s="22" t="str">
        <x:v>s3</x:v>
      </x:c>
      <x:c r="D20" s="22" t="str">
        <x:v>topic-01</x:v>
      </x:c>
      <x:c r="E20" s="22" t="n">
        <x:v>1.4780701754385965</x:v>
      </x:c>
      <x:c r="F20" s="22" t="n">
        <x:v>2.0141467727674622</x:v>
      </x:c>
      <x:c r="G20" s="22" t="n">
        <x:v>0.10721531946577315</x:v>
      </x:c>
      <x:c r="H20" s="22" t="n">
        <x:v>0.13683228565235026</x:v>
      </x:c>
      <x:c r="I20" s="22" t="n">
        <x:v>1</x:v>
      </x:c>
      <x:c r="J20" s="22" t="n">
        <x:v>-0.02961696618657711</x:v>
      </x:c>
      <x:c r="K20" s="22" t="str">
        <x:v>优化与运筹|topic-01|s3</x:v>
      </x:c>
      <x:c r="L20" s="24" t="n">
        <x:v>64</x:v>
      </x:c>
      <x:c r="M20" s="22" t="str">
        <x:v>["S0042"]</x:v>
      </x:c>
      <x:c r="N20" s="22" t="str">
        <x:v>是</x:v>
      </x:c>
    </x:row>
    <x:row r="21" ht="23" customHeight="1">
      <x:c r="A21" s="21" t="str">
        <x:v>2025秋:258755</x:v>
      </x:c>
      <x:c r="B21" s="22" t="str">
        <x:v>概率统计与随机过程</x:v>
      </x:c>
      <x:c r="C21" s="22" t="str">
        <x:v>s3</x:v>
      </x:c>
      <x:c r="D21" s="22" t="str">
        <x:v>topic-04</x:v>
      </x:c>
      <x:c r="E21" s="22" t="n">
        <x:v>2.05982905982906</x:v>
      </x:c>
      <x:c r="F21" s="22" t="n">
        <x:v>3.8109393579072535</x:v>
      </x:c>
      <x:c r="G21" s="22" t="n">
        <x:v>0.3502220596156387</x:v>
      </x:c>
      <x:c r="H21" s="22" t="n">
        <x:v>0.13680392675608974</x:v>
      </x:c>
      <x:c r="I21" s="22" t="n">
        <x:v>1</x:v>
      </x:c>
      <x:c r="J21" s="22" t="n">
        <x:v>0.21341813285954894</x:v>
      </x:c>
      <x:c r="K21" s="22" t="str">
        <x:v>概率统计与随机过程|topic-04|s3</x:v>
      </x:c>
      <x:c r="L21" s="24" t="n">
        <x:v>24</x:v>
      </x:c>
      <x:c r="M21" s="22" t="str">
        <x:v>["S0263"]</x:v>
      </x:c>
      <x:c r="N21" s="22" t="str">
        <x:v>是</x:v>
      </x:c>
    </x:row>
    <x:row r="22" ht="23" customHeight="1">
      <x:c r="A22" s="21" t="str">
        <x:v>2025秋:258858</x:v>
      </x:c>
      <x:c r="B22" s="22" t="str">
        <x:v>优化与运筹</x:v>
      </x:c>
      <x:c r="C22" s="22" t="str">
        <x:v>s3</x:v>
      </x:c>
      <x:c r="D22" s="22" t="str">
        <x:v>topic-01</x:v>
      </x:c>
      <x:c r="E22" s="22" t="n">
        <x:v>2.0141467727674622</x:v>
      </x:c>
      <x:c r="F22" s="22" t="n">
        <x:v>3.9131968948482707</x:v>
      </x:c>
      <x:c r="G22" s="22" t="n">
        <x:v>0.3798100244161617</x:v>
      </x:c>
      <x:c r="H22" s="22" t="n">
        <x:v>0.13683228565235026</x:v>
      </x:c>
      <x:c r="I22" s="22" t="n">
        <x:v>1</x:v>
      </x:c>
      <x:c r="J22" s="22" t="n">
        <x:v>0.24297773876381143</x:v>
      </x:c>
      <x:c r="K22" s="22" t="str">
        <x:v>优化与运筹|topic-01|s3</x:v>
      </x:c>
      <x:c r="L22" s="24" t="n">
        <x:v>64</x:v>
      </x:c>
      <x:c r="M22" s="22" t="str">
        <x:v>["S0232"]</x:v>
      </x:c>
      <x:c r="N22" s="22" t="str">
        <x:v>是</x:v>
      </x:c>
    </x:row>
    <x:row r="23" ht="23" customHeight="1">
      <x:c r="A23" s="21" t="str">
        <x:v>2025秋:258858</x:v>
      </x:c>
      <x:c r="B23" s="22" t="str">
        <x:v>微分方程与动态系统</x:v>
      </x:c>
      <x:c r="C23" s="22" t="str">
        <x:v>s3</x:v>
      </x:c>
      <x:c r="D23" s="22" t="str">
        <x:v>topic-03</x:v>
      </x:c>
      <x:c r="E23" s="22" t="n">
        <x:v>1.521825396825397</x:v>
      </x:c>
      <x:c r="F23" s="22" t="n">
        <x:v>3.5076400679117143</x:v>
      </x:c>
      <x:c r="G23" s="22" t="n">
        <x:v>0.39716293421726345</x:v>
      </x:c>
      <x:c r="H23" s="22" t="n">
        <x:v>0.09397262801602238</x:v>
      </x:c>
      <x:c r="I23" s="22" t="n">
        <x:v>0.8</x:v>
      </x:c>
      <x:c r="J23" s="22" t="n">
        <x:v>0.3031903062012411</x:v>
      </x:c>
      <x:c r="K23" s="22" t="str">
        <x:v>微分方程与动态系统|topic-03|s3</x:v>
      </x:c>
      <x:c r="L23" s="24" t="n">
        <x:v>7</x:v>
      </x:c>
      <x:c r="M23" s="22" t="str">
        <x:v>["S0103"]</x:v>
      </x:c>
      <x:c r="N23" s="22" t="str">
        <x:v>是</x:v>
      </x:c>
    </x:row>
    <x:row r="24" ht="23" customHeight="1">
      <x:c r="A24" s="21" t="str">
        <x:v>2025秋:258859</x:v>
      </x:c>
      <x:c r="B24" s="22" t="str">
        <x:v>数值计算与科学计算</x:v>
      </x:c>
      <x:c r="C24" s="22" t="str">
        <x:v>s3</x:v>
      </x:c>
      <x:c r="D24" s="22" t="str">
        <x:v>topic-05</x:v>
      </x:c>
      <x:c r="E24" s="22" t="n">
        <x:v>2.0957854406130267</x:v>
      </x:c>
      <x:c r="F24" s="22" t="n">
        <x:v>2.8145035792094615</x:v>
      </x:c>
      <x:c r="G24" s="22" t="n">
        <x:v>0.14374362771928695</x:v>
      </x:c>
      <x:c r="H24" s="22" t="n">
        <x:v>0.045477277653559384</x:v>
      </x:c>
      <x:c r="I24" s="22" t="n">
        <x:v>0.6</x:v>
      </x:c>
      <x:c r="J24" s="22" t="n">
        <x:v>0.09826635006572756</x:v>
      </x:c>
      <x:c r="K24" s="22" t="str">
        <x:v>数值计算与科学计算|topic-05|s3</x:v>
      </x:c>
      <x:c r="L24" s="24" t="n">
        <x:v>9</x:v>
      </x:c>
      <x:c r="M24" s="22" t="str">
        <x:v>["S0091"]</x:v>
      </x:c>
      <x:c r="N24" s="22" t="str">
        <x:v>是</x:v>
      </x:c>
    </x:row>
    <x:row r="25" ht="23" customHeight="1">
      <x:c r="A25" s="21" t="str">
        <x:v>2025秋:258868</x:v>
      </x:c>
      <x:c r="B25" s="22" t="str">
        <x:v>评价与决策</x:v>
      </x:c>
      <x:c r="C25" s="22" t="str">
        <x:v>s3</x:v>
      </x:c>
      <x:c r="D25" s="22" t="str">
        <x:v>topic-08</x:v>
      </x:c>
      <x:c r="E25" s="22" t="n">
        <x:v>2.111801242236025</x:v>
      </x:c>
      <x:c r="F25" s="22" t="n">
        <x:v>2.111801242236025</x:v>
      </x:c>
      <x:c r="G25" s="22" t="n">
        <x:v>0</x:v>
      </x:c>
      <x:c r="H25" s="22" t="n">
        <x:v>0.13285714285714287</x:v>
      </x:c>
      <x:c r="I25" s="22" t="n">
        <x:v>1</x:v>
      </x:c>
      <x:c r="J25" s="22" t="n">
        <x:v>-0.13285714285714287</x:v>
      </x:c>
      <x:c r="K25" s="22" t="str">
        <x:v>评价与决策|topic-08|s3</x:v>
      </x:c>
      <x:c r="L25" s="24" t="n">
        <x:v>1</x:v>
      </x:c>
      <x:c r="M25" s="22" t="str">
        <x:v>["S0028"]</x:v>
      </x:c>
      <x:c r="N25" s="22" t="str">
        <x:v>是</x:v>
      </x:c>
    </x:row>
    <x:row r="26" ht="23" customHeight="1">
      <x:c r="A26" s="21" t="str">
        <x:v>2025秋:258878</x:v>
      </x:c>
      <x:c r="B26" s="22" t="str">
        <x:v>优化与运筹</x:v>
      </x:c>
      <x:c r="C26" s="22" t="str">
        <x:v>s3</x:v>
      </x:c>
      <x:c r="D26" s="22" t="str">
        <x:v>topic-01</x:v>
      </x:c>
      <x:c r="E26" s="22" t="n">
        <x:v>1.4780701754385965</x:v>
      </x:c>
      <x:c r="F26" s="22" t="n">
        <x:v>3.9131968948482707</x:v>
      </x:c>
      <x:c r="G26" s="22" t="n">
        <x:v>0.48702534388193486</x:v>
      </x:c>
      <x:c r="H26" s="22" t="n">
        <x:v>0.13683228565235026</x:v>
      </x:c>
      <x:c r="I26" s="22" t="n">
        <x:v>1</x:v>
      </x:c>
      <x:c r="J26" s="22" t="n">
        <x:v>0.3501930582295846</x:v>
      </x:c>
      <x:c r="K26" s="22" t="str">
        <x:v>优化与运筹|topic-01|s3</x:v>
      </x:c>
      <x:c r="L26" s="24" t="n">
        <x:v>64</x:v>
      </x:c>
      <x:c r="M26" s="22" t="str">
        <x:v>["S0364"]</x:v>
      </x:c>
      <x:c r="N26" s="22" t="str">
        <x:v>是</x:v>
      </x:c>
    </x:row>
    <x:row r="27" ht="23" customHeight="1">
      <x:c r="A27" s="21" t="str">
        <x:v>2025秋:258880</x:v>
      </x:c>
      <x:c r="B27" s="22" t="str">
        <x:v>数据处理与可视化</x:v>
      </x:c>
      <x:c r="C27" s="22" t="str">
        <x:v>s3</x:v>
      </x:c>
      <x:c r="D27" s="22" t="str">
        <x:v>topic-07</x:v>
      </x:c>
      <x:c r="E27" s="22" t="n">
        <x:v>1.5819397993311037</x:v>
      </x:c>
      <x:c r="F27" s="22" t="n">
        <x:v>1.5819397993311037</x:v>
      </x:c>
      <x:c r="G27" s="22" t="n">
        <x:v>0</x:v>
      </x:c>
      <x:c r="H27" s="22" t="n">
        <x:v>0.09153227001945982</x:v>
      </x:c>
      <x:c r="I27" s="22" t="n">
        <x:v>0.8</x:v>
      </x:c>
      <x:c r="J27" s="22" t="n">
        <x:v>-0.09153227001945982</x:v>
      </x:c>
      <x:c r="K27" s="22" t="str">
        <x:v>数据处理与可视化|topic-07|s3</x:v>
      </x:c>
      <x:c r="L27" s="24" t="n">
        <x:v>7</x:v>
      </x:c>
      <x:c r="M27" s="22" t="str">
        <x:v>["S0063"]</x:v>
      </x:c>
      <x:c r="N27" s="22" t="str">
        <x:v>是</x:v>
      </x:c>
    </x:row>
    <x:row r="28" ht="23" customHeight="1">
      <x:c r="A28" s="21" t="str">
        <x:v>2025秋:258887</x:v>
      </x:c>
      <x:c r="B28" s="22" t="str">
        <x:v>优化与运筹</x:v>
      </x:c>
      <x:c r="C28" s="22" t="str">
        <x:v>s3</x:v>
      </x:c>
      <x:c r="D28" s="22" t="str">
        <x:v>topic-01</x:v>
      </x:c>
      <x:c r="E28" s="22" t="n">
        <x:v>2.1268939393939394</x:v>
      </x:c>
      <x:c r="F28" s="22" t="n">
        <x:v>2.1268939393939394</x:v>
      </x:c>
      <x:c r="G28" s="22" t="n">
        <x:v>0</x:v>
      </x:c>
      <x:c r="H28" s="22" t="n">
        <x:v>0.13683228565235026</x:v>
      </x:c>
      <x:c r="I28" s="22" t="n">
        <x:v>1</x:v>
      </x:c>
      <x:c r="J28" s="22" t="n">
        <x:v>-0.13683228565235026</x:v>
      </x:c>
      <x:c r="K28" s="22" t="str">
        <x:v>优化与运筹|topic-01|s3</x:v>
      </x:c>
      <x:c r="L28" s="24" t="n">
        <x:v>64</x:v>
      </x:c>
      <x:c r="M28" s="22" t="str">
        <x:v>["S0309"]</x:v>
      </x:c>
      <x:c r="N28" s="22" t="str">
        <x:v>是</x:v>
      </x:c>
    </x:row>
    <x:row r="29" ht="23" customHeight="1">
      <x:c r="A29" s="21" t="str">
        <x:v>2025秋:258888</x:v>
      </x:c>
      <x:c r="B29" s="22" t="str">
        <x:v>优化与运筹</x:v>
      </x:c>
      <x:c r="C29" s="22" t="str">
        <x:v>s3</x:v>
      </x:c>
      <x:c r="D29" s="22" t="str">
        <x:v>topic-01</x:v>
      </x:c>
      <x:c r="E29" s="22" t="n">
        <x:v>1.4780701754385965</x:v>
      </x:c>
      <x:c r="F29" s="22" t="n">
        <x:v>3.9131968948482707</x:v>
      </x:c>
      <x:c r="G29" s="22" t="n">
        <x:v>0.48702534388193486</x:v>
      </x:c>
      <x:c r="H29" s="22" t="n">
        <x:v>0.13683228565235026</x:v>
      </x:c>
      <x:c r="I29" s="22" t="n">
        <x:v>1</x:v>
      </x:c>
      <x:c r="J29" s="22" t="n">
        <x:v>0.3501930582295846</x:v>
      </x:c>
      <x:c r="K29" s="22" t="str">
        <x:v>优化与运筹|topic-01|s3</x:v>
      </x:c>
      <x:c r="L29" s="24" t="n">
        <x:v>64</x:v>
      </x:c>
      <x:c r="M29" s="22" t="str">
        <x:v>["S0190","S0365"]</x:v>
      </x:c>
      <x:c r="N29" s="22" t="str">
        <x:v>否</x:v>
      </x:c>
    </x:row>
    <x:row r="30" ht="23" customHeight="1">
      <x:c r="A30" s="21" t="str">
        <x:v>2025秋:258889</x:v>
      </x:c>
      <x:c r="B30" s="22" t="str">
        <x:v>概率统计与随机过程</x:v>
      </x:c>
      <x:c r="C30" s="22" t="str">
        <x:v>s3</x:v>
      </x:c>
      <x:c r="D30" s="22" t="str">
        <x:v>topic-04</x:v>
      </x:c>
      <x:c r="E30" s="22" t="n">
        <x:v>1.5243589743589745</x:v>
      </x:c>
      <x:c r="F30" s="22" t="n">
        <x:v>2.120723362658847</x:v>
      </x:c>
      <x:c r="G30" s="22" t="n">
        <x:v>0.11927287765997448</x:v>
      </x:c>
      <x:c r="H30" s="22" t="n">
        <x:v>0.13680392675608974</x:v>
      </x:c>
      <x:c r="I30" s="22" t="n">
        <x:v>1</x:v>
      </x:c>
      <x:c r="J30" s="22" t="n">
        <x:v>-0.01753104909611526</x:v>
      </x:c>
      <x:c r="K30" s="22" t="str">
        <x:v>概率统计与随机过程|topic-04|s3</x:v>
      </x:c>
      <x:c r="L30" s="24" t="n">
        <x:v>24</x:v>
      </x:c>
      <x:c r="M30" s="22" t="str">
        <x:v>["S0040"]</x:v>
      </x:c>
      <x:c r="N30" s="22" t="str">
        <x:v>是</x:v>
      </x:c>
    </x:row>
    <x:row r="31" ht="23" customHeight="1">
      <x:c r="A31" s="21" t="str">
        <x:v>2025秋:258892</x:v>
      </x:c>
      <x:c r="B31" s="22" t="str">
        <x:v>图论与网络</x:v>
      </x:c>
      <x:c r="C31" s="22" t="str">
        <x:v>s3</x:v>
      </x:c>
      <x:c r="D31" s="22" t="str">
        <x:v>topic-02</x:v>
      </x:c>
      <x:c r="E31" s="22" t="n">
        <x:v>2.0806100217864927</x:v>
      </x:c>
      <x:c r="F31" s="22" t="n">
        <x:v>2.0806100217864927</x:v>
      </x:c>
      <x:c r="G31" s="22" t="n">
        <x:v>0</x:v>
      </x:c>
      <x:c r="H31" s="22" t="n">
        <x:v>0.09508562772143313</x:v>
      </x:c>
      <x:c r="I31" s="22" t="n">
        <x:v>0.8</x:v>
      </x:c>
      <x:c r="J31" s="22" t="n">
        <x:v>-0.09508562772143313</x:v>
      </x:c>
      <x:c r="K31" s="22" t="str">
        <x:v>图论与网络|topic-02|s3</x:v>
      </x:c>
      <x:c r="L31" s="24" t="n">
        <x:v>12</x:v>
      </x:c>
      <x:c r="M31" s="22" t="str">
        <x:v>["S0473"]</x:v>
      </x:c>
      <x:c r="N31" s="22" t="str">
        <x:v>是</x:v>
      </x:c>
    </x:row>
    <x:row r="32" ht="23" customHeight="1">
      <x:c r="A32" s="21" t="str">
        <x:v>2025秋:258900</x:v>
      </x:c>
      <x:c r="B32" s="22" t="str">
        <x:v>优化与运筹</x:v>
      </x:c>
      <x:c r="C32" s="22" t="str">
        <x:v>s3</x:v>
      </x:c>
      <x:c r="D32" s="22" t="str">
        <x:v>topic-01</x:v>
      </x:c>
      <x:c r="E32" s="22" t="n">
        <x:v>1.469617404351088</x:v>
      </x:c>
      <x:c r="F32" s="22" t="n">
        <x:v>1.469617404351088</x:v>
      </x:c>
      <x:c r="G32" s="22" t="n">
        <x:v>0</x:v>
      </x:c>
      <x:c r="H32" s="22" t="n">
        <x:v>0.13683228565235026</x:v>
      </x:c>
      <x:c r="I32" s="22" t="n">
        <x:v>1</x:v>
      </x:c>
      <x:c r="J32" s="22" t="n">
        <x:v>-0.13683228565235026</x:v>
      </x:c>
      <x:c r="K32" s="22" t="str">
        <x:v>优化与运筹|topic-01|s3</x:v>
      </x:c>
      <x:c r="L32" s="24" t="n">
        <x:v>64</x:v>
      </x:c>
      <x:c r="M32" s="22" t="str">
        <x:v>["S0460"]</x:v>
      </x:c>
      <x:c r="N32" s="22" t="str">
        <x:v>是</x:v>
      </x:c>
    </x:row>
    <x:row r="33" ht="23" customHeight="1">
      <x:c r="A33" s="21" t="str">
        <x:v>2025秋:258902</x:v>
      </x:c>
      <x:c r="B33" s="22" t="str">
        <x:v>优化与运筹</x:v>
      </x:c>
      <x:c r="C33" s="22" t="str">
        <x:v>s3</x:v>
      </x:c>
      <x:c r="D33" s="22" t="str">
        <x:v>topic-01</x:v>
      </x:c>
      <x:c r="E33" s="22" t="n">
        <x:v>1.4431818181818181</x:v>
      </x:c>
      <x:c r="F33" s="22" t="n">
        <x:v>3.95672131147541</x:v>
      </x:c>
      <x:c r="G33" s="22" t="n">
        <x:v>0.5027078986587183</x:v>
      </x:c>
      <x:c r="H33" s="22" t="n">
        <x:v>0.13683228565235026</x:v>
      </x:c>
      <x:c r="I33" s="22" t="n">
        <x:v>1</x:v>
      </x:c>
      <x:c r="J33" s="22" t="n">
        <x:v>0.36587561300636806</x:v>
      </x:c>
      <x:c r="K33" s="22" t="str">
        <x:v>优化与运筹|topic-01|s3</x:v>
      </x:c>
      <x:c r="L33" s="24" t="n">
        <x:v>64</x:v>
      </x:c>
      <x:c r="M33" s="22" t="str">
        <x:v>["S0149"]</x:v>
      </x:c>
      <x:c r="N33" s="22" t="str">
        <x:v>是</x:v>
      </x:c>
    </x:row>
    <x:row r="34" ht="23" customHeight="1">
      <x:c r="A34" s="21" t="str">
        <x:v>2025秋:258906</x:v>
      </x:c>
      <x:c r="B34" s="22" t="str">
        <x:v>概率统计与随机过程</x:v>
      </x:c>
      <x:c r="C34" s="22" t="str">
        <x:v>s3</x:v>
      </x:c>
      <x:c r="D34" s="22" t="str">
        <x:v>topic-04</x:v>
      </x:c>
      <x:c r="E34" s="22" t="n">
        <x:v>3.9827956989247313</x:v>
      </x:c>
      <x:c r="F34" s="22" t="n">
        <x:v>3.9827956989247313</x:v>
      </x:c>
      <x:c r="G34" s="22" t="n">
        <x:v>0</x:v>
      </x:c>
      <x:c r="H34" s="22" t="n">
        <x:v>0.13680392675608974</x:v>
      </x:c>
      <x:c r="I34" s="22" t="n">
        <x:v>1</x:v>
      </x:c>
      <x:c r="J34" s="22" t="n">
        <x:v>-0.13680392675608974</x:v>
      </x:c>
      <x:c r="K34" s="22" t="str">
        <x:v>概率统计与随机过程|topic-04|s3</x:v>
      </x:c>
      <x:c r="L34" s="24" t="n">
        <x:v>24</x:v>
      </x:c>
      <x:c r="M34" s="22" t="str">
        <x:v>["S0207"]</x:v>
      </x:c>
      <x:c r="N34" s="22" t="str">
        <x:v>是</x:v>
      </x:c>
    </x:row>
    <x:row r="35" ht="23" customHeight="1">
      <x:c r="A35" s="21" t="str">
        <x:v>2025秋:258911</x:v>
      </x:c>
      <x:c r="B35" s="22" t="str">
        <x:v>学习过程与工具使用</x:v>
      </x:c>
      <x:c r="C35" s="22" t="str">
        <x:v>s3</x:v>
      </x:c>
      <x:c r="D35" s="22" t="str">
        <x:v>topic-11</x:v>
      </x:c>
      <x:c r="E35" s="22" t="n">
        <x:v>1.9583333333333333</x:v>
      </x:c>
      <x:c r="F35" s="22" t="n">
        <x:v>1.9583333333333333</x:v>
      </x:c>
      <x:c r="G35" s="22" t="n">
        <x:v>0</x:v>
      </x:c>
      <x:c r="H35" s="22" t="n">
        <x:v>0.06458621772590344</x:v>
      </x:c>
      <x:c r="I35" s="22" t="n">
        <x:v>0.8</x:v>
      </x:c>
      <x:c r="J35" s="22" t="n">
        <x:v>-0.06458621772590344</x:v>
      </x:c>
      <x:c r="K35" s="22" t="str">
        <x:v>学习过程与工具使用|topic-11|s3</x:v>
      </x:c>
      <x:c r="L35" s="24" t="n">
        <x:v>3</x:v>
      </x:c>
      <x:c r="M35" s="22" t="str">
        <x:v>["S0400"]</x:v>
      </x:c>
      <x:c r="N35" s="22" t="str">
        <x:v>是</x:v>
      </x:c>
    </x:row>
    <x:row r="36" ht="23" customHeight="1">
      <x:c r="A36" s="21" t="str">
        <x:v>2025秋:258912</x:v>
      </x:c>
      <x:c r="B36" s="22" t="str">
        <x:v>优化与运筹</x:v>
      </x:c>
      <x:c r="C36" s="22" t="str">
        <x:v>s3</x:v>
      </x:c>
      <x:c r="D36" s="22" t="str">
        <x:v>topic-01</x:v>
      </x:c>
      <x:c r="E36" s="22" t="n">
        <x:v>1.4780701754385965</x:v>
      </x:c>
      <x:c r="F36" s="22" t="n">
        <x:v>1.4780701754385965</x:v>
      </x:c>
      <x:c r="G36" s="22" t="n">
        <x:v>0</x:v>
      </x:c>
      <x:c r="H36" s="22" t="n">
        <x:v>0.13683228565235026</x:v>
      </x:c>
      <x:c r="I36" s="22" t="n">
        <x:v>1</x:v>
      </x:c>
      <x:c r="J36" s="22" t="n">
        <x:v>-0.13683228565235026</x:v>
      </x:c>
      <x:c r="K36" s="22" t="str">
        <x:v>优化与运筹|topic-01|s3</x:v>
      </x:c>
      <x:c r="L36" s="24" t="n">
        <x:v>64</x:v>
      </x:c>
      <x:c r="M36" s="22" t="str">
        <x:v>["S0092"]</x:v>
      </x:c>
      <x:c r="N36" s="22" t="str">
        <x:v>是</x:v>
      </x:c>
    </x:row>
    <x:row r="37" ht="23" customHeight="1">
      <x:c r="A37" s="21" t="str">
        <x:v>2025秋:258917</x:v>
      </x:c>
      <x:c r="B37" s="22" t="str">
        <x:v>优化与运筹</x:v>
      </x:c>
      <x:c r="C37" s="22" t="str">
        <x:v>s3</x:v>
      </x:c>
      <x:c r="D37" s="22" t="str">
        <x:v>topic-01</x:v>
      </x:c>
      <x:c r="E37" s="22" t="n">
        <x:v>1.5105820105820105</x:v>
      </x:c>
      <x:c r="F37" s="22" t="n">
        <x:v>2.1268939393939394</x:v>
      </x:c>
      <x:c r="G37" s="22" t="n">
        <x:v>0.1232623857623858</x:v>
      </x:c>
      <x:c r="H37" s="22" t="n">
        <x:v>0.13683228565235026</x:v>
      </x:c>
      <x:c r="I37" s="22" t="n">
        <x:v>1</x:v>
      </x:c>
      <x:c r="J37" s="22" t="n">
        <x:v>-0.01356989988996446</x:v>
      </x:c>
      <x:c r="K37" s="22" t="str">
        <x:v>优化与运筹|topic-01|s3</x:v>
      </x:c>
      <x:c r="L37" s="24" t="n">
        <x:v>64</x:v>
      </x:c>
      <x:c r="M37" s="22" t="str">
        <x:v>["S0021","S0031"]</x:v>
      </x:c>
      <x:c r="N37" s="22" t="str">
        <x:v>是</x:v>
      </x:c>
    </x:row>
    <x:row r="38" ht="23" customHeight="1">
      <x:c r="A38" s="21" t="str">
        <x:v>2025秋:258922</x:v>
      </x:c>
      <x:c r="B38" s="22" t="str">
        <x:v>优化与运筹</x:v>
      </x:c>
      <x:c r="C38" s="22" t="str">
        <x:v>s3</x:v>
      </x:c>
      <x:c r="D38" s="22" t="str">
        <x:v>topic-01</x:v>
      </x:c>
      <x:c r="E38" s="22" t="n">
        <x:v>2.051719238420006</x:v>
      </x:c>
      <x:c r="F38" s="22" t="n">
        <x:v>3.95672131147541</x:v>
      </x:c>
      <x:c r="G38" s="22" t="n">
        <x:v>0.3810004146110808</x:v>
      </x:c>
      <x:c r="H38" s="22" t="n">
        <x:v>0.13683228565235026</x:v>
      </x:c>
      <x:c r="I38" s="22" t="n">
        <x:v>1</x:v>
      </x:c>
      <x:c r="J38" s="22" t="n">
        <x:v>0.24416812895873055</x:v>
      </x:c>
      <x:c r="K38" s="22" t="str">
        <x:v>优化与运筹|topic-01|s3</x:v>
      </x:c>
      <x:c r="L38" s="24" t="n">
        <x:v>64</x:v>
      </x:c>
      <x:c r="M38" s="22" t="str">
        <x:v>["S0351"]</x:v>
      </x:c>
      <x:c r="N38" s="22" t="str">
        <x:v>是</x:v>
      </x:c>
    </x:row>
    <x:row r="39" ht="23" customHeight="1">
      <x:c r="A39" s="21" t="str">
        <x:v>2025秋:258923</x:v>
      </x:c>
      <x:c r="B39" s="22" t="str">
        <x:v>优化与运筹</x:v>
      </x:c>
      <x:c r="C39" s="22" t="str">
        <x:v>s3</x:v>
      </x:c>
      <x:c r="D39" s="22" t="str">
        <x:v>topic-01</x:v>
      </x:c>
      <x:c r="E39" s="22" t="n">
        <x:v>1.4780701754385965</x:v>
      </x:c>
      <x:c r="F39" s="22" t="n">
        <x:v>1.4780701754385965</x:v>
      </x:c>
      <x:c r="G39" s="22" t="n">
        <x:v>0</x:v>
      </x:c>
      <x:c r="H39" s="22" t="n">
        <x:v>0.13683228565235026</x:v>
      </x:c>
      <x:c r="I39" s="22" t="n">
        <x:v>1</x:v>
      </x:c>
      <x:c r="J39" s="22" t="n">
        <x:v>-0.13683228565235026</x:v>
      </x:c>
      <x:c r="K39" s="22" t="str">
        <x:v>优化与运筹|topic-01|s3</x:v>
      </x:c>
      <x:c r="L39" s="24" t="n">
        <x:v>64</x:v>
      </x:c>
      <x:c r="M39" s="22" t="str">
        <x:v>["S0120"]</x:v>
      </x:c>
      <x:c r="N39" s="22" t="str">
        <x:v>是</x:v>
      </x:c>
    </x:row>
    <x:row r="40" ht="23" customHeight="1">
      <x:c r="A40" s="21" t="str">
        <x:v>2025秋:258924</x:v>
      </x:c>
      <x:c r="B40" s="22" t="str">
        <x:v>概率统计与随机过程</x:v>
      </x:c>
      <x:c r="C40" s="22" t="str">
        <x:v>s3</x:v>
      </x:c>
      <x:c r="D40" s="22" t="str">
        <x:v>topic-04</x:v>
      </x:c>
      <x:c r="E40" s="22" t="n">
        <x:v>2.1019167835437123</x:v>
      </x:c>
      <x:c r="F40" s="22" t="n">
        <x:v>3.8638281549673956</x:v>
      </x:c>
      <x:c r="G40" s="22" t="n">
        <x:v>0.3523822742847367</x:v>
      </x:c>
      <x:c r="H40" s="22" t="n">
        <x:v>0.13680392675608974</x:v>
      </x:c>
      <x:c r="I40" s="22" t="n">
        <x:v>1</x:v>
      </x:c>
      <x:c r="J40" s="22" t="n">
        <x:v>0.21557834752864694</x:v>
      </x:c>
      <x:c r="K40" s="22" t="str">
        <x:v>概率统计与随机过程|topic-04|s3</x:v>
      </x:c>
      <x:c r="L40" s="24" t="n">
        <x:v>24</x:v>
      </x:c>
      <x:c r="M40" s="22" t="str">
        <x:v>["S0075"]</x:v>
      </x:c>
      <x:c r="N40" s="22" t="str">
        <x:v>是</x:v>
      </x:c>
    </x:row>
    <x:row r="41" ht="23" customHeight="1">
      <x:c r="A41" s="21" t="str">
        <x:v>2025秋:258927</x:v>
      </x:c>
      <x:c r="B41" s="22" t="str">
        <x:v>概率统计与随机过程</x:v>
      </x:c>
      <x:c r="C41" s="22" t="str">
        <x:v>s3</x:v>
      </x:c>
      <x:c r="D41" s="22" t="str">
        <x:v>topic-04</x:v>
      </x:c>
      <x:c r="E41" s="22" t="n">
        <x:v>2.05982905982906</x:v>
      </x:c>
      <x:c r="F41" s="22" t="n">
        <x:v>2.05982905982906</x:v>
      </x:c>
      <x:c r="G41" s="22" t="n">
        <x:v>0</x:v>
      </x:c>
      <x:c r="H41" s="22" t="n">
        <x:v>0.13680392675608974</x:v>
      </x:c>
      <x:c r="I41" s="22" t="n">
        <x:v>1</x:v>
      </x:c>
      <x:c r="J41" s="22" t="n">
        <x:v>-0.13680392675608974</x:v>
      </x:c>
      <x:c r="K41" s="22" t="str">
        <x:v>概率统计与随机过程|topic-04|s3</x:v>
      </x:c>
      <x:c r="L41" s="24" t="n">
        <x:v>24</x:v>
      </x:c>
      <x:c r="M41" s="22" t="str">
        <x:v>["S0295"]</x:v>
      </x:c>
      <x:c r="N41" s="22" t="str">
        <x:v>是</x:v>
      </x:c>
    </x:row>
    <x:row r="42" ht="23" customHeight="1">
      <x:c r="A42" s="21" t="str">
        <x:v>2025秋:258932</x:v>
      </x:c>
      <x:c r="B42" s="22" t="str">
        <x:v>图论与网络</x:v>
      </x:c>
      <x:c r="C42" s="22" t="str">
        <x:v>s3</x:v>
      </x:c>
      <x:c r="D42" s="22" t="str">
        <x:v>topic-02</x:v>
      </x:c>
      <x:c r="E42" s="22" t="n">
        <x:v>2.0806100217864927</x:v>
      </x:c>
      <x:c r="F42" s="22" t="n">
        <x:v>3.6847183317771557</x:v>
      </x:c>
      <x:c r="G42" s="22" t="n">
        <x:v>0.3208216619981326</x:v>
      </x:c>
      <x:c r="H42" s="22" t="n">
        <x:v>0.09508562772143313</x:v>
      </x:c>
      <x:c r="I42" s="22" t="n">
        <x:v>0.8</x:v>
      </x:c>
      <x:c r="J42" s="22" t="n">
        <x:v>0.22573603427669947</x:v>
      </x:c>
      <x:c r="K42" s="22" t="str">
        <x:v>图论与网络|topic-02|s3</x:v>
      </x:c>
      <x:c r="L42" s="24" t="n">
        <x:v>12</x:v>
      </x:c>
      <x:c r="M42" s="22" t="str">
        <x:v>["S0059"]</x:v>
      </x:c>
      <x:c r="N42" s="22" t="str">
        <x:v>是</x:v>
      </x:c>
    </x:row>
    <x:row r="43" ht="23" customHeight="1">
      <x:c r="A43" s="21" t="str">
        <x:v>2025秋:258932</x:v>
      </x:c>
      <x:c r="B43" s="22" t="str">
        <x:v>概率统计与随机过程</x:v>
      </x:c>
      <x:c r="C43" s="22" t="str">
        <x:v>s3</x:v>
      </x:c>
      <x:c r="D43" s="22" t="str">
        <x:v>topic-04</x:v>
      </x:c>
      <x:c r="E43" s="22" t="n">
        <x:v>2.05982905982906</x:v>
      </x:c>
      <x:c r="F43" s="22" t="n">
        <x:v>2.05982905982906</x:v>
      </x:c>
      <x:c r="G43" s="22" t="n">
        <x:v>0</x:v>
      </x:c>
      <x:c r="H43" s="22" t="n">
        <x:v>0.13680392675608974</x:v>
      </x:c>
      <x:c r="I43" s="22" t="n">
        <x:v>1</x:v>
      </x:c>
      <x:c r="J43" s="22" t="n">
        <x:v>-0.13680392675608974</x:v>
      </x:c>
      <x:c r="K43" s="22" t="str">
        <x:v>概率统计与随机过程|topic-04|s3</x:v>
      </x:c>
      <x:c r="L43" s="24" t="n">
        <x:v>24</x:v>
      </x:c>
      <x:c r="M43" s="22" t="str">
        <x:v>["S0409","S0302"]</x:v>
      </x:c>
      <x:c r="N43" s="22" t="str">
        <x:v>是</x:v>
      </x:c>
    </x:row>
    <x:row r="44" ht="23" customHeight="1">
      <x:c r="A44" s="21" t="str">
        <x:v>2025秋:258937</x:v>
      </x:c>
      <x:c r="B44" s="22" t="str">
        <x:v>数值计算与科学计算</x:v>
      </x:c>
      <x:c r="C44" s="22" t="str">
        <x:v>s3</x:v>
      </x:c>
      <x:c r="D44" s="22" t="str">
        <x:v>topic-05</x:v>
      </x:c>
      <x:c r="E44" s="22" t="n">
        <x:v>1.3550295857988164</x:v>
      </x:c>
      <x:c r="F44" s="22" t="n">
        <x:v>1.3550295857988164</x:v>
      </x:c>
      <x:c r="G44" s="22" t="n">
        <x:v>0</x:v>
      </x:c>
      <x:c r="H44" s="22" t="n">
        <x:v>0.045477277653559384</x:v>
      </x:c>
      <x:c r="I44" s="22" t="n">
        <x:v>0.6</x:v>
      </x:c>
      <x:c r="J44" s="22" t="n">
        <x:v>-0.045477277653559384</x:v>
      </x:c>
      <x:c r="K44" s="22" t="str">
        <x:v>数值计算与科学计算|topic-05|s3</x:v>
      </x:c>
      <x:c r="L44" s="24" t="n">
        <x:v>9</x:v>
      </x:c>
      <x:c r="M44" s="22" t="str">
        <x:v>["S0196"]</x:v>
      </x:c>
      <x:c r="N44" s="22" t="str">
        <x:v>是</x:v>
      </x:c>
    </x:row>
    <x:row r="45" ht="23" customHeight="1">
      <x:c r="A45" s="21" t="str">
        <x:v>2025秋:258938</x:v>
      </x:c>
      <x:c r="B45" s="22" t="str">
        <x:v>优化与运筹</x:v>
      </x:c>
      <x:c r="C45" s="22" t="str">
        <x:v>s3</x:v>
      </x:c>
      <x:c r="D45" s="22" t="str">
        <x:v>topic-01</x:v>
      </x:c>
      <x:c r="E45" s="22" t="n">
        <x:v>3.9444831915190406</x:v>
      </x:c>
      <x:c r="F45" s="22" t="n">
        <x:v>3.9444831915190406</x:v>
      </x:c>
      <x:c r="G45" s="22" t="n">
        <x:v>0</x:v>
      </x:c>
      <x:c r="H45" s="22" t="n">
        <x:v>0.13683228565235026</x:v>
      </x:c>
      <x:c r="I45" s="22" t="n">
        <x:v>1</x:v>
      </x:c>
      <x:c r="J45" s="22" t="n">
        <x:v>-0.13683228565235026</x:v>
      </x:c>
      <x:c r="K45" s="22" t="str">
        <x:v>优化与运筹|topic-01|s3</x:v>
      </x:c>
      <x:c r="L45" s="24" t="n">
        <x:v>64</x:v>
      </x:c>
      <x:c r="M45" s="22" t="str">
        <x:v>["S0374"]</x:v>
      </x:c>
      <x:c r="N45" s="22" t="str">
        <x:v>是</x:v>
      </x:c>
    </x:row>
    <x:row r="46" ht="23" customHeight="1">
      <x:c r="A46" s="21" t="str">
        <x:v>2025秋:258938</x:v>
      </x:c>
      <x:c r="B46" s="22" t="str">
        <x:v>数据处理与可视化</x:v>
      </x:c>
      <x:c r="C46" s="22" t="str">
        <x:v>s3</x:v>
      </x:c>
      <x:c r="D46" s="22" t="str">
        <x:v>topic-07</x:v>
      </x:c>
      <x:c r="E46" s="22" t="n">
        <x:v>1.4389140271493213</x:v>
      </x:c>
      <x:c r="F46" s="22" t="n">
        <x:v>3.593855376545523</x:v>
      </x:c>
      <x:c r="G46" s="22" t="n">
        <x:v>0.4309882698792403</x:v>
      </x:c>
      <x:c r="H46" s="22" t="n">
        <x:v>0.09153227001945982</x:v>
      </x:c>
      <x:c r="I46" s="22" t="n">
        <x:v>0.8</x:v>
      </x:c>
      <x:c r="J46" s="22" t="n">
        <x:v>0.3394559998597805</x:v>
      </x:c>
      <x:c r="K46" s="22" t="str">
        <x:v>数据处理与可视化|topic-07|s3</x:v>
      </x:c>
      <x:c r="L46" s="24" t="n">
        <x:v>7</x:v>
      </x:c>
      <x:c r="M46" s="22" t="str">
        <x:v>["S0073"]</x:v>
      </x:c>
      <x:c r="N46" s="22" t="str">
        <x:v>是</x:v>
      </x:c>
    </x:row>
    <x:row r="47" ht="23" customHeight="1">
      <x:c r="A47" s="21" t="str">
        <x:v>2025秋:258939</x:v>
      </x:c>
      <x:c r="B47" s="22" t="str">
        <x:v>数据处理与可视化</x:v>
      </x:c>
      <x:c r="C47" s="22" t="str">
        <x:v>s3</x:v>
      </x:c>
      <x:c r="D47" s="22" t="str">
        <x:v>topic-07</x:v>
      </x:c>
      <x:c r="E47" s="22" t="n">
        <x:v>1.9224318658280923</x:v>
      </x:c>
      <x:c r="F47" s="22" t="n">
        <x:v>3.58649495301079</x:v>
      </x:c>
      <x:c r="G47" s="22" t="n">
        <x:v>0.3328126174365395</x:v>
      </x:c>
      <x:c r="H47" s="22" t="n">
        <x:v>0.09153227001945982</x:v>
      </x:c>
      <x:c r="I47" s="22" t="n">
        <x:v>0.8</x:v>
      </x:c>
      <x:c r="J47" s="22" t="n">
        <x:v>0.24128034741707968</x:v>
      </x:c>
      <x:c r="K47" s="22" t="str">
        <x:v>数据处理与可视化|topic-07|s3</x:v>
      </x:c>
      <x:c r="L47" s="24" t="n">
        <x:v>7</x:v>
      </x:c>
      <x:c r="M47" s="22" t="str">
        <x:v>["S0367"]</x:v>
      </x:c>
      <x:c r="N47" s="22" t="str">
        <x:v>是</x:v>
      </x:c>
    </x:row>
    <x:row r="48" ht="23" customHeight="1">
      <x:c r="A48" s="21" t="str">
        <x:v>2025秋:258942</x:v>
      </x:c>
      <x:c r="B48" s="22" t="str">
        <x:v>优化与运筹</x:v>
      </x:c>
      <x:c r="C48" s="22" t="str">
        <x:v>s3</x:v>
      </x:c>
      <x:c r="D48" s="22" t="str">
        <x:v>topic-01</x:v>
      </x:c>
      <x:c r="E48" s="22" t="n">
        <x:v>1.469617404351088</x:v>
      </x:c>
      <x:c r="F48" s="22" t="n">
        <x:v>2.040922619047619</x:v>
      </x:c>
      <x:c r="G48" s="22" t="n">
        <x:v>0.11426104293930624</x:v>
      </x:c>
      <x:c r="H48" s="22" t="n">
        <x:v>0.13683228565235026</x:v>
      </x:c>
      <x:c r="I48" s="22" t="n">
        <x:v>1</x:v>
      </x:c>
      <x:c r="J48" s="22" t="n">
        <x:v>-0.022571242713044018</x:v>
      </x:c>
      <x:c r="K48" s="22" t="str">
        <x:v>优化与运筹|topic-01|s3</x:v>
      </x:c>
      <x:c r="L48" s="24" t="n">
        <x:v>64</x:v>
      </x:c>
      <x:c r="M48" s="22" t="str">
        <x:v>["S0158"]</x:v>
      </x:c>
      <x:c r="N48" s="22" t="str">
        <x:v>是</x:v>
      </x:c>
    </x:row>
    <x:row r="49" ht="23" customHeight="1">
      <x:c r="A49" s="21" t="str">
        <x:v>2025秋:258951</x:v>
      </x:c>
      <x:c r="B49" s="22" t="str">
        <x:v>优化与运筹</x:v>
      </x:c>
      <x:c r="C49" s="22" t="str">
        <x:v>s3</x:v>
      </x:c>
      <x:c r="D49" s="22" t="str">
        <x:v>topic-01</x:v>
      </x:c>
      <x:c r="E49" s="22" t="n">
        <x:v>1.4780701754385965</x:v>
      </x:c>
      <x:c r="F49" s="22" t="n">
        <x:v>2.0141467727674622</x:v>
      </x:c>
      <x:c r="G49" s="22" t="n">
        <x:v>0.10721531946577315</x:v>
      </x:c>
      <x:c r="H49" s="22" t="n">
        <x:v>0.13683228565235026</x:v>
      </x:c>
      <x:c r="I49" s="22" t="n">
        <x:v>1</x:v>
      </x:c>
      <x:c r="J49" s="22" t="n">
        <x:v>-0.02961696618657711</x:v>
      </x:c>
      <x:c r="K49" s="22" t="str">
        <x:v>优化与运筹|topic-01|s3</x:v>
      </x:c>
      <x:c r="L49" s="24" t="n">
        <x:v>64</x:v>
      </x:c>
      <x:c r="M49" s="22" t="str">
        <x:v>["S0431"]</x:v>
      </x:c>
      <x:c r="N49" s="22" t="str">
        <x:v>是</x:v>
      </x:c>
    </x:row>
    <x:row r="50" ht="23" customHeight="1">
      <x:c r="A50" s="21" t="str">
        <x:v>2025秋:258953</x:v>
      </x:c>
      <x:c r="B50" s="22" t="str">
        <x:v>数据处理与可视化</x:v>
      </x:c>
      <x:c r="C50" s="22" t="str">
        <x:v>s3</x:v>
      </x:c>
      <x:c r="D50" s="22" t="str">
        <x:v>topic-07</x:v>
      </x:c>
      <x:c r="E50" s="22" t="n">
        <x:v>3.611607142857143</x:v>
      </x:c>
      <x:c r="F50" s="22" t="n">
        <x:v>3.611607142857143</x:v>
      </x:c>
      <x:c r="G50" s="22" t="n">
        <x:v>0</x:v>
      </x:c>
      <x:c r="H50" s="22" t="n">
        <x:v>0.09153227001945982</x:v>
      </x:c>
      <x:c r="I50" s="22" t="n">
        <x:v>0.8</x:v>
      </x:c>
      <x:c r="J50" s="22" t="n">
        <x:v>-0.09153227001945982</x:v>
      </x:c>
      <x:c r="K50" s="22" t="str">
        <x:v>数据处理与可视化|topic-07|s3</x:v>
      </x:c>
      <x:c r="L50" s="24" t="n">
        <x:v>7</x:v>
      </x:c>
      <x:c r="M50" s="22" t="str">
        <x:v>["S0015"]</x:v>
      </x:c>
      <x:c r="N50" s="22" t="str">
        <x:v>是</x:v>
      </x:c>
    </x:row>
    <x:row r="51" ht="23" customHeight="1">
      <x:c r="A51" s="21" t="str">
        <x:v>2025秋:258958</x:v>
      </x:c>
      <x:c r="B51" s="22" t="str">
        <x:v>优化与运筹</x:v>
      </x:c>
      <x:c r="C51" s="22" t="str">
        <x:v>s3</x:v>
      </x:c>
      <x:c r="D51" s="22" t="str">
        <x:v>topic-01</x:v>
      </x:c>
      <x:c r="E51" s="22" t="n">
        <x:v>2.1308049535603715</x:v>
      </x:c>
      <x:c r="F51" s="22" t="n">
        <x:v>2.1308049535603715</x:v>
      </x:c>
      <x:c r="G51" s="22" t="n">
        <x:v>0</x:v>
      </x:c>
      <x:c r="H51" s="22" t="n">
        <x:v>0.13683228565235026</x:v>
      </x:c>
      <x:c r="I51" s="22" t="n">
        <x:v>1</x:v>
      </x:c>
      <x:c r="J51" s="22" t="n">
        <x:v>-0.13683228565235026</x:v>
      </x:c>
      <x:c r="K51" s="22" t="str">
        <x:v>优化与运筹|topic-01|s3</x:v>
      </x:c>
      <x:c r="L51" s="24" t="n">
        <x:v>64</x:v>
      </x:c>
      <x:c r="M51" s="22" t="str">
        <x:v>["S0185"]</x:v>
      </x:c>
      <x:c r="N51" s="22" t="str">
        <x:v>是</x:v>
      </x:c>
    </x:row>
    <x:row r="52" ht="23" customHeight="1">
      <x:c r="A52" s="21" t="str">
        <x:v>2025秋:258959</x:v>
      </x:c>
      <x:c r="B52" s="22" t="str">
        <x:v>优化与运筹</x:v>
      </x:c>
      <x:c r="C52" s="22" t="str">
        <x:v>s3</x:v>
      </x:c>
      <x:c r="D52" s="22" t="str">
        <x:v>topic-01</x:v>
      </x:c>
      <x:c r="E52" s="22" t="n">
        <x:v>1.469617404351088</x:v>
      </x:c>
      <x:c r="F52" s="22" t="n">
        <x:v>2.040922619047619</x:v>
      </x:c>
      <x:c r="G52" s="22" t="n">
        <x:v>0.11426104293930624</x:v>
      </x:c>
      <x:c r="H52" s="22" t="n">
        <x:v>0.13683228565235026</x:v>
      </x:c>
      <x:c r="I52" s="22" t="n">
        <x:v>1</x:v>
      </x:c>
      <x:c r="J52" s="22" t="n">
        <x:v>-0.022571242713044018</x:v>
      </x:c>
      <x:c r="K52" s="22" t="str">
        <x:v>优化与运筹|topic-01|s3</x:v>
      </x:c>
      <x:c r="L52" s="24" t="n">
        <x:v>64</x:v>
      </x:c>
      <x:c r="M52" s="22" t="str">
        <x:v>["S0018"]</x:v>
      </x:c>
      <x:c r="N52" s="22" t="str">
        <x:v>是</x:v>
      </x:c>
    </x:row>
    <x:row r="53" ht="23" customHeight="1">
      <x:c r="A53" s="21" t="str">
        <x:v>2025秋:258976</x:v>
      </x:c>
      <x:c r="B53" s="22" t="str">
        <x:v>机器学习与人工智能</x:v>
      </x:c>
      <x:c r="C53" s="22" t="str">
        <x:v>s3</x:v>
      </x:c>
      <x:c r="D53" s="22" t="str">
        <x:v>topic-06</x:v>
      </x:c>
      <x:c r="E53" s="22" t="n">
        <x:v>2.1350124801452237</x:v>
      </x:c>
      <x:c r="F53" s="22" t="n">
        <x:v>3.8822412155745485</x:v>
      </x:c>
      <x:c r="G53" s="22" t="n">
        <x:v>0.34944574708586496</x:v>
      </x:c>
      <x:c r="H53" s="22" t="n">
        <x:v>0.11788498564075993</x:v>
      </x:c>
      <x:c r="I53" s="22" t="n">
        <x:v>1</x:v>
      </x:c>
      <x:c r="J53" s="22" t="n">
        <x:v>0.231560761445105</x:v>
      </x:c>
      <x:c r="K53" s="22" t="str">
        <x:v>机器学习与人工智能|topic-06|s3</x:v>
      </x:c>
      <x:c r="L53" s="24" t="n">
        <x:v>20</x:v>
      </x:c>
      <x:c r="M53" s="22" t="str">
        <x:v>["S0486"]</x:v>
      </x:c>
      <x:c r="N53" s="22" t="str">
        <x:v>是</x:v>
      </x:c>
    </x:row>
    <x:row r="54" ht="23" customHeight="1">
      <x:c r="A54" s="21" t="str">
        <x:v>2025秋:258988</x:v>
      </x:c>
      <x:c r="B54" s="22" t="str">
        <x:v>概率统计与随机过程</x:v>
      </x:c>
      <x:c r="C54" s="22" t="str">
        <x:v>s3</x:v>
      </x:c>
      <x:c r="D54" s="22" t="str">
        <x:v>topic-04</x:v>
      </x:c>
      <x:c r="E54" s="22" t="n">
        <x:v>1.5385338345864663</x:v>
      </x:c>
      <x:c r="F54" s="22" t="n">
        <x:v>3.9543992431409656</x:v>
      </x:c>
      <x:c r="G54" s="22" t="n">
        <x:v>0.48317308171089984</x:v>
      </x:c>
      <x:c r="H54" s="22" t="n">
        <x:v>0.13680392675608974</x:v>
      </x:c>
      <x:c r="I54" s="22" t="n">
        <x:v>1</x:v>
      </x:c>
      <x:c r="J54" s="22" t="n">
        <x:v>0.34636915495481013</x:v>
      </x:c>
      <x:c r="K54" s="22" t="str">
        <x:v>概率统计与随机过程|topic-04|s3</x:v>
      </x:c>
      <x:c r="L54" s="24" t="n">
        <x:v>24</x:v>
      </x:c>
      <x:c r="M54" s="22" t="str">
        <x:v>["S0315"]</x:v>
      </x:c>
      <x:c r="N54" s="22" t="str">
        <x:v>是</x:v>
      </x:c>
    </x:row>
    <x:row r="55" ht="23" customHeight="1">
      <x:c r="A55" s="21" t="str">
        <x:v>2025秋:258990</x:v>
      </x:c>
      <x:c r="B55" s="22" t="str">
        <x:v>概率统计与随机过程</x:v>
      </x:c>
      <x:c r="C55" s="22" t="str">
        <x:v>s3</x:v>
      </x:c>
      <x:c r="D55" s="22" t="str">
        <x:v>topic-04</x:v>
      </x:c>
      <x:c r="E55" s="22" t="n">
        <x:v>2.1019167835437123</x:v>
      </x:c>
      <x:c r="F55" s="22" t="n">
        <x:v>3.8638281549673956</x:v>
      </x:c>
      <x:c r="G55" s="22" t="n">
        <x:v>0.3523822742847367</x:v>
      </x:c>
      <x:c r="H55" s="22" t="n">
        <x:v>0.13680392675608974</x:v>
      </x:c>
      <x:c r="I55" s="22" t="n">
        <x:v>1</x:v>
      </x:c>
      <x:c r="J55" s="22" t="n">
        <x:v>0.21557834752864694</x:v>
      </x:c>
      <x:c r="K55" s="22" t="str">
        <x:v>概率统计与随机过程|topic-04|s3</x:v>
      </x:c>
      <x:c r="L55" s="24" t="n">
        <x:v>24</x:v>
      </x:c>
      <x:c r="M55" s="22" t="str">
        <x:v>["S0491","S0662","S0660"]</x:v>
      </x:c>
      <x:c r="N55" s="22" t="str">
        <x:v>是</x:v>
      </x:c>
    </x:row>
    <x:row r="56" ht="23" customHeight="1">
      <x:c r="A56" s="21" t="str">
        <x:v>2025秋:258995</x:v>
      </x:c>
      <x:c r="B56" s="22" t="str">
        <x:v>机器学习与人工智能</x:v>
      </x:c>
      <x:c r="C56" s="22" t="str">
        <x:v>s3</x:v>
      </x:c>
      <x:c r="D56" s="22" t="str">
        <x:v>topic-06</x:v>
      </x:c>
      <x:c r="E56" s="22" t="n">
        <x:v>2.2901439645625694</x:v>
      </x:c>
      <x:c r="F56" s="22" t="n">
        <x:v>2.2901439645625694</x:v>
      </x:c>
      <x:c r="G56" s="22" t="n">
        <x:v>0</x:v>
      </x:c>
      <x:c r="H56" s="22" t="n">
        <x:v>0.11788498564075993</x:v>
      </x:c>
      <x:c r="I56" s="22" t="n">
        <x:v>1</x:v>
      </x:c>
      <x:c r="J56" s="22" t="n">
        <x:v>-0.11788498564075993</x:v>
      </x:c>
      <x:c r="K56" s="22" t="str">
        <x:v>机器学习与人工智能|topic-06|s3</x:v>
      </x:c>
      <x:c r="L56" s="24" t="n">
        <x:v>20</x:v>
      </x:c>
      <x:c r="M56" s="22" t="str">
        <x:v>["S0408"]</x:v>
      </x:c>
      <x:c r="N56" s="22" t="str">
        <x:v>是</x:v>
      </x:c>
    </x:row>
    <x:row r="57" ht="23" customHeight="1">
      <x:c r="A57" s="21" t="str">
        <x:v>2025秋:259004</x:v>
      </x:c>
      <x:c r="B57" s="22" t="str">
        <x:v>优化与运筹</x:v>
      </x:c>
      <x:c r="C57" s="22" t="str">
        <x:v>s3</x:v>
      </x:c>
      <x:c r="D57" s="22" t="str">
        <x:v>topic-01</x:v>
      </x:c>
      <x:c r="E57" s="22" t="n">
        <x:v>3.95672131147541</x:v>
      </x:c>
      <x:c r="F57" s="22" t="n">
        <x:v>3.95672131147541</x:v>
      </x:c>
      <x:c r="G57" s="22" t="n">
        <x:v>0</x:v>
      </x:c>
      <x:c r="H57" s="22" t="n">
        <x:v>0.13683228565235026</x:v>
      </x:c>
      <x:c r="I57" s="22" t="n">
        <x:v>1</x:v>
      </x:c>
      <x:c r="J57" s="22" t="n">
        <x:v>-0.13683228565235026</x:v>
      </x:c>
      <x:c r="K57" s="22" t="str">
        <x:v>优化与运筹|topic-01|s3</x:v>
      </x:c>
      <x:c r="L57" s="24" t="n">
        <x:v>64</x:v>
      </x:c>
      <x:c r="M57" s="22" t="str">
        <x:v>["S0224","S0391","S0172"]</x:v>
      </x:c>
      <x:c r="N57" s="22" t="str">
        <x:v>是</x:v>
      </x:c>
    </x:row>
    <x:row r="58" ht="23" customHeight="1">
      <x:c r="A58" s="21" t="str">
        <x:v>2025秋:259015</x:v>
      </x:c>
      <x:c r="B58" s="22" t="str">
        <x:v>图论与网络</x:v>
      </x:c>
      <x:c r="C58" s="22" t="str">
        <x:v>s3</x:v>
      </x:c>
      <x:c r="D58" s="22" t="str">
        <x:v>topic-02</x:v>
      </x:c>
      <x:c r="E58" s="22" t="n">
        <x:v>1.3360378634212307</x:v>
      </x:c>
      <x:c r="F58" s="22" t="n">
        <x:v>1.3360378634212307</x:v>
      </x:c>
      <x:c r="G58" s="22" t="n">
        <x:v>0</x:v>
      </x:c>
      <x:c r="H58" s="22" t="n">
        <x:v>0.09508562772143313</x:v>
      </x:c>
      <x:c r="I58" s="22" t="n">
        <x:v>0.8</x:v>
      </x:c>
      <x:c r="J58" s="22" t="n">
        <x:v>-0.09508562772143313</x:v>
      </x:c>
      <x:c r="K58" s="22" t="str">
        <x:v>图论与网络|topic-02|s3</x:v>
      </x:c>
      <x:c r="L58" s="24" t="n">
        <x:v>12</x:v>
      </x:c>
      <x:c r="M58" s="22" t="str">
        <x:v>["S0371"]</x:v>
      </x:c>
      <x:c r="N58" s="22" t="str">
        <x:v>是</x:v>
      </x:c>
    </x:row>
    <x:row r="59" ht="23" customHeight="1">
      <x:c r="A59" s="21" t="str">
        <x:v>2025秋:259016</x:v>
      </x:c>
      <x:c r="B59" s="22" t="str">
        <x:v>数据处理与可视化</x:v>
      </x:c>
      <x:c r="C59" s="22" t="str">
        <x:v>s3</x:v>
      </x:c>
      <x:c r="D59" s="22" t="str">
        <x:v>topic-07</x:v>
      </x:c>
      <x:c r="E59" s="22" t="n">
        <x:v>2.0386847195357833</x:v>
      </x:c>
      <x:c r="F59" s="22" t="n">
        <x:v>3.611607142857143</x:v>
      </x:c>
      <x:c r="G59" s="22" t="n">
        <x:v>0.3145844846642719</x:v>
      </x:c>
      <x:c r="H59" s="22" t="n">
        <x:v>0.09153227001945982</x:v>
      </x:c>
      <x:c r="I59" s="22" t="n">
        <x:v>0.8</x:v>
      </x:c>
      <x:c r="J59" s="22" t="n">
        <x:v>0.2230522146448121</x:v>
      </x:c>
      <x:c r="K59" s="22" t="str">
        <x:v>数据处理与可视化|topic-07|s3</x:v>
      </x:c>
      <x:c r="L59" s="24" t="n">
        <x:v>7</x:v>
      </x:c>
      <x:c r="M59" s="22" t="str">
        <x:v>["S0203"]</x:v>
      </x:c>
      <x:c r="N59" s="22" t="str">
        <x:v>是</x:v>
      </x:c>
    </x:row>
    <x:row r="60" ht="23" customHeight="1">
      <x:c r="A60" s="21" t="str">
        <x:v>2025秋:259021</x:v>
      </x:c>
      <x:c r="B60" s="22" t="str">
        <x:v>优化与运筹</x:v>
      </x:c>
      <x:c r="C60" s="22" t="str">
        <x:v>s3</x:v>
      </x:c>
      <x:c r="D60" s="22" t="str">
        <x:v>topic-01</x:v>
      </x:c>
      <x:c r="E60" s="22" t="n">
        <x:v>1.469617404351088</x:v>
      </x:c>
      <x:c r="F60" s="22" t="n">
        <x:v>3.9503444998812065</x:v>
      </x:c>
      <x:c r="G60" s="22" t="n">
        <x:v>0.4961454191060238</x:v>
      </x:c>
      <x:c r="H60" s="22" t="n">
        <x:v>0.13683228565235026</x:v>
      </x:c>
      <x:c r="I60" s="22" t="n">
        <x:v>1</x:v>
      </x:c>
      <x:c r="J60" s="22" t="n">
        <x:v>0.35931313345367355</x:v>
      </x:c>
      <x:c r="K60" s="22" t="str">
        <x:v>优化与运筹|topic-01|s3</x:v>
      </x:c>
      <x:c r="L60" s="24" t="n">
        <x:v>64</x:v>
      </x:c>
      <x:c r="M60" s="22" t="str">
        <x:v>["S0464"]</x:v>
      </x:c>
      <x:c r="N60" s="22" t="str">
        <x:v>是</x:v>
      </x:c>
    </x:row>
    <x:row r="61" ht="23" customHeight="1">
      <x:c r="A61" s="21" t="str">
        <x:v>2025秋:259023</x:v>
      </x:c>
      <x:c r="B61" s="22" t="str">
        <x:v>机器学习与人工智能</x:v>
      </x:c>
      <x:c r="C61" s="22" t="str">
        <x:v>s3</x:v>
      </x:c>
      <x:c r="D61" s="22" t="str">
        <x:v>topic-06</x:v>
      </x:c>
      <x:c r="E61" s="22" t="n">
        <x:v>2.282051282051282</x:v>
      </x:c>
      <x:c r="F61" s="22" t="n">
        <x:v>2.282051282051282</x:v>
      </x:c>
      <x:c r="G61" s="22" t="n">
        <x:v>0</x:v>
      </x:c>
      <x:c r="H61" s="22" t="n">
        <x:v>0.11788498564075993</x:v>
      </x:c>
      <x:c r="I61" s="22" t="n">
        <x:v>1</x:v>
      </x:c>
      <x:c r="J61" s="22" t="n">
        <x:v>-0.11788498564075993</x:v>
      </x:c>
      <x:c r="K61" s="22" t="str">
        <x:v>机器学习与人工智能|topic-06|s3</x:v>
      </x:c>
      <x:c r="L61" s="24" t="n">
        <x:v>20</x:v>
      </x:c>
      <x:c r="M61" s="22" t="str">
        <x:v>["S0463"]</x:v>
      </x:c>
      <x:c r="N61" s="22" t="str">
        <x:v>是</x:v>
      </x:c>
    </x:row>
    <x:row r="62" ht="23" customHeight="1">
      <x:c r="A62" s="21" t="str">
        <x:v>2025秋:259024</x:v>
      </x:c>
      <x:c r="B62" s="22" t="str">
        <x:v>数据处理与可视化</x:v>
      </x:c>
      <x:c r="C62" s="22" t="str">
        <x:v>s3</x:v>
      </x:c>
      <x:c r="D62" s="22" t="str">
        <x:v>topic-07</x:v>
      </x:c>
      <x:c r="E62" s="22" t="n">
        <x:v>2.0386847195357833</x:v>
      </x:c>
      <x:c r="F62" s="22" t="n">
        <x:v>3.611607142857143</x:v>
      </x:c>
      <x:c r="G62" s="22" t="n">
        <x:v>0.3145844846642719</x:v>
      </x:c>
      <x:c r="H62" s="22" t="n">
        <x:v>0.09153227001945982</x:v>
      </x:c>
      <x:c r="I62" s="22" t="n">
        <x:v>0.8</x:v>
      </x:c>
      <x:c r="J62" s="22" t="n">
        <x:v>0.2230522146448121</x:v>
      </x:c>
      <x:c r="K62" s="22" t="str">
        <x:v>数据处理与可视化|topic-07|s3</x:v>
      </x:c>
      <x:c r="L62" s="24" t="n">
        <x:v>7</x:v>
      </x:c>
      <x:c r="M62" s="22" t="str">
        <x:v>["S0359"]</x:v>
      </x:c>
      <x:c r="N62" s="22" t="str">
        <x:v>是</x:v>
      </x:c>
    </x:row>
    <x:row r="63" ht="23" customHeight="1">
      <x:c r="A63" s="21" t="str">
        <x:v>2025秋:259039</x:v>
      </x:c>
      <x:c r="B63" s="22" t="str">
        <x:v>优化与运筹</x:v>
      </x:c>
      <x:c r="C63" s="22" t="str">
        <x:v>s3</x:v>
      </x:c>
      <x:c r="D63" s="22" t="str">
        <x:v>topic-01</x:v>
      </x:c>
      <x:c r="E63" s="22" t="n">
        <x:v>2.040922619047619</x:v>
      </x:c>
      <x:c r="F63" s="22" t="n">
        <x:v>3.9503444998812065</x:v>
      </x:c>
      <x:c r="G63" s="22" t="n">
        <x:v>0.3818843761667175</x:v>
      </x:c>
      <x:c r="H63" s="22" t="n">
        <x:v>0.13683228565235026</x:v>
      </x:c>
      <x:c r="I63" s="22" t="n">
        <x:v>1</x:v>
      </x:c>
      <x:c r="J63" s="22" t="n">
        <x:v>0.24505209051436724</x:v>
      </x:c>
      <x:c r="K63" s="22" t="str">
        <x:v>优化与运筹|topic-01|s3</x:v>
      </x:c>
      <x:c r="L63" s="24" t="n">
        <x:v>64</x:v>
      </x:c>
      <x:c r="M63" s="22" t="str">
        <x:v>["S0017"]</x:v>
      </x:c>
      <x:c r="N63" s="22" t="str">
        <x:v>是</x:v>
      </x:c>
    </x:row>
    <x:row r="64" ht="23" customHeight="1">
      <x:c r="A64" s="21" t="str">
        <x:v>2025秋:259043</x:v>
      </x:c>
      <x:c r="B64" s="22" t="str">
        <x:v>机器学习与人工智能</x:v>
      </x:c>
      <x:c r="C64" s="22" t="str">
        <x:v>s3</x:v>
      </x:c>
      <x:c r="D64" s="22" t="str">
        <x:v>topic-06</x:v>
      </x:c>
      <x:c r="E64" s="22" t="n">
        <x:v>2.2901439645625694</x:v>
      </x:c>
      <x:c r="F64" s="22" t="n">
        <x:v>4.027642276422764</x:v>
      </x:c>
      <x:c r="G64" s="22" t="n">
        <x:v>0.3474996623720389</x:v>
      </x:c>
      <x:c r="H64" s="22" t="n">
        <x:v>0.11788498564075993</x:v>
      </x:c>
      <x:c r="I64" s="22" t="n">
        <x:v>1</x:v>
      </x:c>
      <x:c r="J64" s="22" t="n">
        <x:v>0.22961467673127894</x:v>
      </x:c>
      <x:c r="K64" s="22" t="str">
        <x:v>机器学习与人工智能|topic-06|s3</x:v>
      </x:c>
      <x:c r="L64" s="24" t="n">
        <x:v>20</x:v>
      </x:c>
      <x:c r="M64" s="22" t="str">
        <x:v>["S0066"]</x:v>
      </x:c>
      <x:c r="N64" s="22" t="str">
        <x:v>是</x:v>
      </x:c>
    </x:row>
    <x:row r="65" ht="23" customHeight="1">
      <x:c r="A65" s="21" t="str">
        <x:v>2025秋:259044</x:v>
      </x:c>
      <x:c r="B65" s="22" t="str">
        <x:v>优化与运筹</x:v>
      </x:c>
      <x:c r="C65" s="22" t="str">
        <x:v>s3</x:v>
      </x:c>
      <x:c r="D65" s="22" t="str">
        <x:v>topic-01</x:v>
      </x:c>
      <x:c r="E65" s="22" t="n">
        <x:v>1.5105820105820105</x:v>
      </x:c>
      <x:c r="F65" s="22" t="n">
        <x:v>3.918001033057851</x:v>
      </x:c>
      <x:c r="G65" s="22" t="n">
        <x:v>0.48148380449516814</x:v>
      </x:c>
      <x:c r="H65" s="22" t="n">
        <x:v>0.13683228565235026</x:v>
      </x:c>
      <x:c r="I65" s="22" t="n">
        <x:v>1</x:v>
      </x:c>
      <x:c r="J65" s="22" t="n">
        <x:v>0.34465151884281786</x:v>
      </x:c>
      <x:c r="K65" s="22" t="str">
        <x:v>优化与运筹|topic-01|s3</x:v>
      </x:c>
      <x:c r="L65" s="24" t="n">
        <x:v>64</x:v>
      </x:c>
      <x:c r="M65" s="22" t="str">
        <x:v>["S0074"]</x:v>
      </x:c>
      <x:c r="N65" s="22" t="str">
        <x:v>是</x:v>
      </x:c>
    </x:row>
    <x:row r="66" ht="23" customHeight="1">
      <x:c r="A66" s="21" t="str">
        <x:v>2025秋:259052</x:v>
      </x:c>
      <x:c r="B66" s="22" t="str">
        <x:v>图论与网络</x:v>
      </x:c>
      <x:c r="C66" s="22" t="str">
        <x:v>s3</x:v>
      </x:c>
      <x:c r="D66" s="22" t="str">
        <x:v>topic-02</x:v>
      </x:c>
      <x:c r="E66" s="22" t="n">
        <x:v>3.6847183317771557</x:v>
      </x:c>
      <x:c r="F66" s="22" t="n">
        <x:v>3.6847183317771557</x:v>
      </x:c>
      <x:c r="G66" s="22" t="n">
        <x:v>0</x:v>
      </x:c>
      <x:c r="H66" s="22" t="n">
        <x:v>0.09508562772143313</x:v>
      </x:c>
      <x:c r="I66" s="22" t="n">
        <x:v>0.8</x:v>
      </x:c>
      <x:c r="J66" s="22" t="n">
        <x:v>-0.09508562772143313</x:v>
      </x:c>
      <x:c r="K66" s="22" t="str">
        <x:v>图论与网络|topic-02|s3</x:v>
      </x:c>
      <x:c r="L66" s="24" t="n">
        <x:v>12</x:v>
      </x:c>
      <x:c r="M66" s="22" t="str">
        <x:v>["S0489"]</x:v>
      </x:c>
      <x:c r="N66" s="22" t="str">
        <x:v>是</x:v>
      </x:c>
    </x:row>
    <x:row r="67" ht="23" customHeight="1">
      <x:c r="A67" s="21" t="str">
        <x:v>2025秋:259059</x:v>
      </x:c>
      <x:c r="B67" s="22" t="str">
        <x:v>优化与运筹</x:v>
      </x:c>
      <x:c r="C67" s="22" t="str">
        <x:v>s3</x:v>
      </x:c>
      <x:c r="D67" s="22" t="str">
        <x:v>topic-01</x:v>
      </x:c>
      <x:c r="E67" s="22" t="n">
        <x:v>1.5105820105820105</x:v>
      </x:c>
      <x:c r="F67" s="22" t="n">
        <x:v>1.5105820105820105</x:v>
      </x:c>
      <x:c r="G67" s="22" t="n">
        <x:v>0</x:v>
      </x:c>
      <x:c r="H67" s="22" t="n">
        <x:v>0.13683228565235026</x:v>
      </x:c>
      <x:c r="I67" s="22" t="n">
        <x:v>1</x:v>
      </x:c>
      <x:c r="J67" s="22" t="n">
        <x:v>-0.13683228565235026</x:v>
      </x:c>
      <x:c r="K67" s="22" t="str">
        <x:v>优化与运筹|topic-01|s3</x:v>
      </x:c>
      <x:c r="L67" s="24" t="n">
        <x:v>64</x:v>
      </x:c>
      <x:c r="M67" s="22" t="str">
        <x:v>["S0426"]</x:v>
      </x:c>
      <x:c r="N67" s="22" t="str">
        <x:v>是</x:v>
      </x:c>
    </x:row>
    <x:row r="68" ht="23" customHeight="1">
      <x:c r="A68" s="21" t="str">
        <x:v>2025秋:259092</x:v>
      </x:c>
      <x:c r="B68" s="22" t="str">
        <x:v>优化与运筹</x:v>
      </x:c>
      <x:c r="C68" s="22" t="str">
        <x:v>s3</x:v>
      </x:c>
      <x:c r="D68" s="22" t="str">
        <x:v>topic-01</x:v>
      </x:c>
      <x:c r="E68" s="22" t="n">
        <x:v>2.0141467727674622</x:v>
      </x:c>
      <x:c r="F68" s="22" t="n">
        <x:v>2.0141467727674622</x:v>
      </x:c>
      <x:c r="G68" s="22" t="n">
        <x:v>0</x:v>
      </x:c>
      <x:c r="H68" s="22" t="n">
        <x:v>0.13683228565235026</x:v>
      </x:c>
      <x:c r="I68" s="22" t="n">
        <x:v>1</x:v>
      </x:c>
      <x:c r="J68" s="22" t="n">
        <x:v>-0.13683228565235026</x:v>
      </x:c>
      <x:c r="K68" s="22" t="str">
        <x:v>优化与运筹|topic-01|s3</x:v>
      </x:c>
      <x:c r="L68" s="24" t="n">
        <x:v>64</x:v>
      </x:c>
      <x:c r="M68" s="22" t="str">
        <x:v>["S0034"]</x:v>
      </x:c>
      <x:c r="N68" s="22" t="str">
        <x:v>是</x:v>
      </x:c>
    </x:row>
    <x:row r="69" ht="23" customHeight="1">
      <x:c r="A69" s="21" t="str">
        <x:v>2025秋:259097</x:v>
      </x:c>
      <x:c r="B69" s="22" t="str">
        <x:v>机器学习与人工智能</x:v>
      </x:c>
      <x:c r="C69" s="22" t="str">
        <x:v>s3</x:v>
      </x:c>
      <x:c r="D69" s="22" t="str">
        <x:v>topic-06</x:v>
      </x:c>
      <x:c r="E69" s="22" t="n">
        <x:v>3.905597014925373</x:v>
      </x:c>
      <x:c r="F69" s="22" t="n">
        <x:v>3.905597014925373</x:v>
      </x:c>
      <x:c r="G69" s="22" t="n">
        <x:v>0</x:v>
      </x:c>
      <x:c r="H69" s="22" t="n">
        <x:v>0.11788498564075993</x:v>
      </x:c>
      <x:c r="I69" s="22" t="n">
        <x:v>1</x:v>
      </x:c>
      <x:c r="J69" s="22" t="n">
        <x:v>-0.11788498564075993</x:v>
      </x:c>
      <x:c r="K69" s="22" t="str">
        <x:v>机器学习与人工智能|topic-06|s3</x:v>
      </x:c>
      <x:c r="L69" s="24" t="n">
        <x:v>20</x:v>
      </x:c>
      <x:c r="M69" s="22" t="str">
        <x:v>["S0494"]</x:v>
      </x:c>
      <x:c r="N69" s="22" t="str">
        <x:v>是</x:v>
      </x:c>
    </x:row>
    <x:row r="70" ht="23" customHeight="1">
      <x:c r="A70" s="21" t="str">
        <x:v>2025秋:259101</x:v>
      </x:c>
      <x:c r="B70" s="22" t="str">
        <x:v>优化与运筹</x:v>
      </x:c>
      <x:c r="C70" s="22" t="str">
        <x:v>s3</x:v>
      </x:c>
      <x:c r="D70" s="22" t="str">
        <x:v>topic-01</x:v>
      </x:c>
      <x:c r="E70" s="22" t="n">
        <x:v>1.4431818181818181</x:v>
      </x:c>
      <x:c r="F70" s="22" t="n">
        <x:v>1.4431818181818181</x:v>
      </x:c>
      <x:c r="G70" s="22" t="n">
        <x:v>0</x:v>
      </x:c>
      <x:c r="H70" s="22" t="n">
        <x:v>0.13683228565235026</x:v>
      </x:c>
      <x:c r="I70" s="22" t="n">
        <x:v>1</x:v>
      </x:c>
      <x:c r="J70" s="22" t="n">
        <x:v>-0.13683228565235026</x:v>
      </x:c>
      <x:c r="K70" s="22" t="str">
        <x:v>优化与运筹|topic-01|s3</x:v>
      </x:c>
      <x:c r="L70" s="24" t="n">
        <x:v>64</x:v>
      </x:c>
      <x:c r="M70" s="22" t="str">
        <x:v>["S0291"]</x:v>
      </x:c>
      <x:c r="N70" s="22" t="str">
        <x:v>是</x:v>
      </x:c>
    </x:row>
    <x:row r="71" ht="23" customHeight="1">
      <x:c r="A71" s="21" t="str">
        <x:v>2025秋:259106</x:v>
      </x:c>
      <x:c r="B71" s="22" t="str">
        <x:v>优化与运筹</x:v>
      </x:c>
      <x:c r="C71" s="22" t="str">
        <x:v>s3</x:v>
      </x:c>
      <x:c r="D71" s="22" t="str">
        <x:v>topic-01</x:v>
      </x:c>
      <x:c r="E71" s="22" t="n">
        <x:v>3.95672131147541</x:v>
      </x:c>
      <x:c r="F71" s="22" t="n">
        <x:v>3.95672131147541</x:v>
      </x:c>
      <x:c r="G71" s="22" t="n">
        <x:v>0</x:v>
      </x:c>
      <x:c r="H71" s="22" t="n">
        <x:v>0.13683228565235026</x:v>
      </x:c>
      <x:c r="I71" s="22" t="n">
        <x:v>1</x:v>
      </x:c>
      <x:c r="J71" s="22" t="n">
        <x:v>-0.13683228565235026</x:v>
      </x:c>
      <x:c r="K71" s="22" t="str">
        <x:v>优化与运筹|topic-01|s3</x:v>
      </x:c>
      <x:c r="L71" s="24" t="n">
        <x:v>64</x:v>
      </x:c>
      <x:c r="M71" s="22" t="str">
        <x:v>["S0005"]</x:v>
      </x:c>
      <x:c r="N71" s="22" t="str">
        <x:v>是</x:v>
      </x:c>
    </x:row>
    <x:row r="72" ht="23" customHeight="1">
      <x:c r="A72" s="21" t="str">
        <x:v>2025秋:259112</x:v>
      </x:c>
      <x:c r="B72" s="22" t="str">
        <x:v>优化与运筹</x:v>
      </x:c>
      <x:c r="C72" s="22" t="str">
        <x:v>s3</x:v>
      </x:c>
      <x:c r="D72" s="22" t="str">
        <x:v>topic-01</x:v>
      </x:c>
      <x:c r="E72" s="22" t="n">
        <x:v>2.040922619047619</x:v>
      </x:c>
      <x:c r="F72" s="22" t="n">
        <x:v>3.9503444998812065</x:v>
      </x:c>
      <x:c r="G72" s="22" t="n">
        <x:v>0.3818843761667175</x:v>
      </x:c>
      <x:c r="H72" s="22" t="n">
        <x:v>0.13683228565235026</x:v>
      </x:c>
      <x:c r="I72" s="22" t="n">
        <x:v>1</x:v>
      </x:c>
      <x:c r="J72" s="22" t="n">
        <x:v>0.24505209051436724</x:v>
      </x:c>
      <x:c r="K72" s="22" t="str">
        <x:v>优化与运筹|topic-01|s3</x:v>
      </x:c>
      <x:c r="L72" s="24" t="n">
        <x:v>64</x:v>
      </x:c>
      <x:c r="M72" s="22" t="str">
        <x:v>["S0204"]</x:v>
      </x:c>
      <x:c r="N72" s="22" t="str">
        <x:v>是</x:v>
      </x:c>
    </x:row>
    <x:row r="73" ht="23" customHeight="1">
      <x:c r="A73" s="21" t="str">
        <x:v>2025秋:259116</x:v>
      </x:c>
      <x:c r="B73" s="22" t="str">
        <x:v>机器学习与人工智能</x:v>
      </x:c>
      <x:c r="C73" s="22" t="str">
        <x:v>s3</x:v>
      </x:c>
      <x:c r="D73" s="22" t="str">
        <x:v>topic-06</x:v>
      </x:c>
      <x:c r="E73" s="22" t="n">
        <x:v>4.027642276422764</x:v>
      </x:c>
      <x:c r="F73" s="22" t="n">
        <x:v>4.027642276422764</x:v>
      </x:c>
      <x:c r="G73" s="22" t="n">
        <x:v>0</x:v>
      </x:c>
      <x:c r="H73" s="22" t="n">
        <x:v>0.11788498564075993</x:v>
      </x:c>
      <x:c r="I73" s="22" t="n">
        <x:v>1</x:v>
      </x:c>
      <x:c r="J73" s="22" t="n">
        <x:v>-0.11788498564075993</x:v>
      </x:c>
      <x:c r="K73" s="22" t="str">
        <x:v>机器学习与人工智能|topic-06|s3</x:v>
      </x:c>
      <x:c r="L73" s="24" t="n">
        <x:v>20</x:v>
      </x:c>
      <x:c r="M73" s="22" t="str">
        <x:v>["S0223","S0266"]</x:v>
      </x:c>
      <x:c r="N73" s="22" t="str">
        <x:v>是</x:v>
      </x:c>
    </x:row>
    <x:row r="74" ht="23" customHeight="1">
      <x:c r="A74" s="21" t="str">
        <x:v>2025秋:259161</x:v>
      </x:c>
      <x:c r="B74" s="22" t="str">
        <x:v>微分方程与动态系统</x:v>
      </x:c>
      <x:c r="C74" s="22" t="str">
        <x:v>s3</x:v>
      </x:c>
      <x:c r="D74" s="22" t="str">
        <x:v>topic-03</x:v>
      </x:c>
      <x:c r="E74" s="22" t="n">
        <x:v>2.1269315673289184</x:v>
      </x:c>
      <x:c r="F74" s="22" t="n">
        <x:v>3.48109243697479</x:v>
      </x:c>
      <x:c r="G74" s="22" t="n">
        <x:v>0.2708321739291743</x:v>
      </x:c>
      <x:c r="H74" s="22" t="n">
        <x:v>0.09397262801602238</x:v>
      </x:c>
      <x:c r="I74" s="22" t="n">
        <x:v>0.8</x:v>
      </x:c>
      <x:c r="J74" s="22" t="n">
        <x:v>0.17685954591315192</x:v>
      </x:c>
      <x:c r="K74" s="22" t="str">
        <x:v>微分方程与动态系统|topic-03|s3</x:v>
      </x:c>
      <x:c r="L74" s="24" t="n">
        <x:v>7</x:v>
      </x:c>
      <x:c r="M74" s="22" t="str">
        <x:v>["S0210"]</x:v>
      </x:c>
      <x:c r="N74" s="22" t="str">
        <x:v>是</x:v>
      </x:c>
    </x:row>
    <x:row r="75" ht="23" customHeight="1">
      <x:c r="A75" s="21" t="str">
        <x:v>2025秋:259315</x:v>
      </x:c>
      <x:c r="B75" s="22" t="str">
        <x:v>机器学习与人工智能</x:v>
      </x:c>
      <x:c r="C75" s="22" t="str">
        <x:v>s3</x:v>
      </x:c>
      <x:c r="D75" s="22" t="str">
        <x:v>topic-06</x:v>
      </x:c>
      <x:c r="E75" s="22" t="n">
        <x:v>3.922043891254504</x:v>
      </x:c>
      <x:c r="F75" s="22" t="n">
        <x:v>3.922043891254504</x:v>
      </x:c>
      <x:c r="G75" s="22" t="n">
        <x:v>0</x:v>
      </x:c>
      <x:c r="H75" s="22" t="n">
        <x:v>0.11788498564075993</x:v>
      </x:c>
      <x:c r="I75" s="22" t="n">
        <x:v>1</x:v>
      </x:c>
      <x:c r="J75" s="22" t="n">
        <x:v>-0.11788498564075993</x:v>
      </x:c>
      <x:c r="K75" s="22" t="str">
        <x:v>机器学习与人工智能|topic-06|s3</x:v>
      </x:c>
      <x:c r="L75" s="24" t="n">
        <x:v>20</x:v>
      </x:c>
      <x:c r="M75" s="22" t="str">
        <x:v>["S0405"]</x:v>
      </x:c>
      <x:c r="N75" s="22" t="str">
        <x:v>是</x:v>
      </x:c>
    </x:row>
    <x:row r="76" ht="23" customHeight="1">
      <x:c r="A76" s="21" t="str">
        <x:v>2025秋:259316</x:v>
      </x:c>
      <x:c r="B76" s="22" t="str">
        <x:v>图论与网络</x:v>
      </x:c>
      <x:c r="C76" s="22" t="str">
        <x:v>s3</x:v>
      </x:c>
      <x:c r="D76" s="22" t="str">
        <x:v>topic-02</x:v>
      </x:c>
      <x:c r="E76" s="22" t="n">
        <x:v>2.283557046979866</x:v>
      </x:c>
      <x:c r="F76" s="22" t="n">
        <x:v>2.283557046979866</x:v>
      </x:c>
      <x:c r="G76" s="22" t="n">
        <x:v>0</x:v>
      </x:c>
      <x:c r="H76" s="22" t="n">
        <x:v>0.09508562772143313</x:v>
      </x:c>
      <x:c r="I76" s="22" t="n">
        <x:v>0.8</x:v>
      </x:c>
      <x:c r="J76" s="22" t="n">
        <x:v>-0.09508562772143313</x:v>
      </x:c>
      <x:c r="K76" s="22" t="str">
        <x:v>图论与网络|topic-02|s3</x:v>
      </x:c>
      <x:c r="L76" s="24" t="n">
        <x:v>12</x:v>
      </x:c>
      <x:c r="M76" s="22" t="str">
        <x:v>["S0062"]</x:v>
      </x:c>
      <x:c r="N76" s="22" t="str">
        <x:v>是</x:v>
      </x:c>
    </x:row>
    <x:row r="77" ht="23" customHeight="1">
      <x:c r="A77" s="21" t="str">
        <x:v>2025秋:259316</x:v>
      </x:c>
      <x:c r="B77" s="22" t="str">
        <x:v>学习过程与工具使用</x:v>
      </x:c>
      <x:c r="C77" s="22" t="str">
        <x:v>s3</x:v>
      </x:c>
      <x:c r="D77" s="22" t="str">
        <x:v>topic-11</x:v>
      </x:c>
      <x:c r="E77" s="22" t="n">
        <x:v>3.5469613259668504</x:v>
      </x:c>
      <x:c r="F77" s="22" t="n">
        <x:v>3.5469613259668504</x:v>
      </x:c>
      <x:c r="G77" s="22" t="n">
        <x:v>0</x:v>
      </x:c>
      <x:c r="H77" s="22" t="n">
        <x:v>0.06458621772590344</x:v>
      </x:c>
      <x:c r="I77" s="22" t="n">
        <x:v>0.8</x:v>
      </x:c>
      <x:c r="J77" s="22" t="n">
        <x:v>-0.06458621772590344</x:v>
      </x:c>
      <x:c r="K77" s="22" t="str">
        <x:v>学习过程与工具使用|topic-11|s3</x:v>
      </x:c>
      <x:c r="L77" s="24" t="n">
        <x:v>3</x:v>
      </x:c>
      <x:c r="M77" s="22" t="str">
        <x:v>["S0121"]</x:v>
      </x:c>
      <x:c r="N77" s="22" t="str">
        <x:v>是</x:v>
      </x:c>
    </x:row>
    <x:row r="78" ht="23" customHeight="1">
      <x:c r="A78" s="21" t="str">
        <x:v>2025秋:259317</x:v>
      </x:c>
      <x:c r="B78" s="22" t="str">
        <x:v>数值计算与科学计算</x:v>
      </x:c>
      <x:c r="C78" s="22" t="str">
        <x:v>s3</x:v>
      </x:c>
      <x:c r="D78" s="22" t="str">
        <x:v>topic-05</x:v>
      </x:c>
      <x:c r="E78" s="22" t="n">
        <x:v>1.9782135076252725</x:v>
      </x:c>
      <x:c r="F78" s="22" t="n">
        <x:v>2.7842091224326486</x:v>
      </x:c>
      <x:c r="G78" s="22" t="n">
        <x:v>0.16119912296147523</x:v>
      </x:c>
      <x:c r="H78" s="22" t="n">
        <x:v>0.045477277653559384</x:v>
      </x:c>
      <x:c r="I78" s="22" t="n">
        <x:v>0.6</x:v>
      </x:c>
      <x:c r="J78" s="22" t="n">
        <x:v>0.11572184530791585</x:v>
      </x:c>
      <x:c r="K78" s="22" t="str">
        <x:v>数值计算与科学计算|topic-05|s3</x:v>
      </x:c>
      <x:c r="L78" s="24" t="n">
        <x:v>9</x:v>
      </x:c>
      <x:c r="M78" s="22" t="str">
        <x:v>["S0003"]</x:v>
      </x:c>
      <x:c r="N78" s="22" t="str">
        <x:v>是</x:v>
      </x:c>
    </x:row>
    <x:row r="79" ht="23" customHeight="1">
      <x:c r="A79" s="21" t="str">
        <x:v>2025秋:259321</x:v>
      </x:c>
      <x:c r="B79" s="22" t="str">
        <x:v>数值计算与科学计算</x:v>
      </x:c>
      <x:c r="C79" s="22" t="str">
        <x:v>s3</x:v>
      </x:c>
      <x:c r="D79" s="22" t="str">
        <x:v>topic-05</x:v>
      </x:c>
      <x:c r="E79" s="22" t="n">
        <x:v>1.4385542168674699</x:v>
      </x:c>
      <x:c r="F79" s="22" t="n">
        <x:v>2.0957854406130267</x:v>
      </x:c>
      <x:c r="G79" s="22" t="n">
        <x:v>0.13144624474911137</x:v>
      </x:c>
      <x:c r="H79" s="22" t="n">
        <x:v>0.045477277653559384</x:v>
      </x:c>
      <x:c r="I79" s="22" t="n">
        <x:v>0.6</x:v>
      </x:c>
      <x:c r="J79" s="22" t="n">
        <x:v>0.08596896709555199</x:v>
      </x:c>
      <x:c r="K79" s="22" t="str">
        <x:v>数值计算与科学计算|topic-05|s3</x:v>
      </x:c>
      <x:c r="L79" s="24" t="n">
        <x:v>9</x:v>
      </x:c>
      <x:c r="M79" s="22" t="str">
        <x:v>["S0288"]</x:v>
      </x:c>
      <x:c r="N79" s="22" t="str">
        <x:v>是</x:v>
      </x:c>
    </x:row>
    <x:row r="80" ht="23" customHeight="1">
      <x:c r="A80" s="21" t="str">
        <x:v>2025秋:259324</x:v>
      </x:c>
      <x:c r="B80" s="22" t="str">
        <x:v>机器学习与人工智能</x:v>
      </x:c>
      <x:c r="C80" s="22" t="str">
        <x:v>s3</x:v>
      </x:c>
      <x:c r="D80" s="22" t="str">
        <x:v>topic-06</x:v>
      </x:c>
      <x:c r="E80" s="22" t="n">
        <x:v>1.5142857142857142</x:v>
      </x:c>
      <x:c r="F80" s="22" t="n">
        <x:v>1.5142857142857142</x:v>
      </x:c>
      <x:c r="G80" s="22" t="n">
        <x:v>0</x:v>
      </x:c>
      <x:c r="H80" s="22" t="n">
        <x:v>0.11788498564075993</x:v>
      </x:c>
      <x:c r="I80" s="22" t="n">
        <x:v>1</x:v>
      </x:c>
      <x:c r="J80" s="22" t="n">
        <x:v>-0.11788498564075993</x:v>
      </x:c>
      <x:c r="K80" s="22" t="str">
        <x:v>机器学习与人工智能|topic-06|s3</x:v>
      </x:c>
      <x:c r="L80" s="24" t="n">
        <x:v>20</x:v>
      </x:c>
      <x:c r="M80" s="22" t="str">
        <x:v>["S0230"]</x:v>
      </x:c>
      <x:c r="N80" s="22" t="str">
        <x:v>是</x:v>
      </x:c>
    </x:row>
    <x:row r="81" ht="23" customHeight="1">
      <x:c r="A81" s="21" t="str">
        <x:v>2025秋:259326</x:v>
      </x:c>
      <x:c r="B81" s="22" t="str">
        <x:v>优化与运筹</x:v>
      </x:c>
      <x:c r="C81" s="22" t="str">
        <x:v>s3</x:v>
      </x:c>
      <x:c r="D81" s="22" t="str">
        <x:v>topic-01</x:v>
      </x:c>
      <x:c r="E81" s="22" t="n">
        <x:v>2.1268939393939394</x:v>
      </x:c>
      <x:c r="F81" s="22" t="n">
        <x:v>3.918001033057851</x:v>
      </x:c>
      <x:c r="G81" s="22" t="n">
        <x:v>0.3582214187327823</x:v>
      </x:c>
      <x:c r="H81" s="22" t="n">
        <x:v>0.13683228565235026</x:v>
      </x:c>
      <x:c r="I81" s="22" t="n">
        <x:v>1</x:v>
      </x:c>
      <x:c r="J81" s="22" t="n">
        <x:v>0.22138913308043204</x:v>
      </x:c>
      <x:c r="K81" s="22" t="str">
        <x:v>优化与运筹|topic-01|s3</x:v>
      </x:c>
      <x:c r="L81" s="24" t="n">
        <x:v>64</x:v>
      </x:c>
      <x:c r="M81" s="22" t="str">
        <x:v>["S0496"]</x:v>
      </x:c>
      <x:c r="N81" s="22" t="str">
        <x:v>是</x:v>
      </x:c>
    </x:row>
    <x:row r="82" ht="23" customHeight="1">
      <x:c r="A82" s="21" t="str">
        <x:v>2025秋:259329</x:v>
      </x:c>
      <x:c r="B82" s="22" t="str">
        <x:v>数学建模综合与案例</x:v>
      </x:c>
      <x:c r="C82" s="22" t="str">
        <x:v>s6</x:v>
      </x:c>
      <x:c r="D82" s="22" t="str">
        <x:v>topic-09</x:v>
      </x:c>
      <x:c r="E82" s="22" t="n">
        <x:v>2</x:v>
      </x:c>
      <x:c r="F82" s="22" t="n">
        <x:v>6</x:v>
      </x:c>
      <x:c r="G82" s="22" t="n">
        <x:v>0.8</x:v>
      </x:c>
      <x:c r="H82" s="22" t="n">
        <x:v>0.15771428571428572</x:v>
      </x:c>
      <x:c r="I82" s="22" t="n">
        <x:v>1</x:v>
      </x:c>
      <x:c r="J82" s="22" t="n">
        <x:v>0.6422857142857143</x:v>
      </x:c>
      <x:c r="K82" s="22" t="str">
        <x:v>数学建模综合与案例|topic-09|s6</x:v>
      </x:c>
      <x:c r="L82" s="24" t="n">
        <x:v>7</x:v>
      </x:c>
      <x:c r="M82" s="22" t="str">
        <x:v>["S0112"]</x:v>
      </x:c>
      <x:c r="N82" s="22" t="str">
        <x:v>是</x:v>
      </x:c>
    </x:row>
    <x:row r="83" ht="23" customHeight="1">
      <x:c r="A83" s="21" t="str">
        <x:v>2025秋:259334</x:v>
      </x:c>
      <x:c r="B83" s="22" t="str">
        <x:v>概率统计与随机过程</x:v>
      </x:c>
      <x:c r="C83" s="22" t="str">
        <x:v>s3</x:v>
      </x:c>
      <x:c r="D83" s="22" t="str">
        <x:v>topic-04</x:v>
      </x:c>
      <x:c r="E83" s="22" t="n">
        <x:v>2.1019167835437123</x:v>
      </x:c>
      <x:c r="F83" s="22" t="n">
        <x:v>3.8638281549673956</x:v>
      </x:c>
      <x:c r="G83" s="22" t="n">
        <x:v>0.3523822742847367</x:v>
      </x:c>
      <x:c r="H83" s="22" t="n">
        <x:v>0.13680392675608974</x:v>
      </x:c>
      <x:c r="I83" s="22" t="n">
        <x:v>1</x:v>
      </x:c>
      <x:c r="J83" s="22" t="n">
        <x:v>0.21557834752864694</x:v>
      </x:c>
      <x:c r="K83" s="22" t="str">
        <x:v>概率统计与随机过程|topic-04|s3</x:v>
      </x:c>
      <x:c r="L83" s="24" t="n">
        <x:v>24</x:v>
      </x:c>
      <x:c r="M83" s="22" t="str">
        <x:v>["S0399"]</x:v>
      </x:c>
      <x:c r="N83" s="22" t="str">
        <x:v>是</x:v>
      </x:c>
    </x:row>
    <x:row r="84" ht="23" customHeight="1">
      <x:c r="A84" s="21" t="str">
        <x:v>2025秋:259335</x:v>
      </x:c>
      <x:c r="B84" s="22" t="str">
        <x:v>概率统计与随机过程</x:v>
      </x:c>
      <x:c r="C84" s="22" t="str">
        <x:v>s3</x:v>
      </x:c>
      <x:c r="D84" s="22" t="str">
        <x:v>topic-04</x:v>
      </x:c>
      <x:c r="E84" s="22" t="n">
        <x:v>1.5243589743589745</x:v>
      </x:c>
      <x:c r="F84" s="22" t="n">
        <x:v>4.087750958718701</x:v>
      </x:c>
      <x:c r="G84" s="22" t="n">
        <x:v>0.5126783968719453</x:v>
      </x:c>
      <x:c r="H84" s="22" t="n">
        <x:v>0.13680392675608974</x:v>
      </x:c>
      <x:c r="I84" s="22" t="n">
        <x:v>1</x:v>
      </x:c>
      <x:c r="J84" s="22" t="n">
        <x:v>0.3758744701158555</x:v>
      </x:c>
      <x:c r="K84" s="22" t="str">
        <x:v>概率统计与随机过程|topic-04|s3</x:v>
      </x:c>
      <x:c r="L84" s="24" t="n">
        <x:v>24</x:v>
      </x:c>
      <x:c r="M84" s="22" t="str">
        <x:v>["S0299"]</x:v>
      </x:c>
      <x:c r="N84" s="22" t="str">
        <x:v>是</x:v>
      </x:c>
    </x:row>
    <x:row r="85" ht="23" customHeight="1">
      <x:c r="A85" s="21" t="str">
        <x:v>2025秋:259336</x:v>
      </x:c>
      <x:c r="B85" s="22" t="str">
        <x:v>优化与运筹</x:v>
      </x:c>
      <x:c r="C85" s="22" t="str">
        <x:v>s3</x:v>
      </x:c>
      <x:c r="D85" s="22" t="str">
        <x:v>topic-01</x:v>
      </x:c>
      <x:c r="E85" s="22" t="n">
        <x:v>2.040922619047619</x:v>
      </x:c>
      <x:c r="F85" s="22" t="n">
        <x:v>3.9503444998812065</x:v>
      </x:c>
      <x:c r="G85" s="22" t="n">
        <x:v>0.3818843761667175</x:v>
      </x:c>
      <x:c r="H85" s="22" t="n">
        <x:v>0.13683228565235026</x:v>
      </x:c>
      <x:c r="I85" s="22" t="n">
        <x:v>1</x:v>
      </x:c>
      <x:c r="J85" s="22" t="n">
        <x:v>0.24505209051436724</x:v>
      </x:c>
      <x:c r="K85" s="22" t="str">
        <x:v>优化与运筹|topic-01|s3</x:v>
      </x:c>
      <x:c r="L85" s="24" t="n">
        <x:v>64</x:v>
      </x:c>
      <x:c r="M85" s="22" t="str">
        <x:v>["S0286"]</x:v>
      </x:c>
      <x:c r="N85" s="22" t="str">
        <x:v>是</x:v>
      </x:c>
    </x:row>
    <x:row r="86" ht="23" customHeight="1">
      <x:c r="A86" s="21" t="str">
        <x:v>2025秋:259342</x:v>
      </x:c>
      <x:c r="B86" s="22" t="str">
        <x:v>微分方程与动态系统</x:v>
      </x:c>
      <x:c r="C86" s="22" t="str">
        <x:v>s3</x:v>
      </x:c>
      <x:c r="D86" s="22" t="str">
        <x:v>topic-03</x:v>
      </x:c>
      <x:c r="E86" s="22" t="n">
        <x:v>3.48109243697479</x:v>
      </x:c>
      <x:c r="F86" s="22" t="n">
        <x:v>3.48109243697479</x:v>
      </x:c>
      <x:c r="G86" s="22" t="n">
        <x:v>0</x:v>
      </x:c>
      <x:c r="H86" s="22" t="n">
        <x:v>0.09397262801602238</x:v>
      </x:c>
      <x:c r="I86" s="22" t="n">
        <x:v>0.8</x:v>
      </x:c>
      <x:c r="J86" s="22" t="n">
        <x:v>-0.09397262801602238</x:v>
      </x:c>
      <x:c r="K86" s="22" t="str">
        <x:v>微分方程与动态系统|topic-03|s3</x:v>
      </x:c>
      <x:c r="L86" s="24" t="n">
        <x:v>7</x:v>
      </x:c>
      <x:c r="M86" s="22" t="str">
        <x:v>["S0177"]</x:v>
      </x:c>
      <x:c r="N86" s="22" t="str">
        <x:v>是</x:v>
      </x:c>
    </x:row>
    <x:row r="87" ht="23" customHeight="1">
      <x:c r="A87" s="21" t="str">
        <x:v>2025秋:259346</x:v>
      </x:c>
      <x:c r="B87" s="22" t="str">
        <x:v>优化与运筹</x:v>
      </x:c>
      <x:c r="C87" s="22" t="str">
        <x:v>s3</x:v>
      </x:c>
      <x:c r="D87" s="22" t="str">
        <x:v>topic-01</x:v>
      </x:c>
      <x:c r="E87" s="22" t="n">
        <x:v>2.1268939393939394</x:v>
      </x:c>
      <x:c r="F87" s="22" t="n">
        <x:v>2.1268939393939394</x:v>
      </x:c>
      <x:c r="G87" s="22" t="n">
        <x:v>0</x:v>
      </x:c>
      <x:c r="H87" s="22" t="n">
        <x:v>0.13683228565235026</x:v>
      </x:c>
      <x:c r="I87" s="22" t="n">
        <x:v>1</x:v>
      </x:c>
      <x:c r="J87" s="22" t="n">
        <x:v>-0.13683228565235026</x:v>
      </x:c>
      <x:c r="K87" s="22" t="str">
        <x:v>优化与运筹|topic-01|s3</x:v>
      </x:c>
      <x:c r="L87" s="24" t="n">
        <x:v>64</x:v>
      </x:c>
      <x:c r="M87" s="22" t="str">
        <x:v>["S0672"]</x:v>
      </x:c>
      <x:c r="N87" s="22" t="str">
        <x:v>是</x:v>
      </x:c>
    </x:row>
    <x:row r="88" ht="23" customHeight="1">
      <x:c r="A88" s="21" t="str">
        <x:v>2025秋:259400</x:v>
      </x:c>
      <x:c r="B88" s="22" t="str">
        <x:v>数值计算与科学计算</x:v>
      </x:c>
      <x:c r="C88" s="22" t="str">
        <x:v>s3</x:v>
      </x:c>
      <x:c r="D88" s="22" t="str">
        <x:v>topic-05</x:v>
      </x:c>
      <x:c r="E88" s="22" t="n">
        <x:v>1.3550295857988164</x:v>
      </x:c>
      <x:c r="F88" s="22" t="n">
        <x:v>1.9782135076252725</x:v>
      </x:c>
      <x:c r="G88" s="22" t="n">
        <x:v>0.12463678436529121</x:v>
      </x:c>
      <x:c r="H88" s="22" t="n">
        <x:v>0.045477277653559384</x:v>
      </x:c>
      <x:c r="I88" s="22" t="n">
        <x:v>0.6</x:v>
      </x:c>
      <x:c r="J88" s="22" t="n">
        <x:v>0.07915950671173183</x:v>
      </x:c>
      <x:c r="K88" s="22" t="str">
        <x:v>数值计算与科学计算|topic-05|s3</x:v>
      </x:c>
      <x:c r="L88" s="24" t="n">
        <x:v>9</x:v>
      </x:c>
      <x:c r="M88" s="22" t="str">
        <x:v>["S0343"]</x:v>
      </x:c>
      <x:c r="N88" s="22" t="str">
        <x:v>是</x:v>
      </x:c>
    </x:row>
    <x:row r="89" ht="23" customHeight="1">
      <x:c r="A89" s="21" t="str">
        <x:v>2025秋:259403</x:v>
      </x:c>
      <x:c r="B89" s="22" t="str">
        <x:v>优化与运筹</x:v>
      </x:c>
      <x:c r="C89" s="22" t="str">
        <x:v>s3</x:v>
      </x:c>
      <x:c r="D89" s="22" t="str">
        <x:v>topic-01</x:v>
      </x:c>
      <x:c r="E89" s="22" t="n">
        <x:v>2.0141467727674622</x:v>
      </x:c>
      <x:c r="F89" s="22" t="n">
        <x:v>3.9131968948482707</x:v>
      </x:c>
      <x:c r="G89" s="22" t="n">
        <x:v>0.3798100244161617</x:v>
      </x:c>
      <x:c r="H89" s="22" t="n">
        <x:v>0.13683228565235026</x:v>
      </x:c>
      <x:c r="I89" s="22" t="n">
        <x:v>1</x:v>
      </x:c>
      <x:c r="J89" s="22" t="n">
        <x:v>0.24297773876381143</x:v>
      </x:c>
      <x:c r="K89" s="22" t="str">
        <x:v>优化与运筹|topic-01|s3</x:v>
      </x:c>
      <x:c r="L89" s="24" t="n">
        <x:v>64</x:v>
      </x:c>
      <x:c r="M89" s="22" t="str">
        <x:v>["S0382"]</x:v>
      </x:c>
      <x:c r="N89" s="22" t="str">
        <x:v>是</x:v>
      </x:c>
    </x:row>
    <x:row r="90" ht="23" customHeight="1">
      <x:c r="A90" s="21" t="str">
        <x:v>2025秋:259404</x:v>
      </x:c>
      <x:c r="B90" s="22" t="str">
        <x:v>图论与网络</x:v>
      </x:c>
      <x:c r="C90" s="22" t="str">
        <x:v>s3</x:v>
      </x:c>
      <x:c r="D90" s="22" t="str">
        <x:v>topic-02</x:v>
      </x:c>
      <x:c r="E90" s="22" t="n">
        <x:v>2.0806100217864927</x:v>
      </x:c>
      <x:c r="F90" s="22" t="n">
        <x:v>2.0806100217864927</x:v>
      </x:c>
      <x:c r="G90" s="22" t="n">
        <x:v>0</x:v>
      </x:c>
      <x:c r="H90" s="22" t="n">
        <x:v>0.09508562772143313</x:v>
      </x:c>
      <x:c r="I90" s="22" t="n">
        <x:v>0.8</x:v>
      </x:c>
      <x:c r="J90" s="22" t="n">
        <x:v>-0.09508562772143313</x:v>
      </x:c>
      <x:c r="K90" s="22" t="str">
        <x:v>图论与网络|topic-02|s3</x:v>
      </x:c>
      <x:c r="L90" s="24" t="n">
        <x:v>12</x:v>
      </x:c>
      <x:c r="M90" s="22" t="str">
        <x:v>["S0293"]</x:v>
      </x:c>
      <x:c r="N90" s="22" t="str">
        <x:v>是</x:v>
      </x:c>
    </x:row>
    <x:row r="91" ht="23" customHeight="1">
      <x:c r="A91" s="21" t="str">
        <x:v>2025秋:259407</x:v>
      </x:c>
      <x:c r="B91" s="22" t="str">
        <x:v>优化与运筹</x:v>
      </x:c>
      <x:c r="C91" s="22" t="str">
        <x:v>s3</x:v>
      </x:c>
      <x:c r="D91" s="22" t="str">
        <x:v>topic-01</x:v>
      </x:c>
      <x:c r="E91" s="22" t="n">
        <x:v>1.4431818181818181</x:v>
      </x:c>
      <x:c r="F91" s="22" t="n">
        <x:v>3.95672131147541</x:v>
      </x:c>
      <x:c r="G91" s="22" t="n">
        <x:v>0.5027078986587183</x:v>
      </x:c>
      <x:c r="H91" s="22" t="n">
        <x:v>0.13683228565235026</x:v>
      </x:c>
      <x:c r="I91" s="22" t="n">
        <x:v>1</x:v>
      </x:c>
      <x:c r="J91" s="22" t="n">
        <x:v>0.36587561300636806</x:v>
      </x:c>
      <x:c r="K91" s="22" t="str">
        <x:v>优化与运筹|topic-01|s3</x:v>
      </x:c>
      <x:c r="L91" s="24" t="n">
        <x:v>64</x:v>
      </x:c>
      <x:c r="M91" s="22" t="str">
        <x:v>["S0036","S0551"]</x:v>
      </x:c>
      <x:c r="N91" s="22" t="str">
        <x:v>是</x:v>
      </x:c>
    </x:row>
    <x:row r="92" ht="23" customHeight="1">
      <x:c r="A92" s="21" t="str">
        <x:v>2025秋:259422</x:v>
      </x:c>
      <x:c r="B92" s="22" t="str">
        <x:v>概率统计与随机过程</x:v>
      </x:c>
      <x:c r="C92" s="22" t="str">
        <x:v>s3</x:v>
      </x:c>
      <x:c r="D92" s="22" t="str">
        <x:v>topic-04</x:v>
      </x:c>
      <x:c r="E92" s="22" t="n">
        <x:v>2.127473021582734</x:v>
      </x:c>
      <x:c r="F92" s="22" t="n">
        <x:v>2.127473021582734</x:v>
      </x:c>
      <x:c r="G92" s="22" t="n">
        <x:v>0</x:v>
      </x:c>
      <x:c r="H92" s="22" t="n">
        <x:v>0.13680392675608974</x:v>
      </x:c>
      <x:c r="I92" s="22" t="n">
        <x:v>1</x:v>
      </x:c>
      <x:c r="J92" s="22" t="n">
        <x:v>-0.13680392675608974</x:v>
      </x:c>
      <x:c r="K92" s="22" t="str">
        <x:v>概率统计与随机过程|topic-04|s3</x:v>
      </x:c>
      <x:c r="L92" s="24" t="n">
        <x:v>24</x:v>
      </x:c>
      <x:c r="M92" s="22" t="str">
        <x:v>["S0421"]</x:v>
      </x:c>
      <x:c r="N92" s="22" t="str">
        <x:v>是</x:v>
      </x:c>
    </x:row>
    <x:row r="93" ht="23" customHeight="1">
      <x:c r="A93" s="21" t="str">
        <x:v>2025秋:259425</x:v>
      </x:c>
      <x:c r="B93" s="22" t="str">
        <x:v>概率统计与随机过程</x:v>
      </x:c>
      <x:c r="C93" s="22" t="str">
        <x:v>s3</x:v>
      </x:c>
      <x:c r="D93" s="22" t="str">
        <x:v>topic-04</x:v>
      </x:c>
      <x:c r="E93" s="22" t="n">
        <x:v>2.1909774436090226</x:v>
      </x:c>
      <x:c r="F93" s="22" t="n">
        <x:v>3.9827956989247313</x:v>
      </x:c>
      <x:c r="G93" s="22" t="n">
        <x:v>0.3583636510631417</x:v>
      </x:c>
      <x:c r="H93" s="22" t="n">
        <x:v>0.13680392675608974</x:v>
      </x:c>
      <x:c r="I93" s="22" t="n">
        <x:v>1</x:v>
      </x:c>
      <x:c r="J93" s="22" t="n">
        <x:v>0.22155972430705198</x:v>
      </x:c>
      <x:c r="K93" s="22" t="str">
        <x:v>概率统计与随机过程|topic-04|s3</x:v>
      </x:c>
      <x:c r="L93" s="24" t="n">
        <x:v>24</x:v>
      </x:c>
      <x:c r="M93" s="22" t="str">
        <x:v>["S0037"]</x:v>
      </x:c>
      <x:c r="N93" s="22" t="str">
        <x:v>是</x:v>
      </x:c>
    </x:row>
    <x:row r="94" ht="23" customHeight="1">
      <x:c r="A94" s="21" t="str">
        <x:v>2025秋:259430</x:v>
      </x:c>
      <x:c r="B94" s="22" t="str">
        <x:v>优化与运筹</x:v>
      </x:c>
      <x:c r="C94" s="22" t="str">
        <x:v>s3</x:v>
      </x:c>
      <x:c r="D94" s="22" t="str">
        <x:v>topic-01</x:v>
      </x:c>
      <x:c r="E94" s="22" t="n">
        <x:v>2.040922619047619</x:v>
      </x:c>
      <x:c r="F94" s="22" t="n">
        <x:v>2.040922619047619</x:v>
      </x:c>
      <x:c r="G94" s="22" t="n">
        <x:v>0</x:v>
      </x:c>
      <x:c r="H94" s="22" t="n">
        <x:v>0.13683228565235026</x:v>
      </x:c>
      <x:c r="I94" s="22" t="n">
        <x:v>1</x:v>
      </x:c>
      <x:c r="J94" s="22" t="n">
        <x:v>-0.13683228565235026</x:v>
      </x:c>
      <x:c r="K94" s="22" t="str">
        <x:v>优化与运筹|topic-01|s3</x:v>
      </x:c>
      <x:c r="L94" s="24" t="n">
        <x:v>64</x:v>
      </x:c>
      <x:c r="M94" s="22" t="str">
        <x:v>["S0181"]</x:v>
      </x:c>
      <x:c r="N94" s="22" t="str">
        <x:v>是</x:v>
      </x:c>
    </x:row>
    <x:row r="95" ht="23" customHeight="1">
      <x:c r="A95" s="21" t="str">
        <x:v>2025秋:259431</x:v>
      </x:c>
      <x:c r="B95" s="22" t="str">
        <x:v>优化与运筹</x:v>
      </x:c>
      <x:c r="C95" s="22" t="str">
        <x:v>s3</x:v>
      </x:c>
      <x:c r="D95" s="22" t="str">
        <x:v>topic-01</x:v>
      </x:c>
      <x:c r="E95" s="22" t="n">
        <x:v>2.040922619047619</x:v>
      </x:c>
      <x:c r="F95" s="22" t="n">
        <x:v>2.040922619047619</x:v>
      </x:c>
      <x:c r="G95" s="22" t="n">
        <x:v>0</x:v>
      </x:c>
      <x:c r="H95" s="22" t="n">
        <x:v>0.13683228565235026</x:v>
      </x:c>
      <x:c r="I95" s="22" t="n">
        <x:v>1</x:v>
      </x:c>
      <x:c r="J95" s="22" t="n">
        <x:v>-0.13683228565235026</x:v>
      </x:c>
      <x:c r="K95" s="22" t="str">
        <x:v>优化与运筹|topic-01|s3</x:v>
      </x:c>
      <x:c r="L95" s="24" t="n">
        <x:v>64</x:v>
      </x:c>
      <x:c r="M95" s="22" t="str">
        <x:v>["S0500"]</x:v>
      </x:c>
      <x:c r="N95" s="22" t="str">
        <x:v>是</x:v>
      </x:c>
    </x:row>
    <x:row r="96" ht="23" customHeight="1">
      <x:c r="A96" s="21" t="str">
        <x:v>2025秋:259437</x:v>
      </x:c>
      <x:c r="B96" s="22" t="str">
        <x:v>数值计算与科学计算</x:v>
      </x:c>
      <x:c r="C96" s="22" t="str">
        <x:v>s3</x:v>
      </x:c>
      <x:c r="D96" s="22" t="str">
        <x:v>topic-05</x:v>
      </x:c>
      <x:c r="E96" s="22" t="n">
        <x:v>2.8145035792094615</x:v>
      </x:c>
      <x:c r="F96" s="22" t="n">
        <x:v>2.8145035792094615</x:v>
      </x:c>
      <x:c r="G96" s="22" t="n">
        <x:v>0</x:v>
      </x:c>
      <x:c r="H96" s="22" t="n">
        <x:v>0.045477277653559384</x:v>
      </x:c>
      <x:c r="I96" s="22" t="n">
        <x:v>0.6</x:v>
      </x:c>
      <x:c r="J96" s="22" t="n">
        <x:v>-0.045477277653559384</x:v>
      </x:c>
      <x:c r="K96" s="22" t="str">
        <x:v>数值计算与科学计算|topic-05|s3</x:v>
      </x:c>
      <x:c r="L96" s="24" t="n">
        <x:v>9</x:v>
      </x:c>
      <x:c r="M96" s="22" t="str">
        <x:v>["S0187"]</x:v>
      </x:c>
      <x:c r="N96" s="22" t="str">
        <x:v>是</x:v>
      </x:c>
    </x:row>
    <x:row r="97" ht="23" customHeight="1">
      <x:c r="A97" s="21" t="str">
        <x:v>2025秋:259437</x:v>
      </x:c>
      <x:c r="B97" s="22" t="str">
        <x:v>机器学习与人工智能</x:v>
      </x:c>
      <x:c r="C97" s="22" t="str">
        <x:v>s3</x:v>
      </x:c>
      <x:c r="D97" s="22" t="str">
        <x:v>topic-06</x:v>
      </x:c>
      <x:c r="E97" s="22" t="n">
        <x:v>2.282051282051282</x:v>
      </x:c>
      <x:c r="F97" s="22" t="n">
        <x:v>3.905597014925373</x:v>
      </x:c>
      <x:c r="G97" s="22" t="n">
        <x:v>0.32470914657481825</x:v>
      </x:c>
      <x:c r="H97" s="22" t="n">
        <x:v>0.11788498564075993</x:v>
      </x:c>
      <x:c r="I97" s="22" t="n">
        <x:v>1</x:v>
      </x:c>
      <x:c r="J97" s="22" t="n">
        <x:v>0.2068241609340583</x:v>
      </x:c>
      <x:c r="K97" s="22" t="str">
        <x:v>机器学习与人工智能|topic-06|s3</x:v>
      </x:c>
      <x:c r="L97" s="24" t="n">
        <x:v>20</x:v>
      </x:c>
      <x:c r="M97" s="22" t="str">
        <x:v>["S0384"]</x:v>
      </x:c>
      <x:c r="N97" s="22" t="str">
        <x:v>是</x:v>
      </x:c>
    </x:row>
    <x:row r="98" ht="23" customHeight="1">
      <x:c r="A98" s="21" t="str">
        <x:v>2025秋:259449</x:v>
      </x:c>
      <x:c r="B98" s="22" t="str">
        <x:v>优化与运筹</x:v>
      </x:c>
      <x:c r="C98" s="22" t="str">
        <x:v>s3</x:v>
      </x:c>
      <x:c r="D98" s="22" t="str">
        <x:v>topic-01</x:v>
      </x:c>
      <x:c r="E98" s="22" t="n">
        <x:v>3.918001033057851</x:v>
      </x:c>
      <x:c r="F98" s="22" t="n">
        <x:v>3.918001033057851</x:v>
      </x:c>
      <x:c r="G98" s="22" t="n">
        <x:v>0</x:v>
      </x:c>
      <x:c r="H98" s="22" t="n">
        <x:v>0.13683228565235026</x:v>
      </x:c>
      <x:c r="I98" s="22" t="n">
        <x:v>1</x:v>
      </x:c>
      <x:c r="J98" s="22" t="n">
        <x:v>-0.13683228565235026</x:v>
      </x:c>
      <x:c r="K98" s="22" t="str">
        <x:v>优化与运筹|topic-01|s3</x:v>
      </x:c>
      <x:c r="L98" s="24" t="n">
        <x:v>64</x:v>
      </x:c>
      <x:c r="M98" s="22" t="str">
        <x:v>["S0418"]</x:v>
      </x:c>
      <x:c r="N98" s="22" t="str">
        <x:v>是</x:v>
      </x:c>
    </x:row>
    <x:row r="99" ht="23" customHeight="1">
      <x:c r="A99" s="21" t="str">
        <x:v>2025秋:259449</x:v>
      </x:c>
      <x:c r="B99" s="22" t="str">
        <x:v>数值计算与科学计算</x:v>
      </x:c>
      <x:c r="C99" s="22" t="str">
        <x:v>s3</x:v>
      </x:c>
      <x:c r="D99" s="22" t="str">
        <x:v>topic-05</x:v>
      </x:c>
      <x:c r="E99" s="22" t="n">
        <x:v>2.10727969348659</x:v>
      </x:c>
      <x:c r="F99" s="22" t="n">
        <x:v>2.780998389694042</x:v>
      </x:c>
      <x:c r="G99" s="22" t="n">
        <x:v>0.13474373924149036</x:v>
      </x:c>
      <x:c r="H99" s="22" t="n">
        <x:v>0.045477277653559384</x:v>
      </x:c>
      <x:c r="I99" s="22" t="n">
        <x:v>0.6</x:v>
      </x:c>
      <x:c r="J99" s="22" t="n">
        <x:v>0.08926646158793097</x:v>
      </x:c>
      <x:c r="K99" s="22" t="str">
        <x:v>数值计算与科学计算|topic-05|s3</x:v>
      </x:c>
      <x:c r="L99" s="24" t="n">
        <x:v>9</x:v>
      </x:c>
      <x:c r="M99" s="22" t="str">
        <x:v>["S0368"]</x:v>
      </x:c>
      <x:c r="N99" s="22" t="str">
        <x:v>是</x:v>
      </x:c>
    </x:row>
    <x:row r="100" ht="23" customHeight="1">
      <x:c r="A100" s="21" t="str">
        <x:v>2025秋:259452</x:v>
      </x:c>
      <x:c r="B100" s="22" t="str">
        <x:v>数值计算与科学计算</x:v>
      </x:c>
      <x:c r="C100" s="22" t="str">
        <x:v>s3</x:v>
      </x:c>
      <x:c r="D100" s="22" t="str">
        <x:v>topic-05</x:v>
      </x:c>
      <x:c r="E100" s="22" t="n">
        <x:v>2.129353233830846</x:v>
      </x:c>
      <x:c r="F100" s="22" t="n">
        <x:v>2.828522920203735</x:v>
      </x:c>
      <x:c r="G100" s="22" t="n">
        <x:v>0.13983393727457782</x:v>
      </x:c>
      <x:c r="H100" s="22" t="n">
        <x:v>0.045477277653559384</x:v>
      </x:c>
      <x:c r="I100" s="22" t="n">
        <x:v>0.6</x:v>
      </x:c>
      <x:c r="J100" s="22" t="n">
        <x:v>0.09435665962101844</x:v>
      </x:c>
      <x:c r="K100" s="22" t="str">
        <x:v>数值计算与科学计算|topic-05|s3</x:v>
      </x:c>
      <x:c r="L100" s="24" t="n">
        <x:v>9</x:v>
      </x:c>
      <x:c r="M100" s="22" t="str">
        <x:v>["S0501"]</x:v>
      </x:c>
      <x:c r="N100" s="22" t="str">
        <x:v>是</x:v>
      </x:c>
    </x:row>
    <x:row r="101" ht="23" customHeight="1">
      <x:c r="A101" s="21" t="str">
        <x:v>2025秋:259778</x:v>
      </x:c>
      <x:c r="B101" s="22" t="str">
        <x:v>优化与运筹</x:v>
      </x:c>
      <x:c r="C101" s="22" t="str">
        <x:v>s3</x:v>
      </x:c>
      <x:c r="D101" s="22" t="str">
        <x:v>topic-01</x:v>
      </x:c>
      <x:c r="E101" s="22" t="n">
        <x:v>2.051719238420006</x:v>
      </x:c>
      <x:c r="F101" s="22" t="n">
        <x:v>2.051719238420006</x:v>
      </x:c>
      <x:c r="G101" s="22" t="n">
        <x:v>0</x:v>
      </x:c>
      <x:c r="H101" s="22" t="n">
        <x:v>0.13683228565235026</x:v>
      </x:c>
      <x:c r="I101" s="22" t="n">
        <x:v>1</x:v>
      </x:c>
      <x:c r="J101" s="22" t="n">
        <x:v>-0.13683228565235026</x:v>
      </x:c>
      <x:c r="K101" s="22" t="str">
        <x:v>优化与运筹|topic-01|s3</x:v>
      </x:c>
      <x:c r="L101" s="24" t="n">
        <x:v>64</x:v>
      </x:c>
      <x:c r="M101" s="22" t="str">
        <x:v>["S0432","S0102"]</x:v>
      </x:c>
      <x:c r="N101" s="22" t="str">
        <x:v>是</x:v>
      </x:c>
    </x:row>
    <x:row r="102" ht="23" customHeight="1">
      <x:c r="A102" s="21" t="str">
        <x:v>2025秋:259789</x:v>
      </x:c>
      <x:c r="B102" s="22" t="str">
        <x:v>概率统计与随机过程</x:v>
      </x:c>
      <x:c r="C102" s="22" t="str">
        <x:v>s3</x:v>
      </x:c>
      <x:c r="D102" s="22" t="str">
        <x:v>topic-04</x:v>
      </x:c>
      <x:c r="E102" s="22" t="n">
        <x:v>2.05982905982906</x:v>
      </x:c>
      <x:c r="F102" s="22" t="n">
        <x:v>3.8109393579072535</x:v>
      </x:c>
      <x:c r="G102" s="22" t="n">
        <x:v>0.3502220596156387</x:v>
      </x:c>
      <x:c r="H102" s="22" t="n">
        <x:v>0.13680392675608974</x:v>
      </x:c>
      <x:c r="I102" s="22" t="n">
        <x:v>1</x:v>
      </x:c>
      <x:c r="J102" s="22" t="n">
        <x:v>0.21341813285954894</x:v>
      </x:c>
      <x:c r="K102" s="22" t="str">
        <x:v>概率统计与随机过程|topic-04|s3</x:v>
      </x:c>
      <x:c r="L102" s="24" t="n">
        <x:v>24</x:v>
      </x:c>
      <x:c r="M102" s="22" t="str">
        <x:v>["S0022"]</x:v>
      </x:c>
      <x:c r="N102" s="22" t="str">
        <x:v>是</x:v>
      </x:c>
    </x:row>
    <x:row r="103" ht="23" customHeight="1">
      <x:c r="A103" s="21" t="str">
        <x:v>2025秋:259843</x:v>
      </x:c>
      <x:c r="B103" s="22" t="str">
        <x:v>概率统计与随机过程</x:v>
      </x:c>
      <x:c r="C103" s="22" t="str">
        <x:v>s3</x:v>
      </x:c>
      <x:c r="D103" s="22" t="str">
        <x:v>topic-04</x:v>
      </x:c>
      <x:c r="E103" s="22" t="n">
        <x:v>1.555014605647517</x:v>
      </x:c>
      <x:c r="F103" s="22" t="n">
        <x:v>1.555014605647517</x:v>
      </x:c>
      <x:c r="G103" s="22" t="n">
        <x:v>0</x:v>
      </x:c>
      <x:c r="H103" s="22" t="n">
        <x:v>0.13680392675608974</x:v>
      </x:c>
      <x:c r="I103" s="22" t="n">
        <x:v>1</x:v>
      </x:c>
      <x:c r="J103" s="22" t="n">
        <x:v>-0.13680392675608974</x:v>
      </x:c>
      <x:c r="K103" s="22" t="str">
        <x:v>概率统计与随机过程|topic-04|s3</x:v>
      </x:c>
      <x:c r="L103" s="24" t="n">
        <x:v>24</x:v>
      </x:c>
      <x:c r="M103" s="22" t="str">
        <x:v>["S0080"]</x:v>
      </x:c>
      <x:c r="N103" s="22" t="str">
        <x:v>是</x:v>
      </x:c>
    </x:row>
    <x:row r="104" ht="23" customHeight="1">
      <x:c r="A104" s="21" t="str">
        <x:v>2025秋:259863</x:v>
      </x:c>
      <x:c r="B104" s="22" t="str">
        <x:v>微分方程与动态系统</x:v>
      </x:c>
      <x:c r="C104" s="22" t="str">
        <x:v>s3</x:v>
      </x:c>
      <x:c r="D104" s="22" t="str">
        <x:v>topic-03</x:v>
      </x:c>
      <x:c r="E104" s="22" t="n">
        <x:v>2.0730282375851994</x:v>
      </x:c>
      <x:c r="F104" s="22" t="n">
        <x:v>3.5036764705882355</x:v>
      </x:c>
      <x:c r="G104" s="22" t="n">
        <x:v>0.28612964660060725</x:v>
      </x:c>
      <x:c r="H104" s="22" t="n">
        <x:v>0.09397262801602238</x:v>
      </x:c>
      <x:c r="I104" s="22" t="n">
        <x:v>0.8</x:v>
      </x:c>
      <x:c r="J104" s="22" t="n">
        <x:v>0.19215701858458487</x:v>
      </x:c>
      <x:c r="K104" s="22" t="str">
        <x:v>微分方程与动态系统|topic-03|s3</x:v>
      </x:c>
      <x:c r="L104" s="24" t="n">
        <x:v>7</x:v>
      </x:c>
      <x:c r="M104" s="22" t="str">
        <x:v>["S0278","S0268"]</x:v>
      </x:c>
      <x:c r="N104" s="22" t="str">
        <x:v>是</x:v>
      </x:c>
    </x:row>
    <x:row r="105" ht="23" customHeight="1">
      <x:c r="A105" s="21" t="str">
        <x:v>2025秋:259865</x:v>
      </x:c>
      <x:c r="B105" s="22" t="str">
        <x:v>机器学习与人工智能</x:v>
      </x:c>
      <x:c r="C105" s="22" t="str">
        <x:v>s3</x:v>
      </x:c>
      <x:c r="D105" s="22" t="str">
        <x:v>topic-06</x:v>
      </x:c>
      <x:c r="E105" s="22" t="n">
        <x:v>2.282051282051282</x:v>
      </x:c>
      <x:c r="F105" s="22" t="n">
        <x:v>3.905597014925373</x:v>
      </x:c>
      <x:c r="G105" s="22" t="n">
        <x:v>0.32470914657481825</x:v>
      </x:c>
      <x:c r="H105" s="22" t="n">
        <x:v>0.11788498564075993</x:v>
      </x:c>
      <x:c r="I105" s="22" t="n">
        <x:v>1</x:v>
      </x:c>
      <x:c r="J105" s="22" t="n">
        <x:v>0.2068241609340583</x:v>
      </x:c>
      <x:c r="K105" s="22" t="str">
        <x:v>机器学习与人工智能|topic-06|s3</x:v>
      </x:c>
      <x:c r="L105" s="24" t="n">
        <x:v>20</x:v>
      </x:c>
      <x:c r="M105" s="22" t="str">
        <x:v>["S0397"]</x:v>
      </x:c>
      <x:c r="N105" s="22" t="str">
        <x:v>是</x:v>
      </x:c>
    </x:row>
    <x:row r="106" ht="23" customHeight="1">
      <x:c r="A106" s="21" t="str">
        <x:v>2025秋:259869</x:v>
      </x:c>
      <x:c r="B106" s="22" t="str">
        <x:v>数学建模综合与案例</x:v>
      </x:c>
      <x:c r="C106" s="22" t="str">
        <x:v>s6</x:v>
      </x:c>
      <x:c r="D106" s="22" t="str">
        <x:v>topic-09</x:v>
      </x:c>
      <x:c r="E106" s="22" t="n">
        <x:v>1</x:v>
      </x:c>
      <x:c r="F106" s="22" t="n">
        <x:v>6</x:v>
      </x:c>
      <x:c r="G106" s="22" t="n">
        <x:v>1</x:v>
      </x:c>
      <x:c r="H106" s="22" t="n">
        <x:v>0.15771428571428572</x:v>
      </x:c>
      <x:c r="I106" s="22" t="n">
        <x:v>1</x:v>
      </x:c>
      <x:c r="J106" s="22" t="n">
        <x:v>0.8422857142857143</x:v>
      </x:c>
      <x:c r="K106" s="22" t="str">
        <x:v>数学建模综合与案例|topic-09|s6</x:v>
      </x:c>
      <x:c r="L106" s="24" t="n">
        <x:v>7</x:v>
      </x:c>
      <x:c r="M106" s="22" t="str">
        <x:v>["S0220"]</x:v>
      </x:c>
      <x:c r="N106" s="22" t="str">
        <x:v>是</x:v>
      </x:c>
    </x:row>
    <x:row r="107" ht="23" customHeight="1">
      <x:c r="A107" s="21" t="str">
        <x:v>2025秋:259873</x:v>
      </x:c>
      <x:c r="B107" s="22" t="str">
        <x:v>机器学习与人工智能</x:v>
      </x:c>
      <x:c r="C107" s="22" t="str">
        <x:v>s3</x:v>
      </x:c>
      <x:c r="D107" s="22" t="str">
        <x:v>topic-06</x:v>
      </x:c>
      <x:c r="E107" s="22" t="n">
        <x:v>2.277888844462215</x:v>
      </x:c>
      <x:c r="F107" s="22" t="n">
        <x:v>2.277888844462215</x:v>
      </x:c>
      <x:c r="G107" s="22" t="n">
        <x:v>0</x:v>
      </x:c>
      <x:c r="H107" s="22" t="n">
        <x:v>0.11788498564075993</x:v>
      </x:c>
      <x:c r="I107" s="22" t="n">
        <x:v>1</x:v>
      </x:c>
      <x:c r="J107" s="22" t="n">
        <x:v>-0.11788498564075993</x:v>
      </x:c>
      <x:c r="K107" s="22" t="str">
        <x:v>机器学习与人工智能|topic-06|s3</x:v>
      </x:c>
      <x:c r="L107" s="24" t="n">
        <x:v>20</x:v>
      </x:c>
      <x:c r="M107" s="22" t="str">
        <x:v>["S0160"]</x:v>
      </x:c>
      <x:c r="N107" s="22" t="str">
        <x:v>是</x:v>
      </x:c>
    </x:row>
    <x:row r="108" ht="23" customHeight="1">
      <x:c r="A108" s="21" t="str">
        <x:v>2025秋:259877</x:v>
      </x:c>
      <x:c r="B108" s="22" t="str">
        <x:v>图论与网络</x:v>
      </x:c>
      <x:c r="C108" s="22" t="str">
        <x:v>s3</x:v>
      </x:c>
      <x:c r="D108" s="22" t="str">
        <x:v>topic-02</x:v>
      </x:c>
      <x:c r="E108" s="22" t="n">
        <x:v>1.303549571603427</x:v>
      </x:c>
      <x:c r="F108" s="22" t="n">
        <x:v>2.283557046979866</x:v>
      </x:c>
      <x:c r="G108" s="22" t="n">
        <x:v>0.19600149507528775</x:v>
      </x:c>
      <x:c r="H108" s="22" t="n">
        <x:v>0.09508562772143313</x:v>
      </x:c>
      <x:c r="I108" s="22" t="n">
        <x:v>0.8</x:v>
      </x:c>
      <x:c r="J108" s="22" t="n">
        <x:v>0.10091586735385462</x:v>
      </x:c>
      <x:c r="K108" s="22" t="str">
        <x:v>图论与网络|topic-02|s3</x:v>
      </x:c>
      <x:c r="L108" s="24" t="n">
        <x:v>12</x:v>
      </x:c>
      <x:c r="M108" s="22" t="str">
        <x:v>["S0194"]</x:v>
      </x:c>
      <x:c r="N108" s="22" t="str">
        <x:v>是</x:v>
      </x:c>
    </x:row>
    <x:row r="109" ht="23" customHeight="1">
      <x:c r="A109" s="21" t="str">
        <x:v>2025秋:259885</x:v>
      </x:c>
      <x:c r="B109" s="22" t="str">
        <x:v>优化与运筹</x:v>
      </x:c>
      <x:c r="C109" s="22" t="str">
        <x:v>s3</x:v>
      </x:c>
      <x:c r="D109" s="22" t="str">
        <x:v>topic-01</x:v>
      </x:c>
      <x:c r="E109" s="22" t="n">
        <x:v>2.0141467727674622</x:v>
      </x:c>
      <x:c r="F109" s="22" t="n">
        <x:v>2.0141467727674622</x:v>
      </x:c>
      <x:c r="G109" s="22" t="n">
        <x:v>0</x:v>
      </x:c>
      <x:c r="H109" s="22" t="n">
        <x:v>0.13683228565235026</x:v>
      </x:c>
      <x:c r="I109" s="22" t="n">
        <x:v>1</x:v>
      </x:c>
      <x:c r="J109" s="22" t="n">
        <x:v>-0.13683228565235026</x:v>
      </x:c>
      <x:c r="K109" s="22" t="str">
        <x:v>优化与运筹|topic-01|s3</x:v>
      </x:c>
      <x:c r="L109" s="24" t="n">
        <x:v>64</x:v>
      </x:c>
      <x:c r="M109" s="22" t="str">
        <x:v>["S0386"]</x:v>
      </x:c>
      <x:c r="N109" s="22" t="str">
        <x:v>是</x:v>
      </x:c>
    </x:row>
    <x:row r="110" ht="23" customHeight="1">
      <x:c r="A110" s="21" t="str">
        <x:v>2025秋:259895</x:v>
      </x:c>
      <x:c r="B110" s="22" t="str">
        <x:v>优化与运筹</x:v>
      </x:c>
      <x:c r="C110" s="22" t="str">
        <x:v>s3</x:v>
      </x:c>
      <x:c r="D110" s="22" t="str">
        <x:v>topic-01</x:v>
      </x:c>
      <x:c r="E110" s="22" t="n">
        <x:v>2.051719238420006</x:v>
      </x:c>
      <x:c r="F110" s="22" t="n">
        <x:v>3.95672131147541</x:v>
      </x:c>
      <x:c r="G110" s="22" t="n">
        <x:v>0.3810004146110808</x:v>
      </x:c>
      <x:c r="H110" s="22" t="n">
        <x:v>0.13683228565235026</x:v>
      </x:c>
      <x:c r="I110" s="22" t="n">
        <x:v>1</x:v>
      </x:c>
      <x:c r="J110" s="22" t="n">
        <x:v>0.24416812895873055</x:v>
      </x:c>
      <x:c r="K110" s="22" t="str">
        <x:v>优化与运筹|topic-01|s3</x:v>
      </x:c>
      <x:c r="L110" s="24" t="n">
        <x:v>64</x:v>
      </x:c>
      <x:c r="M110" s="22" t="str">
        <x:v>["S0407"]</x:v>
      </x:c>
      <x:c r="N110" s="22" t="str">
        <x:v>是</x:v>
      </x:c>
    </x:row>
    <x:row r="111" ht="23" customHeight="1">
      <x:c r="A111" s="21" t="str">
        <x:v>2025秋:259896</x:v>
      </x:c>
      <x:c r="B111" s="22" t="str">
        <x:v>优化与运筹</x:v>
      </x:c>
      <x:c r="C111" s="22" t="str">
        <x:v>s3</x:v>
      </x:c>
      <x:c r="D111" s="22" t="str">
        <x:v>topic-01</x:v>
      </x:c>
      <x:c r="E111" s="22" t="n">
        <x:v>1.4431818181818181</x:v>
      </x:c>
      <x:c r="F111" s="22" t="n">
        <x:v>2.051719238420006</x:v>
      </x:c>
      <x:c r="G111" s="22" t="n">
        <x:v>0.12170748404763754</x:v>
      </x:c>
      <x:c r="H111" s="22" t="n">
        <x:v>0.13683228565235026</x:v>
      </x:c>
      <x:c r="I111" s="22" t="n">
        <x:v>1</x:v>
      </x:c>
      <x:c r="J111" s="22" t="n">
        <x:v>-0.015124801604712718</x:v>
      </x:c>
      <x:c r="K111" s="22" t="str">
        <x:v>优化与运筹|topic-01|s3</x:v>
      </x:c>
      <x:c r="L111" s="24" t="n">
        <x:v>64</x:v>
      </x:c>
      <x:c r="M111" s="22" t="str">
        <x:v>["S0117"]</x:v>
      </x:c>
      <x:c r="N111" s="22" t="str">
        <x:v>是</x:v>
      </x:c>
    </x:row>
    <x:row r="112" ht="23" customHeight="1">
      <x:c r="A112" s="21" t="str">
        <x:v>2025秋:259899</x:v>
      </x:c>
      <x:c r="B112" s="22" t="str">
        <x:v>概率统计与随机过程</x:v>
      </x:c>
      <x:c r="C112" s="22" t="str">
        <x:v>s3</x:v>
      </x:c>
      <x:c r="D112" s="22" t="str">
        <x:v>topic-04</x:v>
      </x:c>
      <x:c r="E112" s="22" t="n">
        <x:v>1.5573770491803278</x:v>
      </x:c>
      <x:c r="F112" s="22" t="n">
        <x:v>1.5573770491803278</x:v>
      </x:c>
      <x:c r="G112" s="22" t="n">
        <x:v>0</x:v>
      </x:c>
      <x:c r="H112" s="22" t="n">
        <x:v>0.13680392675608974</x:v>
      </x:c>
      <x:c r="I112" s="22" t="n">
        <x:v>1</x:v>
      </x:c>
      <x:c r="J112" s="22" t="n">
        <x:v>-0.13680392675608974</x:v>
      </x:c>
      <x:c r="K112" s="22" t="str">
        <x:v>概率统计与随机过程|topic-04|s3</x:v>
      </x:c>
      <x:c r="L112" s="24" t="n">
        <x:v>24</x:v>
      </x:c>
      <x:c r="M112" s="22" t="str">
        <x:v>["S0318"]</x:v>
      </x:c>
      <x:c r="N112" s="22" t="str">
        <x:v>是</x:v>
      </x:c>
    </x:row>
    <x:row r="113" ht="23" customHeight="1">
      <x:c r="A113" s="21" t="str">
        <x:v>2025秋:259917</x:v>
      </x:c>
      <x:c r="B113" s="22" t="str">
        <x:v>机器学习与人工智能</x:v>
      </x:c>
      <x:c r="C113" s="22" t="str">
        <x:v>s3</x:v>
      </x:c>
      <x:c r="D113" s="22" t="str">
        <x:v>topic-06</x:v>
      </x:c>
      <x:c r="E113" s="22" t="n">
        <x:v>1.5021645021645023</x:v>
      </x:c>
      <x:c r="F113" s="22" t="n">
        <x:v>2.282051282051282</x:v>
      </x:c>
      <x:c r="G113" s="22" t="n">
        <x:v>0.15597735597735593</x:v>
      </x:c>
      <x:c r="H113" s="22" t="n">
        <x:v>0.11788498564075993</x:v>
      </x:c>
      <x:c r="I113" s="22" t="n">
        <x:v>1</x:v>
      </x:c>
      <x:c r="J113" s="22" t="n">
        <x:v>0.038092370336596</x:v>
      </x:c>
      <x:c r="K113" s="22" t="str">
        <x:v>机器学习与人工智能|topic-06|s3</x:v>
      </x:c>
      <x:c r="L113" s="24" t="n">
        <x:v>20</x:v>
      </x:c>
      <x:c r="M113" s="22" t="str">
        <x:v>["S0244"]</x:v>
      </x:c>
      <x:c r="N113" s="22" t="str">
        <x:v>是</x:v>
      </x:c>
    </x:row>
    <x:row r="114" ht="23" customHeight="1">
      <x:c r="A114" s="21" t="str">
        <x:v>2025秋:259919</x:v>
      </x:c>
      <x:c r="B114" s="22" t="str">
        <x:v>优化与运筹</x:v>
      </x:c>
      <x:c r="C114" s="22" t="str">
        <x:v>s3</x:v>
      </x:c>
      <x:c r="D114" s="22" t="str">
        <x:v>topic-01</x:v>
      </x:c>
      <x:c r="E114" s="22" t="n">
        <x:v>3.9131968948482707</x:v>
      </x:c>
      <x:c r="F114" s="22" t="n">
        <x:v>3.9131968948482707</x:v>
      </x:c>
      <x:c r="G114" s="22" t="n">
        <x:v>0</x:v>
      </x:c>
      <x:c r="H114" s="22" t="n">
        <x:v>0.13683228565235026</x:v>
      </x:c>
      <x:c r="I114" s="22" t="n">
        <x:v>1</x:v>
      </x:c>
      <x:c r="J114" s="22" t="n">
        <x:v>-0.13683228565235026</x:v>
      </x:c>
      <x:c r="K114" s="22" t="str">
        <x:v>优化与运筹|topic-01|s3</x:v>
      </x:c>
      <x:c r="L114" s="24" t="n">
        <x:v>64</x:v>
      </x:c>
      <x:c r="M114" s="22" t="str">
        <x:v>["S0279"]</x:v>
      </x:c>
      <x:c r="N114" s="22" t="str">
        <x:v>是</x:v>
      </x:c>
    </x:row>
    <x:row r="115" ht="23" customHeight="1">
      <x:c r="A115" s="21" t="str">
        <x:v>2025秋:259921</x:v>
      </x:c>
      <x:c r="B115" s="22" t="str">
        <x:v>机器学习与人工智能</x:v>
      </x:c>
      <x:c r="C115" s="22" t="str">
        <x:v>s3</x:v>
      </x:c>
      <x:c r="D115" s="22" t="str">
        <x:v>topic-06</x:v>
      </x:c>
      <x:c r="E115" s="22" t="n">
        <x:v>2.2546497823506133</x:v>
      </x:c>
      <x:c r="F115" s="22" t="n">
        <x:v>2.2546497823506133</x:v>
      </x:c>
      <x:c r="G115" s="22" t="n">
        <x:v>0</x:v>
      </x:c>
      <x:c r="H115" s="22" t="n">
        <x:v>0.11788498564075993</x:v>
      </x:c>
      <x:c r="I115" s="22" t="n">
        <x:v>1</x:v>
      </x:c>
      <x:c r="J115" s="22" t="n">
        <x:v>-0.11788498564075993</x:v>
      </x:c>
      <x:c r="K115" s="22" t="str">
        <x:v>机器学习与人工智能|topic-06|s3</x:v>
      </x:c>
      <x:c r="L115" s="24" t="n">
        <x:v>20</x:v>
      </x:c>
      <x:c r="M115" s="22" t="str">
        <x:v>["S0276"]</x:v>
      </x:c>
      <x:c r="N115" s="22" t="str">
        <x:v>是</x:v>
      </x:c>
    </x:row>
    <x:row r="116" ht="23" customHeight="1">
      <x:c r="A116" s="21" t="str">
        <x:v>2025秋:259958</x:v>
      </x:c>
      <x:c r="B116" s="22" t="str">
        <x:v>数值计算与科学计算</x:v>
      </x:c>
      <x:c r="C116" s="22" t="str">
        <x:v>s3</x:v>
      </x:c>
      <x:c r="D116" s="22" t="str">
        <x:v>topic-05</x:v>
      </x:c>
      <x:c r="E116" s="22" t="n">
        <x:v>2.828522920203735</x:v>
      </x:c>
      <x:c r="F116" s="22" t="n">
        <x:v>2.828522920203735</x:v>
      </x:c>
      <x:c r="G116" s="22" t="n">
        <x:v>0</x:v>
      </x:c>
      <x:c r="H116" s="22" t="n">
        <x:v>0.045477277653559384</x:v>
      </x:c>
      <x:c r="I116" s="22" t="n">
        <x:v>0.6</x:v>
      </x:c>
      <x:c r="J116" s="22" t="n">
        <x:v>-0.045477277653559384</x:v>
      </x:c>
      <x:c r="K116" s="22" t="str">
        <x:v>数值计算与科学计算|topic-05|s3</x:v>
      </x:c>
      <x:c r="L116" s="24" t="n">
        <x:v>9</x:v>
      </x:c>
      <x:c r="M116" s="22" t="str">
        <x:v>["S0183"]</x:v>
      </x:c>
      <x:c r="N116" s="22" t="str">
        <x:v>是</x:v>
      </x:c>
    </x:row>
    <x:row r="117" ht="23" customHeight="1">
      <x:c r="A117" s="21" t="str">
        <x:v>2025秋:259961</x:v>
      </x:c>
      <x:c r="B117" s="22" t="str">
        <x:v>优化与运筹</x:v>
      </x:c>
      <x:c r="C117" s="22" t="str">
        <x:v>s3</x:v>
      </x:c>
      <x:c r="D117" s="22" t="str">
        <x:v>topic-01</x:v>
      </x:c>
      <x:c r="E117" s="22" t="n">
        <x:v>1.4789319983312474</x:v>
      </x:c>
      <x:c r="F117" s="22" t="n">
        <x:v>3.9444831915190406</x:v>
      </x:c>
      <x:c r="G117" s="22" t="n">
        <x:v>0.49311023863755865</x:v>
      </x:c>
      <x:c r="H117" s="22" t="n">
        <x:v>0.13683228565235026</x:v>
      </x:c>
      <x:c r="I117" s="22" t="n">
        <x:v>1</x:v>
      </x:c>
      <x:c r="J117" s="22" t="n">
        <x:v>0.35627795298520837</x:v>
      </x:c>
      <x:c r="K117" s="22" t="str">
        <x:v>优化与运筹|topic-01|s3</x:v>
      </x:c>
      <x:c r="L117" s="24" t="n">
        <x:v>64</x:v>
      </x:c>
      <x:c r="M117" s="22" t="str">
        <x:v>["S0296"]</x:v>
      </x:c>
      <x:c r="N117" s="22" t="str">
        <x:v>是</x:v>
      </x:c>
    </x:row>
    <x:row r="118" ht="23" customHeight="1">
      <x:c r="A118" s="21" t="str">
        <x:v>2025秋:25A081</x:v>
      </x:c>
      <x:c r="B118" s="22" t="str">
        <x:v>优化与运筹</x:v>
      </x:c>
      <x:c r="C118" s="22" t="str">
        <x:v>s3</x:v>
      </x:c>
      <x:c r="D118" s="22" t="str">
        <x:v>topic-01</x:v>
      </x:c>
      <x:c r="E118" s="22" t="n">
        <x:v>1.469617404351088</x:v>
      </x:c>
      <x:c r="F118" s="22" t="n">
        <x:v>3.9503444998812065</x:v>
      </x:c>
      <x:c r="G118" s="22" t="n">
        <x:v>0.4961454191060238</x:v>
      </x:c>
      <x:c r="H118" s="22" t="n">
        <x:v>0.13683228565235026</x:v>
      </x:c>
      <x:c r="I118" s="22" t="n">
        <x:v>1</x:v>
      </x:c>
      <x:c r="J118" s="22" t="n">
        <x:v>0.35931313345367355</x:v>
      </x:c>
      <x:c r="K118" s="22" t="str">
        <x:v>优化与运筹|topic-01|s3</x:v>
      </x:c>
      <x:c r="L118" s="24" t="n">
        <x:v>64</x:v>
      </x:c>
      <x:c r="M118" s="22" t="str">
        <x:v>["S0411"]</x:v>
      </x:c>
      <x:c r="N118" s="22" t="str">
        <x:v>是</x:v>
      </x:c>
    </x:row>
    <x:row r="119" ht="23" customHeight="1">
      <x:c r="A119" s="21" t="str">
        <x:v>2025秋:25A085</x:v>
      </x:c>
      <x:c r="B119" s="22" t="str">
        <x:v>概率统计与随机过程</x:v>
      </x:c>
      <x:c r="C119" s="22" t="str">
        <x:v>s3</x:v>
      </x:c>
      <x:c r="D119" s="22" t="str">
        <x:v>topic-04</x:v>
      </x:c>
      <x:c r="E119" s="22" t="n">
        <x:v>1.4254510921177588</x:v>
      </x:c>
      <x:c r="F119" s="22" t="n">
        <x:v>2.1019167835437123</x:v>
      </x:c>
      <x:c r="G119" s="22" t="n">
        <x:v>0.13529313828519068</x:v>
      </x:c>
      <x:c r="H119" s="22" t="n">
        <x:v>0.13680392675608974</x:v>
      </x:c>
      <x:c r="I119" s="22" t="n">
        <x:v>1</x:v>
      </x:c>
      <x:c r="J119" s="22" t="n">
        <x:v>-0.0015107884708990549</x:v>
      </x:c>
      <x:c r="K119" s="22" t="str">
        <x:v>概率统计与随机过程|topic-04|s3</x:v>
      </x:c>
      <x:c r="L119" s="24" t="n">
        <x:v>24</x:v>
      </x:c>
      <x:c r="M119" s="22" t="str">
        <x:v>["S0138"]</x:v>
      </x:c>
      <x:c r="N119" s="22" t="str">
        <x:v>是</x:v>
      </x:c>
    </x:row>
    <x:row r="120" ht="23" customHeight="1">
      <x:c r="A120" s="21" t="str">
        <x:v>2025秋:25A086</x:v>
      </x:c>
      <x:c r="B120" s="22" t="str">
        <x:v>概率统计与随机过程</x:v>
      </x:c>
      <x:c r="C120" s="22" t="str">
        <x:v>s3</x:v>
      </x:c>
      <x:c r="D120" s="22" t="str">
        <x:v>topic-04</x:v>
      </x:c>
      <x:c r="E120" s="22" t="n">
        <x:v>4.087750958718701</x:v>
      </x:c>
      <x:c r="F120" s="22" t="n">
        <x:v>4.087750958718701</x:v>
      </x:c>
      <x:c r="G120" s="22" t="n">
        <x:v>0</x:v>
      </x:c>
      <x:c r="H120" s="22" t="n">
        <x:v>0.13680392675608974</x:v>
      </x:c>
      <x:c r="I120" s="22" t="n">
        <x:v>1</x:v>
      </x:c>
      <x:c r="J120" s="22" t="n">
        <x:v>-0.13680392675608974</x:v>
      </x:c>
      <x:c r="K120" s="22" t="str">
        <x:v>概率统计与随机过程|topic-04|s3</x:v>
      </x:c>
      <x:c r="L120" s="24" t="n">
        <x:v>24</x:v>
      </x:c>
      <x:c r="M120" s="22" t="str">
        <x:v>["S0246"]</x:v>
      </x:c>
      <x:c r="N120" s="22" t="str">
        <x:v>是</x:v>
      </x:c>
    </x:row>
    <x:row r="121" ht="23" customHeight="1">
      <x:c r="A121" s="21" t="str">
        <x:v>2025秋:25A134</x:v>
      </x:c>
      <x:c r="B121" s="22" t="str">
        <x:v>概率统计与随机过程</x:v>
      </x:c>
      <x:c r="C121" s="22" t="str">
        <x:v>s3</x:v>
      </x:c>
      <x:c r="D121" s="22" t="str">
        <x:v>topic-04</x:v>
      </x:c>
      <x:c r="E121" s="22" t="n">
        <x:v>1.4254510921177588</x:v>
      </x:c>
      <x:c r="F121" s="22" t="n">
        <x:v>3.8638281549673956</x:v>
      </x:c>
      <x:c r="G121" s="22" t="n">
        <x:v>0.4876754125699273</x:v>
      </x:c>
      <x:c r="H121" s="22" t="n">
        <x:v>0.13680392675608974</x:v>
      </x:c>
      <x:c r="I121" s="22" t="n">
        <x:v>1</x:v>
      </x:c>
      <x:c r="J121" s="22" t="n">
        <x:v>0.35087148581383754</x:v>
      </x:c>
      <x:c r="K121" s="22" t="str">
        <x:v>概率统计与随机过程|topic-04|s3</x:v>
      </x:c>
      <x:c r="L121" s="24" t="n">
        <x:v>24</x:v>
      </x:c>
      <x:c r="M121" s="22" t="str">
        <x:v>["S0311"]</x:v>
      </x:c>
      <x:c r="N121" s="22" t="str">
        <x:v>是</x:v>
      </x:c>
    </x:row>
    <x:row r="122" ht="23" customHeight="1">
      <x:c r="A122" s="21" t="str">
        <x:v>2025秋:25A146</x:v>
      </x:c>
      <x:c r="B122" s="22" t="str">
        <x:v>图论与网络</x:v>
      </x:c>
      <x:c r="C122" s="22" t="str">
        <x:v>s3</x:v>
      </x:c>
      <x:c r="D122" s="22" t="str">
        <x:v>topic-02</x:v>
      </x:c>
      <x:c r="E122" s="22" t="n">
        <x:v>2.283557046979866</x:v>
      </x:c>
      <x:c r="F122" s="22" t="n">
        <x:v>3.7468944099378882</x:v>
      </x:c>
      <x:c r="G122" s="22" t="n">
        <x:v>0.29266747259160447</x:v>
      </x:c>
      <x:c r="H122" s="22" t="n">
        <x:v>0.09508562772143313</x:v>
      </x:c>
      <x:c r="I122" s="22" t="n">
        <x:v>0.8</x:v>
      </x:c>
      <x:c r="J122" s="22" t="n">
        <x:v>0.19758184487017133</x:v>
      </x:c>
      <x:c r="K122" s="22" t="str">
        <x:v>图论与网络|topic-02|s3</x:v>
      </x:c>
      <x:c r="L122" s="24" t="n">
        <x:v>12</x:v>
      </x:c>
      <x:c r="M122" s="22" t="str">
        <x:v>["S0256"]</x:v>
      </x:c>
      <x:c r="N122" s="22" t="str">
        <x:v>是</x:v>
      </x:c>
    </x:row>
    <x:row r="123" ht="23" customHeight="1">
      <x:c r="A123" s="21" t="str">
        <x:v>2025秋:25A148</x:v>
      </x:c>
      <x:c r="B123" s="22" t="str">
        <x:v>优化与运筹</x:v>
      </x:c>
      <x:c r="C123" s="22" t="str">
        <x:v>s3</x:v>
      </x:c>
      <x:c r="D123" s="22" t="str">
        <x:v>topic-01</x:v>
      </x:c>
      <x:c r="E123" s="22" t="n">
        <x:v>2.1308049535603715</x:v>
      </x:c>
      <x:c r="F123" s="22" t="n">
        <x:v>3.9444831915190406</x:v>
      </x:c>
      <x:c r="G123" s="22" t="n">
        <x:v>0.3627356475917338</x:v>
      </x:c>
      <x:c r="H123" s="22" t="n">
        <x:v>0.13683228565235026</x:v>
      </x:c>
      <x:c r="I123" s="22" t="n">
        <x:v>1</x:v>
      </x:c>
      <x:c r="J123" s="22" t="n">
        <x:v>0.22590336193938357</x:v>
      </x:c>
      <x:c r="K123" s="22" t="str">
        <x:v>优化与运筹|topic-01|s3</x:v>
      </x:c>
      <x:c r="L123" s="24" t="n">
        <x:v>64</x:v>
      </x:c>
      <x:c r="M123" s="22" t="str">
        <x:v>["S0067"]</x:v>
      </x:c>
      <x:c r="N123" s="22" t="str">
        <x:v>是</x:v>
      </x:c>
    </x:row>
    <x:row r="124" ht="23" customHeight="1">
      <x:c r="A124" s="21" t="str">
        <x:v>2025秋:25A168</x:v>
      </x:c>
      <x:c r="B124" s="22" t="str">
        <x:v>优化与运筹</x:v>
      </x:c>
      <x:c r="C124" s="22" t="str">
        <x:v>s3</x:v>
      </x:c>
      <x:c r="D124" s="22" t="str">
        <x:v>topic-01</x:v>
      </x:c>
      <x:c r="E124" s="22" t="n">
        <x:v>3.9444831915190406</x:v>
      </x:c>
      <x:c r="F124" s="22" t="n">
        <x:v>3.9444831915190406</x:v>
      </x:c>
      <x:c r="G124" s="22" t="n">
        <x:v>0</x:v>
      </x:c>
      <x:c r="H124" s="22" t="n">
        <x:v>0.13683228565235026</x:v>
      </x:c>
      <x:c r="I124" s="22" t="n">
        <x:v>1</x:v>
      </x:c>
      <x:c r="J124" s="22" t="n">
        <x:v>-0.13683228565235026</x:v>
      </x:c>
      <x:c r="K124" s="22" t="str">
        <x:v>优化与运筹|topic-01|s3</x:v>
      </x:c>
      <x:c r="L124" s="24" t="n">
        <x:v>64</x:v>
      </x:c>
      <x:c r="M124" s="22" t="str">
        <x:v>["S0201"]</x:v>
      </x:c>
      <x:c r="N124" s="22" t="str">
        <x:v>是</x:v>
      </x:c>
    </x:row>
    <x:row r="125" ht="23" customHeight="1">
      <x:c r="A125" s="21" t="str">
        <x:v>2025秋:25A168</x:v>
      </x:c>
      <x:c r="B125" s="22" t="str">
        <x:v>概率统计与随机过程</x:v>
      </x:c>
      <x:c r="C125" s="22" t="str">
        <x:v>s3</x:v>
      </x:c>
      <x:c r="D125" s="22" t="str">
        <x:v>topic-04</x:v>
      </x:c>
      <x:c r="E125" s="22" t="n">
        <x:v>2.120723362658847</x:v>
      </x:c>
      <x:c r="F125" s="22" t="n">
        <x:v>4.087750958718701</x:v>
      </x:c>
      <x:c r="G125" s="22" t="n">
        <x:v>0.39340551921197076</x:v>
      </x:c>
      <x:c r="H125" s="22" t="n">
        <x:v>0.13680392675608974</x:v>
      </x:c>
      <x:c r="I125" s="22" t="n">
        <x:v>1</x:v>
      </x:c>
      <x:c r="J125" s="22" t="n">
        <x:v>0.256601592455881</x:v>
      </x:c>
      <x:c r="K125" s="22" t="str">
        <x:v>概率统计与随机过程|topic-04|s3</x:v>
      </x:c>
      <x:c r="L125" s="24" t="n">
        <x:v>24</x:v>
      </x:c>
      <x:c r="M125" s="22" t="str">
        <x:v>["S0472"]</x:v>
      </x:c>
      <x:c r="N125" s="22" t="str">
        <x:v>是</x:v>
      </x:c>
    </x:row>
    <x:row r="126" ht="23" customHeight="1">
      <x:c r="A126" s="21" t="str">
        <x:v>2025秋:25A171</x:v>
      </x:c>
      <x:c r="B126" s="22" t="str">
        <x:v>微分方程与动态系统</x:v>
      </x:c>
      <x:c r="C126" s="22" t="str">
        <x:v>s3</x:v>
      </x:c>
      <x:c r="D126" s="22" t="str">
        <x:v>topic-03</x:v>
      </x:c>
      <x:c r="E126" s="22" t="n">
        <x:v>1.4269662921348316</x:v>
      </x:c>
      <x:c r="F126" s="22" t="n">
        <x:v>1.4269662921348316</x:v>
      </x:c>
      <x:c r="G126" s="22" t="n">
        <x:v>0</x:v>
      </x:c>
      <x:c r="H126" s="22" t="n">
        <x:v>0.09397262801602238</x:v>
      </x:c>
      <x:c r="I126" s="22" t="n">
        <x:v>0.8</x:v>
      </x:c>
      <x:c r="J126" s="22" t="n">
        <x:v>-0.09397262801602238</x:v>
      </x:c>
      <x:c r="K126" s="22" t="str">
        <x:v>微分方程与动态系统|topic-03|s3</x:v>
      </x:c>
      <x:c r="L126" s="24" t="n">
        <x:v>7</x:v>
      </x:c>
      <x:c r="M126" s="22" t="str">
        <x:v>["S0258"]</x:v>
      </x:c>
      <x:c r="N126" s="22" t="str">
        <x:v>是</x:v>
      </x:c>
    </x:row>
    <x:row r="127" ht="23" customHeight="1">
      <x:c r="A127" s="21" t="str">
        <x:v>2025秋:25P025</x:v>
      </x:c>
      <x:c r="B127" s="22" t="str">
        <x:v>优化与运筹</x:v>
      </x:c>
      <x:c r="C127" s="22" t="str">
        <x:v>s3</x:v>
      </x:c>
      <x:c r="D127" s="22" t="str">
        <x:v>topic-01</x:v>
      </x:c>
      <x:c r="E127" s="22" t="n">
        <x:v>2.0141467727674622</x:v>
      </x:c>
      <x:c r="F127" s="22" t="n">
        <x:v>3.9131968948482707</x:v>
      </x:c>
      <x:c r="G127" s="22" t="n">
        <x:v>0.3798100244161617</x:v>
      </x:c>
      <x:c r="H127" s="22" t="n">
        <x:v>0.13683228565235026</x:v>
      </x:c>
      <x:c r="I127" s="22" t="n">
        <x:v>1</x:v>
      </x:c>
      <x:c r="J127" s="22" t="n">
        <x:v>0.24297773876381143</x:v>
      </x:c>
      <x:c r="K127" s="22" t="str">
        <x:v>优化与运筹|topic-01|s3</x:v>
      </x:c>
      <x:c r="L127" s="24" t="n">
        <x:v>64</x:v>
      </x:c>
      <x:c r="M127" s="22" t="str">
        <x:v>["S0130"]</x:v>
      </x:c>
      <x:c r="N127" s="22" t="str">
        <x:v>是</x:v>
      </x:c>
    </x:row>
    <x:row r="128" ht="23" customHeight="1">
      <x:c r="A128" s="21" t="str">
        <x:v>2025秋:260001</x:v>
      </x:c>
      <x:c r="B128" s="22" t="str">
        <x:v>微分方程与动态系统</x:v>
      </x:c>
      <x:c r="C128" s="22" t="str">
        <x:v>s3</x:v>
      </x:c>
      <x:c r="D128" s="22" t="str">
        <x:v>topic-03</x:v>
      </x:c>
      <x:c r="E128" s="22" t="n">
        <x:v>1.521825396825397</x:v>
      </x:c>
      <x:c r="F128" s="22" t="n">
        <x:v>1.521825396825397</x:v>
      </x:c>
      <x:c r="G128" s="22" t="n">
        <x:v>0</x:v>
      </x:c>
      <x:c r="H128" s="22" t="n">
        <x:v>0.09397262801602238</x:v>
      </x:c>
      <x:c r="I128" s="22" t="n">
        <x:v>0.8</x:v>
      </x:c>
      <x:c r="J128" s="22" t="n">
        <x:v>-0.09397262801602238</x:v>
      </x:c>
      <x:c r="K128" s="22" t="str">
        <x:v>微分方程与动态系统|topic-03|s3</x:v>
      </x:c>
      <x:c r="L128" s="24" t="n">
        <x:v>7</x:v>
      </x:c>
      <x:c r="M128" s="22" t="str">
        <x:v>["S0466"]</x:v>
      </x:c>
      <x:c r="N128" s="22" t="str">
        <x:v>是</x:v>
      </x:c>
    </x:row>
    <x:row r="129" ht="23" customHeight="1">
      <x:c r="A129" s="21" t="str">
        <x:v>2026春:250695</x:v>
      </x:c>
      <x:c r="B129" s="22" t="str">
        <x:v>数学基础</x:v>
      </x:c>
      <x:c r="C129" s="22" t="str">
        <x:v>s6</x:v>
      </x:c>
      <x:c r="D129" s="22" t="str">
        <x:v>topic-10</x:v>
      </x:c>
      <x:c r="E129" s="22" t="n">
        <x:v>1</x:v>
      </x:c>
      <x:c r="F129" s="22" t="n">
        <x:v>2</x:v>
      </x:c>
      <x:c r="G129" s="22" t="n">
        <x:v>0.2</x:v>
      </x:c>
      <x:c r="H129" s="22" t="n">
        <x:v>0.138</x:v>
      </x:c>
      <x:c r="I129" s="22" t="n">
        <x:v>0.8</x:v>
      </x:c>
      <x:c r="J129" s="22" t="n">
        <x:v>0.062</x:v>
      </x:c>
      <x:c r="K129" s="22" t="str">
        <x:v>数学基础|topic-10|s6</x:v>
      </x:c>
      <x:c r="L129" s="24" t="n">
        <x:v>2</x:v>
      </x:c>
      <x:c r="M129" s="22" t="str">
        <x:v>["S0818"]</x:v>
      </x:c>
      <x:c r="N129" s="22" t="str">
        <x:v>是</x:v>
      </x:c>
    </x:row>
    <x:row r="130" ht="23" customHeight="1">
      <x:c r="A130" s="21" t="str">
        <x:v>2026春:250845</x:v>
      </x:c>
      <x:c r="B130" s="22" t="str">
        <x:v>数学建模综合与案例</x:v>
      </x:c>
      <x:c r="C130" s="22" t="str">
        <x:v>s6</x:v>
      </x:c>
      <x:c r="D130" s="22" t="str">
        <x:v>topic-09</x:v>
      </x:c>
      <x:c r="E130" s="22" t="n">
        <x:v>1</x:v>
      </x:c>
      <x:c r="F130" s="22" t="n">
        <x:v>1</x:v>
      </x:c>
      <x:c r="G130" s="22" t="n">
        <x:v>0</x:v>
      </x:c>
      <x:c r="H130" s="22" t="n">
        <x:v>0.15771428571428572</x:v>
      </x:c>
      <x:c r="I130" s="22" t="n">
        <x:v>1</x:v>
      </x:c>
      <x:c r="J130" s="22" t="n">
        <x:v>-0.15771428571428572</x:v>
      </x:c>
      <x:c r="K130" s="22" t="str">
        <x:v>数学建模综合与案例|topic-09|s6</x:v>
      </x:c>
      <x:c r="L130" s="24" t="n">
        <x:v>7</x:v>
      </x:c>
      <x:c r="M130" s="22" t="str">
        <x:v>["S0825"]</x:v>
      </x:c>
      <x:c r="N130" s="22" t="str">
        <x:v>是</x:v>
      </x:c>
    </x:row>
    <x:row r="131" ht="23" customHeight="1">
      <x:c r="A131" s="21" t="str">
        <x:v>2026春:250868</x:v>
      </x:c>
      <x:c r="B131" s="22" t="str">
        <x:v>优化与运筹</x:v>
      </x:c>
      <x:c r="C131" s="22" t="str">
        <x:v>s3</x:v>
      </x:c>
      <x:c r="D131" s="22" t="str">
        <x:v>topic-01</x:v>
      </x:c>
      <x:c r="E131" s="22" t="n">
        <x:v>1.5105820105820105</x:v>
      </x:c>
      <x:c r="F131" s="22" t="n">
        <x:v>2.1268939393939394</x:v>
      </x:c>
      <x:c r="G131" s="22" t="n">
        <x:v>0.1232623857623858</x:v>
      </x:c>
      <x:c r="H131" s="22" t="n">
        <x:v>0.13683228565235026</x:v>
      </x:c>
      <x:c r="I131" s="22" t="n">
        <x:v>1</x:v>
      </x:c>
      <x:c r="J131" s="22" t="n">
        <x:v>-0.01356989988996446</x:v>
      </x:c>
      <x:c r="K131" s="22" t="str">
        <x:v>优化与运筹|topic-01|s3</x:v>
      </x:c>
      <x:c r="L131" s="24" t="n">
        <x:v>64</x:v>
      </x:c>
      <x:c r="M131" s="22" t="str">
        <x:v>["S0828","S0827"]</x:v>
      </x:c>
      <x:c r="N131" s="22" t="str">
        <x:v>是</x:v>
      </x:c>
    </x:row>
    <x:row r="132" ht="23" customHeight="1">
      <x:c r="A132" s="21" t="str">
        <x:v>2026春:258955</x:v>
      </x:c>
      <x:c r="B132" s="22" t="str">
        <x:v>优化与运筹</x:v>
      </x:c>
      <x:c r="C132" s="22" t="str">
        <x:v>s3</x:v>
      </x:c>
      <x:c r="D132" s="22" t="str">
        <x:v>topic-01</x:v>
      </x:c>
      <x:c r="E132" s="22" t="n">
        <x:v>2.1308049535603715</x:v>
      </x:c>
      <x:c r="F132" s="22" t="n">
        <x:v>2.1308049535603715</x:v>
      </x:c>
      <x:c r="G132" s="22" t="n">
        <x:v>0</x:v>
      </x:c>
      <x:c r="H132" s="22" t="n">
        <x:v>0.13683228565235026</x:v>
      </x:c>
      <x:c r="I132" s="22" t="n">
        <x:v>1</x:v>
      </x:c>
      <x:c r="J132" s="22" t="n">
        <x:v>-0.13683228565235026</x:v>
      </x:c>
      <x:c r="K132" s="22" t="str">
        <x:v>优化与运筹|topic-01|s3</x:v>
      </x:c>
      <x:c r="L132" s="24" t="n">
        <x:v>64</x:v>
      </x:c>
      <x:c r="M132" s="22" t="str">
        <x:v>["S0838"]</x:v>
      </x:c>
      <x:c r="N132" s="22" t="str">
        <x:v>是</x:v>
      </x:c>
    </x:row>
    <x:row r="133" ht="23" customHeight="1">
      <x:c r="A133" s="21" t="str">
        <x:v>2026春:259443</x:v>
      </x:c>
      <x:c r="B133" s="22" t="str">
        <x:v>优化与运筹</x:v>
      </x:c>
      <x:c r="C133" s="22" t="str">
        <x:v>s3</x:v>
      </x:c>
      <x:c r="D133" s="22" t="str">
        <x:v>topic-01</x:v>
      </x:c>
      <x:c r="E133" s="22" t="n">
        <x:v>2.051719238420006</x:v>
      </x:c>
      <x:c r="F133" s="22" t="n">
        <x:v>3.95672131147541</x:v>
      </x:c>
      <x:c r="G133" s="22" t="n">
        <x:v>0.3810004146110808</x:v>
      </x:c>
      <x:c r="H133" s="22" t="n">
        <x:v>0.13683228565235026</x:v>
      </x:c>
      <x:c r="I133" s="22" t="n">
        <x:v>1</x:v>
      </x:c>
      <x:c r="J133" s="22" t="n">
        <x:v>0.24416812895873055</x:v>
      </x:c>
      <x:c r="K133" s="22" t="str">
        <x:v>优化与运筹|topic-01|s3</x:v>
      </x:c>
      <x:c r="L133" s="24" t="n">
        <x:v>64</x:v>
      </x:c>
      <x:c r="M133" s="22" t="str">
        <x:v>["S0850"]</x:v>
      </x:c>
      <x:c r="N133" s="22" t="str">
        <x:v>是</x:v>
      </x:c>
    </x:row>
    <x:row r="134" ht="23" customHeight="1">
      <x:c r="A134" s="21" t="str">
        <x:v>2026春:25A071</x:v>
      </x:c>
      <x:c r="B134" s="22" t="str">
        <x:v>图论与网络</x:v>
      </x:c>
      <x:c r="C134" s="22" t="str">
        <x:v>s3</x:v>
      </x:c>
      <x:c r="D134" s="22" t="str">
        <x:v>topic-02</x:v>
      </x:c>
      <x:c r="E134" s="22" t="n">
        <x:v>1.3673780487804879</x:v>
      </x:c>
      <x:c r="F134" s="22" t="n">
        <x:v>3.6825127334465195</x:v>
      </x:c>
      <x:c r="G134" s="22" t="n">
        <x:v>0.4630269369332064</x:v>
      </x:c>
      <x:c r="H134" s="22" t="n">
        <x:v>0.09508562772143313</x:v>
      </x:c>
      <x:c r="I134" s="22" t="n">
        <x:v>0.8</x:v>
      </x:c>
      <x:c r="J134" s="22" t="n">
        <x:v>0.36794130921177326</x:v>
      </x:c>
      <x:c r="K134" s="22" t="str">
        <x:v>图论与网络|topic-02|s3</x:v>
      </x:c>
      <x:c r="L134" s="24" t="n">
        <x:v>12</x:v>
      </x:c>
      <x:c r="M134" s="22" t="str">
        <x:v>["S0868"]</x:v>
      </x:c>
      <x:c r="N134" s="22" t="str">
        <x:v>是</x:v>
      </x:c>
    </x:row>
    <x:row r="135" ht="23" customHeight="1">
      <x:c r="A135" s="21" t="str">
        <x:v>2026春:268112</x:v>
      </x:c>
      <x:c r="B135" s="22" t="str">
        <x:v>优化与运筹</x:v>
      </x:c>
      <x:c r="C135" s="22" t="str">
        <x:v>s3</x:v>
      </x:c>
      <x:c r="D135" s="22" t="str">
        <x:v>topic-01</x:v>
      </x:c>
      <x:c r="E135" s="22" t="n">
        <x:v>2.1268939393939394</x:v>
      </x:c>
      <x:c r="F135" s="22" t="n">
        <x:v>3.918001033057851</x:v>
      </x:c>
      <x:c r="G135" s="22" t="n">
        <x:v>0.3582214187327823</x:v>
      </x:c>
      <x:c r="H135" s="22" t="n">
        <x:v>0.13683228565235026</x:v>
      </x:c>
      <x:c r="I135" s="22" t="n">
        <x:v>1</x:v>
      </x:c>
      <x:c r="J135" s="22" t="n">
        <x:v>0.22138913308043204</x:v>
      </x:c>
      <x:c r="K135" s="22" t="str">
        <x:v>优化与运筹|topic-01|s3</x:v>
      </x:c>
      <x:c r="L135" s="24" t="n">
        <x:v>64</x:v>
      </x:c>
      <x:c r="M135" s="22" t="str">
        <x:v>["S0889"]</x:v>
      </x:c>
      <x:c r="N135" s="22" t="str">
        <x:v>是</x:v>
      </x:c>
    </x:row>
    <x:row r="136" ht="23" customHeight="1">
      <x:c r="A136" s="21" t="str">
        <x:v>2026春:268115</x:v>
      </x:c>
      <x:c r="B136" s="22" t="str">
        <x:v>优化与运筹</x:v>
      </x:c>
      <x:c r="C136" s="22" t="str">
        <x:v>s3</x:v>
      </x:c>
      <x:c r="D136" s="22" t="str">
        <x:v>topic-01</x:v>
      </x:c>
      <x:c r="E136" s="22" t="n">
        <x:v>2.051719238420006</x:v>
      </x:c>
      <x:c r="F136" s="22" t="n">
        <x:v>3.95672131147541</x:v>
      </x:c>
      <x:c r="G136" s="22" t="n">
        <x:v>0.3810004146110808</x:v>
      </x:c>
      <x:c r="H136" s="22" t="n">
        <x:v>0.13683228565235026</x:v>
      </x:c>
      <x:c r="I136" s="22" t="n">
        <x:v>1</x:v>
      </x:c>
      <x:c r="J136" s="22" t="n">
        <x:v>0.24416812895873055</x:v>
      </x:c>
      <x:c r="K136" s="22" t="str">
        <x:v>优化与运筹|topic-01|s3</x:v>
      </x:c>
      <x:c r="L136" s="24" t="n">
        <x:v>64</x:v>
      </x:c>
      <x:c r="M136" s="22" t="str">
        <x:v>["S0897"]</x:v>
      </x:c>
      <x:c r="N136" s="22" t="str">
        <x:v>是</x:v>
      </x:c>
    </x:row>
    <x:row r="137" ht="23" customHeight="1">
      <x:c r="A137" s="21" t="str">
        <x:v>2026春:268121</x:v>
      </x:c>
      <x:c r="B137" s="22" t="str">
        <x:v>优化与运筹</x:v>
      </x:c>
      <x:c r="C137" s="22" t="str">
        <x:v>s3</x:v>
      </x:c>
      <x:c r="D137" s="22" t="str">
        <x:v>topic-01</x:v>
      </x:c>
      <x:c r="E137" s="22" t="n">
        <x:v>2.1308049535603715</x:v>
      </x:c>
      <x:c r="F137" s="22" t="n">
        <x:v>3.9444831915190406</x:v>
      </x:c>
      <x:c r="G137" s="22" t="n">
        <x:v>0.3627356475917338</x:v>
      </x:c>
      <x:c r="H137" s="22" t="n">
        <x:v>0.13683228565235026</x:v>
      </x:c>
      <x:c r="I137" s="22" t="n">
        <x:v>1</x:v>
      </x:c>
      <x:c r="J137" s="22" t="n">
        <x:v>0.22590336193938357</x:v>
      </x:c>
      <x:c r="K137" s="22" t="str">
        <x:v>优化与运筹|topic-01|s3</x:v>
      </x:c>
      <x:c r="L137" s="24" t="n">
        <x:v>64</x:v>
      </x:c>
      <x:c r="M137" s="22" t="str">
        <x:v>["S0915"]</x:v>
      </x:c>
      <x:c r="N137" s="22" t="str">
        <x:v>是</x:v>
      </x:c>
    </x:row>
    <x:row r="138" ht="23" customHeight="1">
      <x:c r="A138" s="21" t="str">
        <x:v>2026春:268126</x:v>
      </x:c>
      <x:c r="B138" s="22" t="str">
        <x:v>机器学习与人工智能</x:v>
      </x:c>
      <x:c r="C138" s="22" t="str">
        <x:v>s3</x:v>
      </x:c>
      <x:c r="D138" s="22" t="str">
        <x:v>topic-06</x:v>
      </x:c>
      <x:c r="E138" s="22" t="n">
        <x:v>2.1350124801452237</x:v>
      </x:c>
      <x:c r="F138" s="22" t="n">
        <x:v>3.8822412155745485</x:v>
      </x:c>
      <x:c r="G138" s="22" t="n">
        <x:v>0.34944574708586496</x:v>
      </x:c>
      <x:c r="H138" s="22" t="n">
        <x:v>0.11788498564075993</x:v>
      </x:c>
      <x:c r="I138" s="22" t="n">
        <x:v>1</x:v>
      </x:c>
      <x:c r="J138" s="22" t="n">
        <x:v>0.231560761445105</x:v>
      </x:c>
      <x:c r="K138" s="22" t="str">
        <x:v>机器学习与人工智能|topic-06|s3</x:v>
      </x:c>
      <x:c r="L138" s="24" t="n">
        <x:v>20</x:v>
      </x:c>
      <x:c r="M138" s="22" t="str">
        <x:v>["S0931","S0930"]</x:v>
      </x:c>
      <x:c r="N138" s="22" t="str">
        <x:v>是</x:v>
      </x:c>
    </x:row>
    <x:row r="139" ht="23" customHeight="1">
      <x:c r="A139" s="21" t="str">
        <x:v>2026春:268127</x:v>
      </x:c>
      <x:c r="B139" s="22" t="str">
        <x:v>优化与运筹</x:v>
      </x:c>
      <x:c r="C139" s="22" t="str">
        <x:v>s3</x:v>
      </x:c>
      <x:c r="D139" s="22" t="str">
        <x:v>topic-01</x:v>
      </x:c>
      <x:c r="E139" s="22" t="n">
        <x:v>2.040922619047619</x:v>
      </x:c>
      <x:c r="F139" s="22" t="n">
        <x:v>3.9503444998812065</x:v>
      </x:c>
      <x:c r="G139" s="22" t="n">
        <x:v>0.3818843761667175</x:v>
      </x:c>
      <x:c r="H139" s="22" t="n">
        <x:v>0.13683228565235026</x:v>
      </x:c>
      <x:c r="I139" s="22" t="n">
        <x:v>1</x:v>
      </x:c>
      <x:c r="J139" s="22" t="n">
        <x:v>0.24505209051436724</x:v>
      </x:c>
      <x:c r="K139" s="22" t="str">
        <x:v>优化与运筹|topic-01|s3</x:v>
      </x:c>
      <x:c r="L139" s="24" t="n">
        <x:v>64</x:v>
      </x:c>
      <x:c r="M139" s="22" t="str">
        <x:v>["S0935"]</x:v>
      </x:c>
      <x:c r="N139" s="22" t="str">
        <x:v>是</x:v>
      </x:c>
    </x:row>
    <x:row r="140" ht="23" customHeight="1">
      <x:c r="A140" s="21" t="str">
        <x:v>2026春:268130</x:v>
      </x:c>
      <x:c r="B140" s="22" t="str">
        <x:v>机器学习与人工智能</x:v>
      </x:c>
      <x:c r="C140" s="22" t="str">
        <x:v>s3</x:v>
      </x:c>
      <x:c r="D140" s="22" t="str">
        <x:v>topic-06</x:v>
      </x:c>
      <x:c r="E140" s="22" t="n">
        <x:v>1.5142857142857142</x:v>
      </x:c>
      <x:c r="F140" s="22" t="n">
        <x:v>2.2546497823506133</x:v>
      </x:c>
      <x:c r="G140" s="22" t="n">
        <x:v>0.1480728136129798</x:v>
      </x:c>
      <x:c r="H140" s="22" t="n">
        <x:v>0.11788498564075993</x:v>
      </x:c>
      <x:c r="I140" s="22" t="n">
        <x:v>1</x:v>
      </x:c>
      <x:c r="J140" s="22" t="n">
        <x:v>0.030187827972219874</x:v>
      </x:c>
      <x:c r="K140" s="22" t="str">
        <x:v>机器学习与人工智能|topic-06|s3</x:v>
      </x:c>
      <x:c r="L140" s="24" t="n">
        <x:v>20</x:v>
      </x:c>
      <x:c r="M140" s="22" t="str">
        <x:v>["S0938","S0937"]</x:v>
      </x:c>
      <x:c r="N140" s="22" t="str">
        <x:v>是</x:v>
      </x:c>
    </x:row>
    <x:row r="141" ht="23" customHeight="1">
      <x:c r="A141" s="21" t="str">
        <x:v>2026春:268133</x:v>
      </x:c>
      <x:c r="B141" s="22" t="str">
        <x:v>优化与运筹</x:v>
      </x:c>
      <x:c r="C141" s="22" t="str">
        <x:v>s3</x:v>
      </x:c>
      <x:c r="D141" s="22" t="str">
        <x:v>topic-01</x:v>
      </x:c>
      <x:c r="E141" s="22" t="n">
        <x:v>1.4789319983312474</x:v>
      </x:c>
      <x:c r="F141" s="22" t="n">
        <x:v>2.1308049535603715</x:v>
      </x:c>
      <x:c r="G141" s="22" t="n">
        <x:v>0.1303745910458248</x:v>
      </x:c>
      <x:c r="H141" s="22" t="n">
        <x:v>0.13683228565235026</x:v>
      </x:c>
      <x:c r="I141" s="22" t="n">
        <x:v>1</x:v>
      </x:c>
      <x:c r="J141" s="22" t="n">
        <x:v>-0.006457694606525455</x:v>
      </x:c>
      <x:c r="K141" s="22" t="str">
        <x:v>优化与运筹|topic-01|s3</x:v>
      </x:c>
      <x:c r="L141" s="24" t="n">
        <x:v>64</x:v>
      </x:c>
      <x:c r="M141" s="22" t="str">
        <x:v>["S0944","S0943"]</x:v>
      </x:c>
      <x:c r="N141" s="22" t="str">
        <x:v>是</x:v>
      </x:c>
    </x:row>
    <x:row r="142" ht="23" customHeight="1">
      <x:c r="A142" s="21" t="str">
        <x:v>2026春:268135</x:v>
      </x:c>
      <x:c r="B142" s="22" t="str">
        <x:v>机器学习与人工智能</x:v>
      </x:c>
      <x:c r="C142" s="22" t="str">
        <x:v>s3</x:v>
      </x:c>
      <x:c r="D142" s="22" t="str">
        <x:v>topic-06</x:v>
      </x:c>
      <x:c r="E142" s="22" t="n">
        <x:v>2.2546497823506133</x:v>
      </x:c>
      <x:c r="F142" s="22" t="n">
        <x:v>3.8539599934948776</x:v>
      </x:c>
      <x:c r="G142" s="22" t="n">
        <x:v>0.31986204222885284</x:v>
      </x:c>
      <x:c r="H142" s="22" t="n">
        <x:v>0.11788498564075993</x:v>
      </x:c>
      <x:c r="I142" s="22" t="n">
        <x:v>1</x:v>
      </x:c>
      <x:c r="J142" s="22" t="n">
        <x:v>0.2019770565880929</x:v>
      </x:c>
      <x:c r="K142" s="22" t="str">
        <x:v>机器学习与人工智能|topic-06|s3</x:v>
      </x:c>
      <x:c r="L142" s="24" t="n">
        <x:v>20</x:v>
      </x:c>
      <x:c r="M142" s="22" t="str">
        <x:v>["S0948","S0947"]</x:v>
      </x:c>
      <x:c r="N142" s="22" t="str">
        <x:v>是</x:v>
      </x:c>
    </x:row>
    <x:row r="143" ht="23" customHeight="1">
      <x:c r="A143" s="21" t="str">
        <x:v>2026春:268140</x:v>
      </x:c>
      <x:c r="B143" s="22" t="str">
        <x:v>优化与运筹</x:v>
      </x:c>
      <x:c r="C143" s="22" t="str">
        <x:v>s3</x:v>
      </x:c>
      <x:c r="D143" s="22" t="str">
        <x:v>topic-01</x:v>
      </x:c>
      <x:c r="E143" s="22" t="n">
        <x:v>1.4431818181818181</x:v>
      </x:c>
      <x:c r="F143" s="22" t="n">
        <x:v>3.95672131147541</x:v>
      </x:c>
      <x:c r="G143" s="22" t="n">
        <x:v>0.5027078986587183</x:v>
      </x:c>
      <x:c r="H143" s="22" t="n">
        <x:v>0.13683228565235026</x:v>
      </x:c>
      <x:c r="I143" s="22" t="n">
        <x:v>1</x:v>
      </x:c>
      <x:c r="J143" s="22" t="n">
        <x:v>0.36587561300636806</x:v>
      </x:c>
      <x:c r="K143" s="22" t="str">
        <x:v>优化与运筹|topic-01|s3</x:v>
      </x:c>
      <x:c r="L143" s="24" t="n">
        <x:v>64</x:v>
      </x:c>
      <x:c r="M143" s="22" t="str">
        <x:v>["S0964"]</x:v>
      </x:c>
      <x:c r="N143" s="22" t="str">
        <x:v>是</x:v>
      </x:c>
    </x:row>
    <x:row r="144" ht="23" customHeight="1">
      <x:c r="A144" s="21" t="str">
        <x:v>2026春:268144</x:v>
      </x:c>
      <x:c r="B144" s="22" t="str">
        <x:v>优化与运筹</x:v>
      </x:c>
      <x:c r="C144" s="22" t="str">
        <x:v>s3</x:v>
      </x:c>
      <x:c r="D144" s="22" t="str">
        <x:v>topic-01</x:v>
      </x:c>
      <x:c r="E144" s="22" t="n">
        <x:v>2.1268939393939394</x:v>
      </x:c>
      <x:c r="F144" s="22" t="n">
        <x:v>3.918001033057851</x:v>
      </x:c>
      <x:c r="G144" s="22" t="n">
        <x:v>0.3582214187327823</x:v>
      </x:c>
      <x:c r="H144" s="22" t="n">
        <x:v>0.13683228565235026</x:v>
      </x:c>
      <x:c r="I144" s="22" t="n">
        <x:v>1</x:v>
      </x:c>
      <x:c r="J144" s="22" t="n">
        <x:v>0.22138913308043204</x:v>
      </x:c>
      <x:c r="K144" s="22" t="str">
        <x:v>优化与运筹|topic-01|s3</x:v>
      </x:c>
      <x:c r="L144" s="24" t="n">
        <x:v>64</x:v>
      </x:c>
      <x:c r="M144" s="22" t="str">
        <x:v>["S0983"]</x:v>
      </x:c>
      <x:c r="N144" s="22" t="str">
        <x:v>是</x:v>
      </x:c>
    </x:row>
    <x:row r="145" ht="23" customHeight="1">
      <x:c r="A145" s="21" t="str">
        <x:v>2026春:268154</x:v>
      </x:c>
      <x:c r="B145" s="22" t="str">
        <x:v>优化与运筹</x:v>
      </x:c>
      <x:c r="C145" s="22" t="str">
        <x:v>s3</x:v>
      </x:c>
      <x:c r="D145" s="22" t="str">
        <x:v>topic-01</x:v>
      </x:c>
      <x:c r="E145" s="22" t="n">
        <x:v>2.1308049535603715</x:v>
      </x:c>
      <x:c r="F145" s="22" t="n">
        <x:v>3.9444831915190406</x:v>
      </x:c>
      <x:c r="G145" s="22" t="n">
        <x:v>0.3627356475917338</x:v>
      </x:c>
      <x:c r="H145" s="22" t="n">
        <x:v>0.13683228565235026</x:v>
      </x:c>
      <x:c r="I145" s="22" t="n">
        <x:v>1</x:v>
      </x:c>
      <x:c r="J145" s="22" t="n">
        <x:v>0.22590336193938357</x:v>
      </x:c>
      <x:c r="K145" s="22" t="str">
        <x:v>优化与运筹|topic-01|s3</x:v>
      </x:c>
      <x:c r="L145" s="24" t="n">
        <x:v>64</x:v>
      </x:c>
      <x:c r="M145" s="22" t="str">
        <x:v>["S1009"]</x:v>
      </x:c>
      <x:c r="N145" s="22" t="str">
        <x:v>是</x:v>
      </x:c>
    </x:row>
    <x:row r="146" ht="23" customHeight="1">
      <x:c r="A146" s="21" t="str">
        <x:v>2026春:268162</x:v>
      </x:c>
      <x:c r="B146" s="22" t="str">
        <x:v>优化与运筹</x:v>
      </x:c>
      <x:c r="C146" s="22" t="str">
        <x:v>s3</x:v>
      </x:c>
      <x:c r="D146" s="22" t="str">
        <x:v>topic-01</x:v>
      </x:c>
      <x:c r="E146" s="22" t="n">
        <x:v>2.1308049535603715</x:v>
      </x:c>
      <x:c r="F146" s="22" t="n">
        <x:v>3.9444831915190406</x:v>
      </x:c>
      <x:c r="G146" s="22" t="n">
        <x:v>0.3627356475917338</x:v>
      </x:c>
      <x:c r="H146" s="22" t="n">
        <x:v>0.13683228565235026</x:v>
      </x:c>
      <x:c r="I146" s="22" t="n">
        <x:v>1</x:v>
      </x:c>
      <x:c r="J146" s="22" t="n">
        <x:v>0.22590336193938357</x:v>
      </x:c>
      <x:c r="K146" s="22" t="str">
        <x:v>优化与运筹|topic-01|s3</x:v>
      </x:c>
      <x:c r="L146" s="24" t="n">
        <x:v>64</x:v>
      </x:c>
      <x:c r="M146" s="22" t="str">
        <x:v>["S1027"]</x:v>
      </x:c>
      <x:c r="N146" s="22" t="str">
        <x:v>是</x:v>
      </x:c>
    </x:row>
    <x:row r="147" ht="23" customHeight="1">
      <x:c r="A147" s="21" t="str">
        <x:v>2026春:268174</x:v>
      </x:c>
      <x:c r="B147" s="22" t="str">
        <x:v>优化与运筹</x:v>
      </x:c>
      <x:c r="C147" s="22" t="str">
        <x:v>s3</x:v>
      </x:c>
      <x:c r="D147" s="22" t="str">
        <x:v>topic-01</x:v>
      </x:c>
      <x:c r="E147" s="22" t="n">
        <x:v>2.1268939393939394</x:v>
      </x:c>
      <x:c r="F147" s="22" t="n">
        <x:v>3.918001033057851</x:v>
      </x:c>
      <x:c r="G147" s="22" t="n">
        <x:v>0.3582214187327823</x:v>
      </x:c>
      <x:c r="H147" s="22" t="n">
        <x:v>0.13683228565235026</x:v>
      </x:c>
      <x:c r="I147" s="22" t="n">
        <x:v>1</x:v>
      </x:c>
      <x:c r="J147" s="22" t="n">
        <x:v>0.22138913308043204</x:v>
      </x:c>
      <x:c r="K147" s="22" t="str">
        <x:v>优化与运筹|topic-01|s3</x:v>
      </x:c>
      <x:c r="L147" s="24" t="n">
        <x:v>64</x:v>
      </x:c>
      <x:c r="M147" s="22" t="str">
        <x:v>["S1044"]</x:v>
      </x:c>
      <x:c r="N147" s="22" t="str">
        <x:v>是</x:v>
      </x:c>
    </x:row>
    <x:row r="148" ht="23" customHeight="1">
      <x:c r="A148" s="21" t="str">
        <x:v>2026春:268176</x:v>
      </x:c>
      <x:c r="B148" s="22" t="str">
        <x:v>优化与运筹</x:v>
      </x:c>
      <x:c r="C148" s="22" t="str">
        <x:v>s3</x:v>
      </x:c>
      <x:c r="D148" s="22" t="str">
        <x:v>topic-01</x:v>
      </x:c>
      <x:c r="E148" s="22" t="n">
        <x:v>2.0141467727674622</x:v>
      </x:c>
      <x:c r="F148" s="22" t="n">
        <x:v>2.0141467727674622</x:v>
      </x:c>
      <x:c r="G148" s="22" t="n">
        <x:v>0</x:v>
      </x:c>
      <x:c r="H148" s="22" t="n">
        <x:v>0.13683228565235026</x:v>
      </x:c>
      <x:c r="I148" s="22" t="n">
        <x:v>1</x:v>
      </x:c>
      <x:c r="J148" s="22" t="n">
        <x:v>-0.13683228565235026</x:v>
      </x:c>
      <x:c r="K148" s="22" t="str">
        <x:v>优化与运筹|topic-01|s3</x:v>
      </x:c>
      <x:c r="L148" s="24" t="n">
        <x:v>64</x:v>
      </x:c>
      <x:c r="M148" s="22" t="str">
        <x:v>["S1047"]</x:v>
      </x:c>
      <x:c r="N148" s="22" t="str">
        <x:v>是</x:v>
      </x:c>
    </x:row>
    <x:row r="149" ht="23" customHeight="1">
      <x:c r="A149" s="21" t="str">
        <x:v>2026春:268183</x:v>
      </x:c>
      <x:c r="B149" s="22" t="str">
        <x:v>优化与运筹</x:v>
      </x:c>
      <x:c r="C149" s="22" t="str">
        <x:v>s3</x:v>
      </x:c>
      <x:c r="D149" s="22" t="str">
        <x:v>topic-01</x:v>
      </x:c>
      <x:c r="E149" s="22" t="n">
        <x:v>2.040922619047619</x:v>
      </x:c>
      <x:c r="F149" s="22" t="n">
        <x:v>3.9503444998812065</x:v>
      </x:c>
      <x:c r="G149" s="22" t="n">
        <x:v>0.3818843761667175</x:v>
      </x:c>
      <x:c r="H149" s="22" t="n">
        <x:v>0.13683228565235026</x:v>
      </x:c>
      <x:c r="I149" s="22" t="n">
        <x:v>1</x:v>
      </x:c>
      <x:c r="J149" s="22" t="n">
        <x:v>0.24505209051436724</x:v>
      </x:c>
      <x:c r="K149" s="22" t="str">
        <x:v>优化与运筹|topic-01|s3</x:v>
      </x:c>
      <x:c r="L149" s="24" t="n">
        <x:v>64</x:v>
      </x:c>
      <x:c r="M149" s="22" t="str">
        <x:v>["S1051"]</x:v>
      </x:c>
      <x:c r="N149" s="22" t="str">
        <x:v>是</x:v>
      </x:c>
    </x:row>
    <x:row r="150" ht="23" customHeight="1">
      <x:c r="A150" s="21" t="str">
        <x:v>2026春:268184</x:v>
      </x:c>
      <x:c r="B150" s="22" t="str">
        <x:v>优化与运筹</x:v>
      </x:c>
      <x:c r="C150" s="22" t="str">
        <x:v>s3</x:v>
      </x:c>
      <x:c r="D150" s="22" t="str">
        <x:v>topic-01</x:v>
      </x:c>
      <x:c r="E150" s="22" t="n">
        <x:v>2.1308049535603715</x:v>
      </x:c>
      <x:c r="F150" s="22" t="n">
        <x:v>3.9444831915190406</x:v>
      </x:c>
      <x:c r="G150" s="22" t="n">
        <x:v>0.3627356475917338</x:v>
      </x:c>
      <x:c r="H150" s="22" t="n">
        <x:v>0.13683228565235026</x:v>
      </x:c>
      <x:c r="I150" s="22" t="n">
        <x:v>1</x:v>
      </x:c>
      <x:c r="J150" s="22" t="n">
        <x:v>0.22590336193938357</x:v>
      </x:c>
      <x:c r="K150" s="22" t="str">
        <x:v>优化与运筹|topic-01|s3</x:v>
      </x:c>
      <x:c r="L150" s="24" t="n">
        <x:v>64</x:v>
      </x:c>
      <x:c r="M150" s="22" t="str">
        <x:v>["S1054"]</x:v>
      </x:c>
      <x:c r="N150" s="22" t="str">
        <x:v>是</x:v>
      </x:c>
    </x:row>
    <x:row r="151" ht="23" customHeight="1">
      <x:c r="A151" s="21" t="str">
        <x:v>2026春:268194</x:v>
      </x:c>
      <x:c r="B151" s="22" t="str">
        <x:v>优化与运筹</x:v>
      </x:c>
      <x:c r="C151" s="22" t="str">
        <x:v>s3</x:v>
      </x:c>
      <x:c r="D151" s="22" t="str">
        <x:v>topic-01</x:v>
      </x:c>
      <x:c r="E151" s="22" t="n">
        <x:v>2.051719238420006</x:v>
      </x:c>
      <x:c r="F151" s="22" t="n">
        <x:v>3.95672131147541</x:v>
      </x:c>
      <x:c r="G151" s="22" t="n">
        <x:v>0.3810004146110808</x:v>
      </x:c>
      <x:c r="H151" s="22" t="n">
        <x:v>0.13683228565235026</x:v>
      </x:c>
      <x:c r="I151" s="22" t="n">
        <x:v>1</x:v>
      </x:c>
      <x:c r="J151" s="22" t="n">
        <x:v>0.24416812895873055</x:v>
      </x:c>
      <x:c r="K151" s="22" t="str">
        <x:v>优化与运筹|topic-01|s3</x:v>
      </x:c>
      <x:c r="L151" s="24" t="n">
        <x:v>64</x:v>
      </x:c>
      <x:c r="M151" s="22" t="str">
        <x:v>["S1067"]</x:v>
      </x:c>
      <x:c r="N151" s="22" t="str">
        <x:v>是</x:v>
      </x:c>
    </x:row>
    <x:row r="152" ht="23" customHeight="1">
      <x:c r="A152" s="21" t="str">
        <x:v>2026春:268206</x:v>
      </x:c>
      <x:c r="B152" s="22" t="str">
        <x:v>概率统计与随机过程</x:v>
      </x:c>
      <x:c r="C152" s="22" t="str">
        <x:v>s3</x:v>
      </x:c>
      <x:c r="D152" s="22" t="str">
        <x:v>topic-04</x:v>
      </x:c>
      <x:c r="E152" s="22" t="n">
        <x:v>1.5243589743589745</x:v>
      </x:c>
      <x:c r="F152" s="22" t="n">
        <x:v>4.087750958718701</x:v>
      </x:c>
      <x:c r="G152" s="22" t="n">
        <x:v>0.5126783968719453</x:v>
      </x:c>
      <x:c r="H152" s="22" t="n">
        <x:v>0.13680392675608974</x:v>
      </x:c>
      <x:c r="I152" s="22" t="n">
        <x:v>1</x:v>
      </x:c>
      <x:c r="J152" s="22" t="n">
        <x:v>0.3758744701158555</x:v>
      </x:c>
      <x:c r="K152" s="22" t="str">
        <x:v>概率统计与随机过程|topic-04|s3</x:v>
      </x:c>
      <x:c r="L152" s="24" t="n">
        <x:v>24</x:v>
      </x:c>
      <x:c r="M152" s="22" t="str">
        <x:v>["S1083"]</x:v>
      </x:c>
      <x:c r="N152" s="22" t="str">
        <x:v>是</x:v>
      </x:c>
    </x:row>
    <x:row r="153" ht="23" customHeight="1">
      <x:c r="A153" s="21" t="str">
        <x:v>2026春:268219</x:v>
      </x:c>
      <x:c r="B153" s="22" t="str">
        <x:v>学习过程与工具使用</x:v>
      </x:c>
      <x:c r="C153" s="22" t="str">
        <x:v>s3</x:v>
      </x:c>
      <x:c r="D153" s="22" t="str">
        <x:v>topic-11</x:v>
      </x:c>
      <x:c r="E153" s="22" t="n">
        <x:v>2.282560706401766</x:v>
      </x:c>
      <x:c r="F153" s="22" t="n">
        <x:v>2.282560706401766</x:v>
      </x:c>
      <x:c r="G153" s="22" t="n">
        <x:v>0</x:v>
      </x:c>
      <x:c r="H153" s="22" t="n">
        <x:v>0.06458621772590344</x:v>
      </x:c>
      <x:c r="I153" s="22" t="n">
        <x:v>0.8</x:v>
      </x:c>
      <x:c r="J153" s="22" t="n">
        <x:v>-0.06458621772590344</x:v>
      </x:c>
      <x:c r="K153" s="22" t="str">
        <x:v>学习过程与工具使用|topic-11|s3</x:v>
      </x:c>
      <x:c r="L153" s="24" t="n">
        <x:v>3</x:v>
      </x:c>
      <x:c r="M153" s="22" t="str">
        <x:v>["S1094"]</x:v>
      </x:c>
      <x:c r="N153" s="22" t="str">
        <x:v>是</x:v>
      </x:c>
    </x:row>
    <x:row r="154" ht="23" customHeight="1">
      <x:c r="A154" s="21" t="str">
        <x:v>2026春:268240</x:v>
      </x:c>
      <x:c r="B154" s="22" t="str">
        <x:v>优化与运筹</x:v>
      </x:c>
      <x:c r="C154" s="22" t="str">
        <x:v>s3</x:v>
      </x:c>
      <x:c r="D154" s="22" t="str">
        <x:v>topic-01</x:v>
      </x:c>
      <x:c r="E154" s="22" t="n">
        <x:v>1.5105820105820105</x:v>
      </x:c>
      <x:c r="F154" s="22" t="n">
        <x:v>3.918001033057851</x:v>
      </x:c>
      <x:c r="G154" s="22" t="n">
        <x:v>0.48148380449516814</x:v>
      </x:c>
      <x:c r="H154" s="22" t="n">
        <x:v>0.13683228565235026</x:v>
      </x:c>
      <x:c r="I154" s="22" t="n">
        <x:v>1</x:v>
      </x:c>
      <x:c r="J154" s="22" t="n">
        <x:v>0.34465151884281786</x:v>
      </x:c>
      <x:c r="K154" s="22" t="str">
        <x:v>优化与运筹|topic-01|s3</x:v>
      </x:c>
      <x:c r="L154" s="24" t="n">
        <x:v>64</x:v>
      </x:c>
      <x:c r="M154" s="22" t="str">
        <x:v>["S1113"]</x:v>
      </x:c>
      <x:c r="N154" s="22" t="str">
        <x:v>是</x:v>
      </x:c>
    </x:row>
    <x:row r="155" ht="23" customHeight="1">
      <x:c r="A155" s="21" t="str">
        <x:v>2026春:268498</x:v>
      </x:c>
      <x:c r="B155" s="22" t="str">
        <x:v>概率统计与随机过程</x:v>
      </x:c>
      <x:c r="C155" s="22" t="str">
        <x:v>s3</x:v>
      </x:c>
      <x:c r="D155" s="22" t="str">
        <x:v>topic-04</x:v>
      </x:c>
      <x:c r="E155" s="22" t="n">
        <x:v>1.555014605647517</x:v>
      </x:c>
      <x:c r="F155" s="22" t="n">
        <x:v>2.1909774436090226</x:v>
      </x:c>
      <x:c r="G155" s="22" t="n">
        <x:v>0.12719256759230113</x:v>
      </x:c>
      <x:c r="H155" s="22" t="n">
        <x:v>0.13680392675608974</x:v>
      </x:c>
      <x:c r="I155" s="22" t="n">
        <x:v>1</x:v>
      </x:c>
      <x:c r="J155" s="22" t="n">
        <x:v>-0.009611359163788608</x:v>
      </x:c>
      <x:c r="K155" s="22" t="str">
        <x:v>概率统计与随机过程|topic-04|s3</x:v>
      </x:c>
      <x:c r="L155" s="24" t="n">
        <x:v>24</x:v>
      </x:c>
      <x:c r="M155" s="22" t="str">
        <x:v>["S1207","S1206"]</x:v>
      </x:c>
      <x:c r="N155" s="22" t="str">
        <x:v>是</x:v>
      </x:c>
    </x:row>
    <x:row r="156" ht="23" customHeight="1">
      <x:c r="A156" s="21" t="str">
        <x:v>2026春:268502</x:v>
      </x:c>
      <x:c r="B156" s="22" t="str">
        <x:v>概率统计与随机过程</x:v>
      </x:c>
      <x:c r="C156" s="22" t="str">
        <x:v>s3</x:v>
      </x:c>
      <x:c r="D156" s="22" t="str">
        <x:v>topic-04</x:v>
      </x:c>
      <x:c r="E156" s="22" t="n">
        <x:v>2.1909774436090226</x:v>
      </x:c>
      <x:c r="F156" s="22" t="n">
        <x:v>3.9827956989247313</x:v>
      </x:c>
      <x:c r="G156" s="22" t="n">
        <x:v>0.3583636510631417</x:v>
      </x:c>
      <x:c r="H156" s="22" t="n">
        <x:v>0.13680392675608974</x:v>
      </x:c>
      <x:c r="I156" s="22" t="n">
        <x:v>1</x:v>
      </x:c>
      <x:c r="J156" s="22" t="n">
        <x:v>0.22155972430705198</x:v>
      </x:c>
      <x:c r="K156" s="22" t="str">
        <x:v>概率统计与随机过程|topic-04|s3</x:v>
      </x:c>
      <x:c r="L156" s="24" t="n">
        <x:v>24</x:v>
      </x:c>
      <x:c r="M156" s="22" t="str">
        <x:v>["S1220"]</x:v>
      </x:c>
      <x:c r="N156" s="22" t="str">
        <x:v>是</x:v>
      </x:c>
    </x:row>
    <x:row r="157" ht="23" customHeight="1">
      <x:c r="A157" s="21" t="str">
        <x:v>2026春:268520</x:v>
      </x:c>
      <x:c r="B157" s="22" t="str">
        <x:v>数学建模综合与案例</x:v>
      </x:c>
      <x:c r="C157" s="22" t="str">
        <x:v>s6</x:v>
      </x:c>
      <x:c r="D157" s="22" t="str">
        <x:v>topic-09</x:v>
      </x:c>
      <x:c r="E157" s="22" t="n">
        <x:v>5</x:v>
      </x:c>
      <x:c r="F157" s="22" t="n">
        <x:v>5</x:v>
      </x:c>
      <x:c r="G157" s="22" t="n">
        <x:v>0</x:v>
      </x:c>
      <x:c r="H157" s="22" t="n">
        <x:v>0.15771428571428572</x:v>
      </x:c>
      <x:c r="I157" s="22" t="n">
        <x:v>1</x:v>
      </x:c>
      <x:c r="J157" s="22" t="n">
        <x:v>-0.15771428571428572</x:v>
      </x:c>
      <x:c r="K157" s="22" t="str">
        <x:v>数学建模综合与案例|topic-09|s6</x:v>
      </x:c>
      <x:c r="L157" s="24" t="n">
        <x:v>7</x:v>
      </x:c>
      <x:c r="M157" s="22" t="str">
        <x:v>["S1244"]</x:v>
      </x:c>
      <x:c r="N157" s="22" t="str">
        <x:v>是</x:v>
      </x:c>
    </x:row>
    <x:row r="158" ht="23" customHeight="1">
      <x:c r="A158" s="21" t="str">
        <x:v>2026春:268525</x:v>
      </x:c>
      <x:c r="B158" s="22" t="str">
        <x:v>图论与网络</x:v>
      </x:c>
      <x:c r="C158" s="22" t="str">
        <x:v>s3</x:v>
      </x:c>
      <x:c r="D158" s="22" t="str">
        <x:v>topic-02</x:v>
      </x:c>
      <x:c r="E158" s="22" t="n">
        <x:v>1.3360378634212307</x:v>
      </x:c>
      <x:c r="F158" s="22" t="n">
        <x:v>3.704184704184704</x:v>
      </x:c>
      <x:c r="G158" s="22" t="n">
        <x:v>0.4736293681526947</x:v>
      </x:c>
      <x:c r="H158" s="22" t="n">
        <x:v>0.09508562772143313</x:v>
      </x:c>
      <x:c r="I158" s="22" t="n">
        <x:v>0.8</x:v>
      </x:c>
      <x:c r="J158" s="22" t="n">
        <x:v>0.37854374043126154</x:v>
      </x:c>
      <x:c r="K158" s="22" t="str">
        <x:v>图论与网络|topic-02|s3</x:v>
      </x:c>
      <x:c r="L158" s="24" t="n">
        <x:v>12</x:v>
      </x:c>
      <x:c r="M158" s="22" t="str">
        <x:v>["S1247"]</x:v>
      </x:c>
      <x:c r="N158" s="22" t="str">
        <x:v>是</x:v>
      </x:c>
    </x:row>
    <x:row r="159" ht="23" customHeight="1">
      <x:c r="A159" s="21" t="str">
        <x:v>2026春:268538</x:v>
      </x:c>
      <x:c r="B159" s="22" t="str">
        <x:v>优化与运筹</x:v>
      </x:c>
      <x:c r="C159" s="22" t="str">
        <x:v>s3</x:v>
      </x:c>
      <x:c r="D159" s="22" t="str">
        <x:v>topic-01</x:v>
      </x:c>
      <x:c r="E159" s="22" t="n">
        <x:v>1.5105820105820105</x:v>
      </x:c>
      <x:c r="F159" s="22" t="n">
        <x:v>1.5105820105820105</x:v>
      </x:c>
      <x:c r="G159" s="22" t="n">
        <x:v>0</x:v>
      </x:c>
      <x:c r="H159" s="22" t="n">
        <x:v>0.13683228565235026</x:v>
      </x:c>
      <x:c r="I159" s="22" t="n">
        <x:v>1</x:v>
      </x:c>
      <x:c r="J159" s="22" t="n">
        <x:v>-0.13683228565235026</x:v>
      </x:c>
      <x:c r="K159" s="22" t="str">
        <x:v>优化与运筹|topic-01|s3</x:v>
      </x:c>
      <x:c r="L159" s="24" t="n">
        <x:v>64</x:v>
      </x:c>
      <x:c r="M159" s="22" t="str">
        <x:v>["S1276"]</x:v>
      </x:c>
      <x:c r="N159" s="22" t="str">
        <x:v>是</x:v>
      </x:c>
    </x:row>
  </x:sheetData>
  <x:pageMargins left="0.7" right="0.7" top="0.75" bottom="0.75" header="0.3" footer="0.3"/>
  <x:tableParts count="1">
    <x:tablePart xmlns:r="http://schemas.openxmlformats.org/officeDocument/2006/relationships" r:id="Rd12db99b64fe4b2c"/>
  </x:tableParts>
</x:worksheet>
</file>